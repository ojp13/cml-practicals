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0" windowWidth="22980" windowHeight="9285" activeTab="5"/>
  </bookViews>
  <sheets>
    <sheet name="Distance" sheetId="4" r:id="rId1"/>
    <sheet name="Hyper-sphere" sheetId="2" r:id="rId2"/>
    <sheet name="MNIST Demo" sheetId="3" r:id="rId3"/>
    <sheet name="Simple X-Y" sheetId="5" r:id="rId4"/>
    <sheet name="Eigen" sheetId="6" r:id="rId5"/>
    <sheet name="Eigen (2)" sheetId="7" r:id="rId6"/>
  </sheets>
  <functionGroups builtInGroupCount="17"/>
  <definedNames>
    <definedName name="_A">'Simple X-Y'!$D$2</definedName>
    <definedName name="_M">'Simple X-Y'!$D$3</definedName>
    <definedName name="_SD" localSheetId="4">Eigen!$D$4</definedName>
    <definedName name="_SD" localSheetId="5">'Eigen (2)'!$D$4</definedName>
    <definedName name="_SD">'Simple X-Y'!$D$4</definedName>
    <definedName name="numDimensions" localSheetId="0">Distance!$AA$30</definedName>
    <definedName name="numDimensions" localSheetId="4">#REF!</definedName>
    <definedName name="numDimensions" localSheetId="5">#REF!</definedName>
    <definedName name="numDimensions">#REF!</definedName>
    <definedName name="PI_div_2" localSheetId="4">Eigen!$D$1</definedName>
    <definedName name="PI_div_2" localSheetId="5">'Eigen (2)'!$D$1</definedName>
    <definedName name="PI_div_2">'Simple X-Y'!$D$1</definedName>
  </definedNames>
  <calcPr calcId="145621"/>
</workbook>
</file>

<file path=xl/calcChain.xml><?xml version="1.0" encoding="utf-8"?>
<calcChain xmlns="http://schemas.openxmlformats.org/spreadsheetml/2006/main">
  <c r="AV81" i="7" l="1"/>
  <c r="AM81" i="7"/>
  <c r="AR81" i="7" s="1"/>
  <c r="AV80" i="7"/>
  <c r="AR80" i="7"/>
  <c r="AM80" i="7"/>
  <c r="AG80" i="7"/>
  <c r="AV78" i="7"/>
  <c r="AM78" i="7"/>
  <c r="AR78" i="7" s="1"/>
  <c r="AV77" i="7"/>
  <c r="AR77" i="7"/>
  <c r="AM77" i="7"/>
  <c r="AG77" i="7"/>
  <c r="D38" i="7"/>
  <c r="C114" i="7" s="1"/>
  <c r="D37" i="7"/>
  <c r="C113" i="7" s="1"/>
  <c r="D34" i="7"/>
  <c r="C110" i="7" s="1"/>
  <c r="D33" i="7"/>
  <c r="C109" i="7" s="1"/>
  <c r="D30" i="7"/>
  <c r="C106" i="7" s="1"/>
  <c r="D29" i="7"/>
  <c r="C105" i="7" s="1"/>
  <c r="H22" i="7"/>
  <c r="D40" i="7" s="1"/>
  <c r="C116" i="7" s="1"/>
  <c r="G20" i="7"/>
  <c r="D20" i="7"/>
  <c r="G19" i="7"/>
  <c r="D19" i="7"/>
  <c r="G18" i="7"/>
  <c r="D18" i="7"/>
  <c r="G17" i="7"/>
  <c r="D17" i="7"/>
  <c r="G16" i="7"/>
  <c r="D16" i="7"/>
  <c r="G15" i="7"/>
  <c r="D15" i="7"/>
  <c r="G14" i="7"/>
  <c r="D14" i="7"/>
  <c r="G13" i="7"/>
  <c r="D13" i="7"/>
  <c r="G12" i="7"/>
  <c r="D12" i="7"/>
  <c r="G11" i="7"/>
  <c r="D11" i="7"/>
  <c r="G10" i="7"/>
  <c r="D10" i="7"/>
  <c r="AB9" i="7"/>
  <c r="G9" i="7"/>
  <c r="G22" i="7" s="1"/>
  <c r="D9" i="7"/>
  <c r="AB8" i="7"/>
  <c r="D1" i="7"/>
  <c r="C37" i="7" l="1"/>
  <c r="B113" i="7" s="1"/>
  <c r="C33" i="7"/>
  <c r="B109" i="7" s="1"/>
  <c r="C29" i="7"/>
  <c r="C34" i="7"/>
  <c r="B110" i="7" s="1"/>
  <c r="C38" i="7"/>
  <c r="B114" i="7" s="1"/>
  <c r="C30" i="7"/>
  <c r="B106" i="7" s="1"/>
  <c r="C31" i="7"/>
  <c r="B107" i="7" s="1"/>
  <c r="C35" i="7"/>
  <c r="B111" i="7" s="1"/>
  <c r="C39" i="7"/>
  <c r="B115" i="7" s="1"/>
  <c r="C32" i="7"/>
  <c r="B108" i="7" s="1"/>
  <c r="C36" i="7"/>
  <c r="B112" i="7" s="1"/>
  <c r="C40" i="7"/>
  <c r="B116" i="7" s="1"/>
  <c r="D31" i="7"/>
  <c r="C107" i="7" s="1"/>
  <c r="D35" i="7"/>
  <c r="C111" i="7" s="1"/>
  <c r="D39" i="7"/>
  <c r="C115" i="7" s="1"/>
  <c r="D32" i="7"/>
  <c r="C108" i="7" s="1"/>
  <c r="D36" i="7"/>
  <c r="C112" i="7" s="1"/>
  <c r="AB9" i="6"/>
  <c r="AB8" i="6"/>
  <c r="M115" i="7" l="1"/>
  <c r="L115" i="7"/>
  <c r="C47" i="7"/>
  <c r="C48" i="7"/>
  <c r="D47" i="7"/>
  <c r="B105" i="7"/>
  <c r="M108" i="7"/>
  <c r="L108" i="7"/>
  <c r="M109" i="7"/>
  <c r="L109" i="7"/>
  <c r="M111" i="7"/>
  <c r="L111" i="7"/>
  <c r="M107" i="7"/>
  <c r="L107" i="7"/>
  <c r="D48" i="7"/>
  <c r="M114" i="7"/>
  <c r="L114" i="7"/>
  <c r="L112" i="7"/>
  <c r="M112" i="7"/>
  <c r="L106" i="7"/>
  <c r="M106" i="7"/>
  <c r="L116" i="7"/>
  <c r="M116" i="7"/>
  <c r="L110" i="7"/>
  <c r="M110" i="7"/>
  <c r="M113" i="7"/>
  <c r="L113" i="7"/>
  <c r="T25" i="2"/>
  <c r="T26" i="2" s="1"/>
  <c r="T28" i="2" s="1"/>
  <c r="T24" i="2"/>
  <c r="R24" i="2"/>
  <c r="R25" i="2"/>
  <c r="R26" i="2" s="1"/>
  <c r="R28" i="2" s="1"/>
  <c r="L47" i="7" l="1" a="1"/>
  <c r="M105" i="7"/>
  <c r="L105" i="7"/>
  <c r="H120" i="7"/>
  <c r="G120" i="7"/>
  <c r="AM81" i="6"/>
  <c r="AM80" i="6"/>
  <c r="AG80" i="6"/>
  <c r="AG77" i="6"/>
  <c r="M48" i="7" l="1"/>
  <c r="L47" i="7"/>
  <c r="L48" i="7"/>
  <c r="L54" i="7" s="1"/>
  <c r="M47" i="7"/>
  <c r="M53" i="7" s="1"/>
  <c r="AM78" i="6"/>
  <c r="AR78" i="6" s="1"/>
  <c r="AR81" i="6"/>
  <c r="AM77" i="6"/>
  <c r="AV77" i="6"/>
  <c r="D10" i="6"/>
  <c r="D11" i="6"/>
  <c r="D12" i="6"/>
  <c r="D13" i="6"/>
  <c r="D14" i="6"/>
  <c r="D15" i="6"/>
  <c r="D16" i="6"/>
  <c r="D17" i="6"/>
  <c r="D18" i="6"/>
  <c r="D19" i="6"/>
  <c r="D20" i="6"/>
  <c r="D9" i="6"/>
  <c r="AV81" i="6"/>
  <c r="AV80" i="6"/>
  <c r="AV78" i="6"/>
  <c r="H22" i="6"/>
  <c r="D39" i="6" s="1"/>
  <c r="C115" i="6" s="1"/>
  <c r="G20" i="6"/>
  <c r="G19" i="6"/>
  <c r="G18" i="6"/>
  <c r="G17" i="6"/>
  <c r="G16" i="6"/>
  <c r="G15" i="6"/>
  <c r="G14" i="6"/>
  <c r="G13" i="6"/>
  <c r="G12" i="6"/>
  <c r="G11" i="6"/>
  <c r="G10" i="6"/>
  <c r="G9" i="6"/>
  <c r="D1" i="6"/>
  <c r="H22" i="5"/>
  <c r="G10" i="5"/>
  <c r="G11" i="5"/>
  <c r="G12" i="5"/>
  <c r="G13" i="5"/>
  <c r="G14" i="5"/>
  <c r="G15" i="5"/>
  <c r="G16" i="5"/>
  <c r="G17" i="5"/>
  <c r="G18" i="5"/>
  <c r="G19" i="5"/>
  <c r="G20" i="5"/>
  <c r="G9" i="5"/>
  <c r="G22" i="5" s="1"/>
  <c r="L53" i="7" l="1"/>
  <c r="Q47" i="7" a="1"/>
  <c r="M54" i="7"/>
  <c r="M50" i="7"/>
  <c r="AP46" i="7" s="1"/>
  <c r="D34" i="6"/>
  <c r="C110" i="6" s="1"/>
  <c r="D36" i="6"/>
  <c r="C112" i="6" s="1"/>
  <c r="D37" i="6"/>
  <c r="C113" i="6" s="1"/>
  <c r="D38" i="6"/>
  <c r="C114" i="6" s="1"/>
  <c r="D29" i="6"/>
  <c r="C105" i="6" s="1"/>
  <c r="D40" i="6"/>
  <c r="C116" i="6" s="1"/>
  <c r="D30" i="6"/>
  <c r="C106" i="6" s="1"/>
  <c r="D32" i="6"/>
  <c r="C108" i="6" s="1"/>
  <c r="D33" i="6"/>
  <c r="C109" i="6" s="1"/>
  <c r="G22" i="6"/>
  <c r="C39" i="6" s="1"/>
  <c r="B115" i="6" s="1"/>
  <c r="AR77" i="6"/>
  <c r="AR80" i="6"/>
  <c r="D31" i="6"/>
  <c r="C107" i="6" s="1"/>
  <c r="D35" i="6"/>
  <c r="C111" i="6" s="1"/>
  <c r="R47" i="7" l="1"/>
  <c r="R53" i="7" s="1"/>
  <c r="Q47" i="7"/>
  <c r="R48" i="7"/>
  <c r="Q48" i="7"/>
  <c r="Q54" i="7" s="1"/>
  <c r="M115" i="6"/>
  <c r="L115" i="6"/>
  <c r="C34" i="6"/>
  <c r="B110" i="6" s="1"/>
  <c r="C40" i="6"/>
  <c r="B116" i="6" s="1"/>
  <c r="C35" i="6"/>
  <c r="B111" i="6" s="1"/>
  <c r="C32" i="6"/>
  <c r="B108" i="6" s="1"/>
  <c r="C31" i="6"/>
  <c r="B107" i="6" s="1"/>
  <c r="C30" i="6"/>
  <c r="B106" i="6" s="1"/>
  <c r="C36" i="6"/>
  <c r="B112" i="6" s="1"/>
  <c r="D48" i="6"/>
  <c r="C37" i="6"/>
  <c r="B113" i="6" s="1"/>
  <c r="C33" i="6"/>
  <c r="B109" i="6" s="1"/>
  <c r="C29" i="6"/>
  <c r="B105" i="6" s="1"/>
  <c r="C38" i="6"/>
  <c r="B114" i="6" s="1"/>
  <c r="D25" i="5"/>
  <c r="D1" i="5"/>
  <c r="D26" i="5"/>
  <c r="D10" i="5"/>
  <c r="D11" i="5"/>
  <c r="D12" i="5"/>
  <c r="D13" i="5"/>
  <c r="D14" i="5"/>
  <c r="D15" i="5"/>
  <c r="D16" i="5"/>
  <c r="D17" i="5"/>
  <c r="D18" i="5"/>
  <c r="D19" i="5"/>
  <c r="D20" i="5"/>
  <c r="D9" i="5"/>
  <c r="R50" i="7" l="1"/>
  <c r="AP47" i="7" s="1"/>
  <c r="R54" i="7"/>
  <c r="Q53" i="7"/>
  <c r="V47" i="7" a="1"/>
  <c r="H120" i="6"/>
  <c r="G120" i="6"/>
  <c r="M112" i="6"/>
  <c r="L112" i="6"/>
  <c r="M106" i="6"/>
  <c r="L106" i="6"/>
  <c r="M113" i="6"/>
  <c r="L113" i="6"/>
  <c r="M110" i="6"/>
  <c r="L110" i="6"/>
  <c r="M107" i="6"/>
  <c r="L107" i="6"/>
  <c r="M114" i="6"/>
  <c r="L114" i="6"/>
  <c r="M108" i="6"/>
  <c r="L108" i="6"/>
  <c r="M105" i="6"/>
  <c r="L105" i="6"/>
  <c r="L111" i="6"/>
  <c r="M111" i="6"/>
  <c r="M109" i="6"/>
  <c r="L109" i="6"/>
  <c r="M116" i="6"/>
  <c r="L116" i="6"/>
  <c r="C48" i="6"/>
  <c r="D47" i="6"/>
  <c r="C47" i="6"/>
  <c r="BV14" i="3"/>
  <c r="BV19" i="3" s="1"/>
  <c r="BV12" i="3"/>
  <c r="BO30" i="3"/>
  <c r="BN30" i="3"/>
  <c r="BM30" i="3"/>
  <c r="BL30" i="3"/>
  <c r="BK30" i="3"/>
  <c r="BJ30" i="3"/>
  <c r="BI30" i="3"/>
  <c r="BH30" i="3"/>
  <c r="BG30" i="3"/>
  <c r="BF30" i="3"/>
  <c r="BE30" i="3"/>
  <c r="BD30" i="3"/>
  <c r="BC30" i="3"/>
  <c r="BB30" i="3"/>
  <c r="BA30" i="3"/>
  <c r="AZ30" i="3"/>
  <c r="AY30" i="3"/>
  <c r="AX30" i="3"/>
  <c r="AW30" i="3"/>
  <c r="AV30" i="3"/>
  <c r="AU30" i="3"/>
  <c r="AT30" i="3"/>
  <c r="AS30" i="3"/>
  <c r="AR30" i="3"/>
  <c r="AQ30" i="3"/>
  <c r="AP30" i="3"/>
  <c r="AO30" i="3"/>
  <c r="AN30" i="3"/>
  <c r="BO29" i="3"/>
  <c r="BN29" i="3"/>
  <c r="BM29" i="3"/>
  <c r="BL29" i="3"/>
  <c r="BK29" i="3"/>
  <c r="BJ29" i="3"/>
  <c r="BI29" i="3"/>
  <c r="BH29" i="3"/>
  <c r="BG29" i="3"/>
  <c r="BF29" i="3"/>
  <c r="BE29" i="3"/>
  <c r="BD29" i="3"/>
  <c r="BC29" i="3"/>
  <c r="BB29" i="3"/>
  <c r="BA29" i="3"/>
  <c r="AZ29" i="3"/>
  <c r="AY29" i="3"/>
  <c r="AX29" i="3"/>
  <c r="AW29" i="3"/>
  <c r="AV29" i="3"/>
  <c r="AU29" i="3"/>
  <c r="AT29" i="3"/>
  <c r="AS29" i="3"/>
  <c r="AR29" i="3"/>
  <c r="AQ29" i="3"/>
  <c r="AP29" i="3"/>
  <c r="AO29" i="3"/>
  <c r="AN29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BO27" i="3"/>
  <c r="BN27" i="3"/>
  <c r="BM27" i="3"/>
  <c r="BL27" i="3"/>
  <c r="BK27" i="3"/>
  <c r="BJ27" i="3"/>
  <c r="BI27" i="3"/>
  <c r="BH27" i="3"/>
  <c r="BG27" i="3"/>
  <c r="BF27" i="3"/>
  <c r="BE27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BO26" i="3"/>
  <c r="BN26" i="3"/>
  <c r="BM26" i="3"/>
  <c r="BL26" i="3"/>
  <c r="BK26" i="3"/>
  <c r="BJ26" i="3"/>
  <c r="BI26" i="3"/>
  <c r="BH26" i="3"/>
  <c r="BG26" i="3"/>
  <c r="BF26" i="3"/>
  <c r="BE26" i="3"/>
  <c r="BD26" i="3"/>
  <c r="BC26" i="3"/>
  <c r="BB26" i="3"/>
  <c r="BA26" i="3"/>
  <c r="AZ26" i="3"/>
  <c r="AY26" i="3"/>
  <c r="AX26" i="3"/>
  <c r="AW26" i="3"/>
  <c r="AV26" i="3"/>
  <c r="AU26" i="3"/>
  <c r="AT26" i="3"/>
  <c r="AS26" i="3"/>
  <c r="AR26" i="3"/>
  <c r="AQ26" i="3"/>
  <c r="AP26" i="3"/>
  <c r="AO26" i="3"/>
  <c r="AN26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BO24" i="3"/>
  <c r="BN24" i="3"/>
  <c r="BM24" i="3"/>
  <c r="BL24" i="3"/>
  <c r="BK24" i="3"/>
  <c r="BJ24" i="3"/>
  <c r="BI24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V24" i="3"/>
  <c r="AU24" i="3"/>
  <c r="AT24" i="3"/>
  <c r="AS24" i="3"/>
  <c r="AR24" i="3"/>
  <c r="AQ24" i="3"/>
  <c r="AP24" i="3"/>
  <c r="AO24" i="3"/>
  <c r="AN24" i="3"/>
  <c r="BO23" i="3"/>
  <c r="BN23" i="3"/>
  <c r="BM23" i="3"/>
  <c r="BL23" i="3"/>
  <c r="BK23" i="3"/>
  <c r="BJ23" i="3"/>
  <c r="BI23" i="3"/>
  <c r="BH23" i="3"/>
  <c r="BG23" i="3"/>
  <c r="BF23" i="3"/>
  <c r="BE23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BO22" i="3"/>
  <c r="BN22" i="3"/>
  <c r="BM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BO21" i="3"/>
  <c r="BN21" i="3"/>
  <c r="BM21" i="3"/>
  <c r="BL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T21" i="3"/>
  <c r="AS21" i="3"/>
  <c r="AR21" i="3"/>
  <c r="AQ21" i="3"/>
  <c r="AP21" i="3"/>
  <c r="AO21" i="3"/>
  <c r="AN21" i="3"/>
  <c r="BO20" i="3"/>
  <c r="BN20" i="3"/>
  <c r="BM20" i="3"/>
  <c r="BL20" i="3"/>
  <c r="BK20" i="3"/>
  <c r="BJ20" i="3"/>
  <c r="BI20" i="3"/>
  <c r="BH20" i="3"/>
  <c r="BG20" i="3"/>
  <c r="BF20" i="3"/>
  <c r="BE20" i="3"/>
  <c r="BD20" i="3"/>
  <c r="BC20" i="3"/>
  <c r="BB20" i="3"/>
  <c r="BA20" i="3"/>
  <c r="AZ20" i="3"/>
  <c r="AY20" i="3"/>
  <c r="AX20" i="3"/>
  <c r="AW20" i="3"/>
  <c r="AV20" i="3"/>
  <c r="AU20" i="3"/>
  <c r="AT20" i="3"/>
  <c r="AS20" i="3"/>
  <c r="AR20" i="3"/>
  <c r="AQ20" i="3"/>
  <c r="AP20" i="3"/>
  <c r="AO20" i="3"/>
  <c r="AN20" i="3"/>
  <c r="BO19" i="3"/>
  <c r="BN19" i="3"/>
  <c r="BM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BO18" i="3"/>
  <c r="BN18" i="3"/>
  <c r="BM18" i="3"/>
  <c r="BL18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BO17" i="3"/>
  <c r="BN17" i="3"/>
  <c r="BM17" i="3"/>
  <c r="BL17" i="3"/>
  <c r="BK17" i="3"/>
  <c r="BJ17" i="3"/>
  <c r="BI17" i="3"/>
  <c r="BH17" i="3"/>
  <c r="BG17" i="3"/>
  <c r="BF17" i="3"/>
  <c r="BE17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BO16" i="3"/>
  <c r="BN16" i="3"/>
  <c r="BM16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BO15" i="3"/>
  <c r="BN15" i="3"/>
  <c r="BM15" i="3"/>
  <c r="BL15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AU15" i="3"/>
  <c r="AT15" i="3"/>
  <c r="AS15" i="3"/>
  <c r="AR15" i="3"/>
  <c r="AQ15" i="3"/>
  <c r="AP15" i="3"/>
  <c r="AO15" i="3"/>
  <c r="AN15" i="3"/>
  <c r="BO14" i="3"/>
  <c r="BN14" i="3"/>
  <c r="BM14" i="3"/>
  <c r="BL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BO13" i="3"/>
  <c r="BN13" i="3"/>
  <c r="BM13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BO12" i="3"/>
  <c r="BN12" i="3"/>
  <c r="BM12" i="3"/>
  <c r="BL12" i="3"/>
  <c r="BK12" i="3"/>
  <c r="BJ12" i="3"/>
  <c r="BI12" i="3"/>
  <c r="BH12" i="3"/>
  <c r="BG12" i="3"/>
  <c r="BF12" i="3"/>
  <c r="BE12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BO11" i="3"/>
  <c r="BN11" i="3"/>
  <c r="BM11" i="3"/>
  <c r="BL11" i="3"/>
  <c r="BK11" i="3"/>
  <c r="BJ11" i="3"/>
  <c r="BI11" i="3"/>
  <c r="BH11" i="3"/>
  <c r="BG11" i="3"/>
  <c r="BF11" i="3"/>
  <c r="BE11" i="3"/>
  <c r="BD11" i="3"/>
  <c r="BC11" i="3"/>
  <c r="BB11" i="3"/>
  <c r="BA11" i="3"/>
  <c r="AZ11" i="3"/>
  <c r="AY11" i="3"/>
  <c r="AX11" i="3"/>
  <c r="AW11" i="3"/>
  <c r="AV11" i="3"/>
  <c r="AU11" i="3"/>
  <c r="AT11" i="3"/>
  <c r="AS11" i="3"/>
  <c r="AR11" i="3"/>
  <c r="AQ11" i="3"/>
  <c r="AP11" i="3"/>
  <c r="AO11" i="3"/>
  <c r="AN11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BO9" i="3"/>
  <c r="BN9" i="3"/>
  <c r="BM9" i="3"/>
  <c r="BL9" i="3"/>
  <c r="BK9" i="3"/>
  <c r="BJ9" i="3"/>
  <c r="BI9" i="3"/>
  <c r="BH9" i="3"/>
  <c r="BG9" i="3"/>
  <c r="BF9" i="3"/>
  <c r="BE9" i="3"/>
  <c r="BD9" i="3"/>
  <c r="BC9" i="3"/>
  <c r="BB9" i="3"/>
  <c r="BA9" i="3"/>
  <c r="AZ9" i="3"/>
  <c r="AY9" i="3"/>
  <c r="AX9" i="3"/>
  <c r="AW9" i="3"/>
  <c r="AV9" i="3"/>
  <c r="AU9" i="3"/>
  <c r="AT9" i="3"/>
  <c r="AS9" i="3"/>
  <c r="AR9" i="3"/>
  <c r="AQ9" i="3"/>
  <c r="AP9" i="3"/>
  <c r="AO9" i="3"/>
  <c r="AN9" i="3"/>
  <c r="BO8" i="3"/>
  <c r="BN8" i="3"/>
  <c r="BM8" i="3"/>
  <c r="BL8" i="3"/>
  <c r="BK8" i="3"/>
  <c r="BJ8" i="3"/>
  <c r="BI8" i="3"/>
  <c r="BH8" i="3"/>
  <c r="BG8" i="3"/>
  <c r="BF8" i="3"/>
  <c r="BE8" i="3"/>
  <c r="BD8" i="3"/>
  <c r="BC8" i="3"/>
  <c r="BB8" i="3"/>
  <c r="BA8" i="3"/>
  <c r="AZ8" i="3"/>
  <c r="AY8" i="3"/>
  <c r="AX8" i="3"/>
  <c r="AW8" i="3"/>
  <c r="AV8" i="3"/>
  <c r="AU8" i="3"/>
  <c r="AT8" i="3"/>
  <c r="AS8" i="3"/>
  <c r="AR8" i="3"/>
  <c r="AQ8" i="3"/>
  <c r="AP8" i="3"/>
  <c r="AO8" i="3"/>
  <c r="AN8" i="3"/>
  <c r="BO7" i="3"/>
  <c r="BN7" i="3"/>
  <c r="BM7" i="3"/>
  <c r="BL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BO6" i="3"/>
  <c r="BN6" i="3"/>
  <c r="BM6" i="3"/>
  <c r="BL6" i="3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BO5" i="3"/>
  <c r="BN5" i="3"/>
  <c r="BM5" i="3"/>
  <c r="BL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R5" i="3"/>
  <c r="AQ5" i="3"/>
  <c r="AP5" i="3"/>
  <c r="AO5" i="3"/>
  <c r="AN5" i="3"/>
  <c r="BO4" i="3"/>
  <c r="BN4" i="3"/>
  <c r="BM4" i="3"/>
  <c r="BL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AU4" i="3"/>
  <c r="AT4" i="3"/>
  <c r="AS4" i="3"/>
  <c r="AR4" i="3"/>
  <c r="AQ4" i="3"/>
  <c r="AP4" i="3"/>
  <c r="AO4" i="3"/>
  <c r="AN4" i="3"/>
  <c r="BO3" i="3"/>
  <c r="BN3" i="3"/>
  <c r="BM3" i="3"/>
  <c r="BL3" i="3"/>
  <c r="BK3" i="3"/>
  <c r="BJ3" i="3"/>
  <c r="BI3" i="3"/>
  <c r="BH3" i="3"/>
  <c r="BG3" i="3"/>
  <c r="BF3" i="3"/>
  <c r="BE3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W48" i="7" l="1"/>
  <c r="V48" i="7"/>
  <c r="W47" i="7"/>
  <c r="V47" i="7"/>
  <c r="BV18" i="3"/>
  <c r="L47" i="6" a="1"/>
  <c r="D22" i="2"/>
  <c r="E22" i="2"/>
  <c r="F22" i="2"/>
  <c r="I22" i="2"/>
  <c r="L22" i="2" s="1"/>
  <c r="J22" i="2"/>
  <c r="K22" i="2"/>
  <c r="D23" i="2"/>
  <c r="E23" i="2"/>
  <c r="G23" i="2" s="1"/>
  <c r="F23" i="2"/>
  <c r="I23" i="2"/>
  <c r="L23" i="2" s="1"/>
  <c r="J23" i="2"/>
  <c r="K23" i="2"/>
  <c r="D24" i="2"/>
  <c r="E24" i="2"/>
  <c r="F24" i="2"/>
  <c r="I24" i="2"/>
  <c r="L24" i="2" s="1"/>
  <c r="J24" i="2"/>
  <c r="K24" i="2"/>
  <c r="D25" i="2"/>
  <c r="E25" i="2"/>
  <c r="G25" i="2" s="1"/>
  <c r="F25" i="2"/>
  <c r="I25" i="2"/>
  <c r="L25" i="2" s="1"/>
  <c r="J25" i="2"/>
  <c r="K25" i="2"/>
  <c r="D26" i="2"/>
  <c r="E26" i="2"/>
  <c r="F26" i="2"/>
  <c r="I26" i="2"/>
  <c r="L26" i="2" s="1"/>
  <c r="J26" i="2"/>
  <c r="K26" i="2"/>
  <c r="D27" i="2"/>
  <c r="E27" i="2"/>
  <c r="F27" i="2"/>
  <c r="I27" i="2"/>
  <c r="L27" i="2" s="1"/>
  <c r="J27" i="2"/>
  <c r="K27" i="2"/>
  <c r="D28" i="2"/>
  <c r="E28" i="2"/>
  <c r="F28" i="2"/>
  <c r="I28" i="2"/>
  <c r="L28" i="2" s="1"/>
  <c r="M28" i="2" s="1"/>
  <c r="J28" i="2"/>
  <c r="K28" i="2"/>
  <c r="D29" i="2"/>
  <c r="E29" i="2"/>
  <c r="F29" i="2"/>
  <c r="I29" i="2"/>
  <c r="L29" i="2" s="1"/>
  <c r="J29" i="2"/>
  <c r="K29" i="2"/>
  <c r="D30" i="2"/>
  <c r="E30" i="2"/>
  <c r="F30" i="2"/>
  <c r="I30" i="2"/>
  <c r="L30" i="2" s="1"/>
  <c r="J30" i="2"/>
  <c r="K30" i="2"/>
  <c r="D31" i="2"/>
  <c r="E31" i="2"/>
  <c r="G31" i="2" s="1"/>
  <c r="F31" i="2"/>
  <c r="I31" i="2"/>
  <c r="L31" i="2" s="1"/>
  <c r="J31" i="2"/>
  <c r="K31" i="2"/>
  <c r="D32" i="2"/>
  <c r="E32" i="2"/>
  <c r="F32" i="2"/>
  <c r="I32" i="2"/>
  <c r="L32" i="2" s="1"/>
  <c r="J32" i="2"/>
  <c r="K32" i="2"/>
  <c r="D33" i="2"/>
  <c r="E33" i="2"/>
  <c r="F33" i="2"/>
  <c r="I33" i="2"/>
  <c r="L33" i="2" s="1"/>
  <c r="J33" i="2"/>
  <c r="K33" i="2"/>
  <c r="D34" i="2"/>
  <c r="E34" i="2"/>
  <c r="F34" i="2"/>
  <c r="I34" i="2"/>
  <c r="L34" i="2" s="1"/>
  <c r="J34" i="2"/>
  <c r="K34" i="2"/>
  <c r="D35" i="2"/>
  <c r="E35" i="2"/>
  <c r="F35" i="2"/>
  <c r="I35" i="2"/>
  <c r="L35" i="2" s="1"/>
  <c r="J35" i="2"/>
  <c r="K35" i="2"/>
  <c r="D36" i="2"/>
  <c r="E36" i="2"/>
  <c r="F36" i="2"/>
  <c r="I36" i="2"/>
  <c r="L36" i="2" s="1"/>
  <c r="M36" i="2" s="1"/>
  <c r="J36" i="2"/>
  <c r="K36" i="2"/>
  <c r="D37" i="2"/>
  <c r="E37" i="2"/>
  <c r="F37" i="2"/>
  <c r="I37" i="2"/>
  <c r="L37" i="2" s="1"/>
  <c r="J37" i="2"/>
  <c r="K37" i="2"/>
  <c r="D38" i="2"/>
  <c r="E38" i="2"/>
  <c r="F38" i="2"/>
  <c r="I38" i="2"/>
  <c r="L38" i="2" s="1"/>
  <c r="J38" i="2"/>
  <c r="K38" i="2"/>
  <c r="D39" i="2"/>
  <c r="E39" i="2"/>
  <c r="F39" i="2"/>
  <c r="I39" i="2"/>
  <c r="L39" i="2" s="1"/>
  <c r="J39" i="2"/>
  <c r="K39" i="2"/>
  <c r="D40" i="2"/>
  <c r="E40" i="2"/>
  <c r="F40" i="2"/>
  <c r="I40" i="2"/>
  <c r="L40" i="2" s="1"/>
  <c r="J40" i="2"/>
  <c r="K40" i="2"/>
  <c r="D41" i="2"/>
  <c r="E41" i="2"/>
  <c r="F41" i="2"/>
  <c r="I41" i="2"/>
  <c r="L41" i="2" s="1"/>
  <c r="J41" i="2"/>
  <c r="K41" i="2"/>
  <c r="D42" i="2"/>
  <c r="E42" i="2"/>
  <c r="F42" i="2"/>
  <c r="I42" i="2"/>
  <c r="L42" i="2" s="1"/>
  <c r="J42" i="2"/>
  <c r="K42" i="2"/>
  <c r="D43" i="2"/>
  <c r="E43" i="2"/>
  <c r="F43" i="2"/>
  <c r="I43" i="2"/>
  <c r="L43" i="2" s="1"/>
  <c r="J43" i="2"/>
  <c r="K43" i="2"/>
  <c r="D44" i="2"/>
  <c r="E44" i="2"/>
  <c r="F44" i="2"/>
  <c r="I44" i="2"/>
  <c r="L44" i="2" s="1"/>
  <c r="J44" i="2"/>
  <c r="K44" i="2"/>
  <c r="D45" i="2"/>
  <c r="E45" i="2"/>
  <c r="F45" i="2"/>
  <c r="I45" i="2"/>
  <c r="L45" i="2" s="1"/>
  <c r="J45" i="2"/>
  <c r="K45" i="2"/>
  <c r="D46" i="2"/>
  <c r="E46" i="2"/>
  <c r="F46" i="2"/>
  <c r="I46" i="2"/>
  <c r="L46" i="2" s="1"/>
  <c r="J46" i="2"/>
  <c r="K46" i="2"/>
  <c r="D47" i="2"/>
  <c r="E47" i="2"/>
  <c r="F47" i="2"/>
  <c r="I47" i="2"/>
  <c r="L47" i="2" s="1"/>
  <c r="J47" i="2"/>
  <c r="K47" i="2"/>
  <c r="D48" i="2"/>
  <c r="E48" i="2"/>
  <c r="F48" i="2"/>
  <c r="I48" i="2"/>
  <c r="L48" i="2" s="1"/>
  <c r="J48" i="2"/>
  <c r="K48" i="2"/>
  <c r="D49" i="2"/>
  <c r="E49" i="2"/>
  <c r="F49" i="2"/>
  <c r="I49" i="2"/>
  <c r="L49" i="2" s="1"/>
  <c r="J49" i="2"/>
  <c r="K49" i="2"/>
  <c r="D50" i="2"/>
  <c r="E50" i="2"/>
  <c r="F50" i="2"/>
  <c r="I50" i="2"/>
  <c r="L50" i="2" s="1"/>
  <c r="J50" i="2"/>
  <c r="K50" i="2"/>
  <c r="D51" i="2"/>
  <c r="E51" i="2"/>
  <c r="G51" i="2" s="1"/>
  <c r="F51" i="2"/>
  <c r="I51" i="2"/>
  <c r="L51" i="2" s="1"/>
  <c r="J51" i="2"/>
  <c r="K51" i="2"/>
  <c r="D52" i="2"/>
  <c r="E52" i="2"/>
  <c r="F52" i="2"/>
  <c r="I52" i="2"/>
  <c r="L52" i="2" s="1"/>
  <c r="J52" i="2"/>
  <c r="K52" i="2"/>
  <c r="D53" i="2"/>
  <c r="E53" i="2"/>
  <c r="F53" i="2"/>
  <c r="I53" i="2"/>
  <c r="L53" i="2" s="1"/>
  <c r="J53" i="2"/>
  <c r="K53" i="2"/>
  <c r="D54" i="2"/>
  <c r="E54" i="2"/>
  <c r="F54" i="2"/>
  <c r="I54" i="2"/>
  <c r="L54" i="2" s="1"/>
  <c r="J54" i="2"/>
  <c r="K54" i="2"/>
  <c r="D55" i="2"/>
  <c r="E55" i="2"/>
  <c r="F55" i="2"/>
  <c r="I55" i="2"/>
  <c r="L55" i="2" s="1"/>
  <c r="J55" i="2"/>
  <c r="K55" i="2"/>
  <c r="D56" i="2"/>
  <c r="E56" i="2"/>
  <c r="F56" i="2"/>
  <c r="I56" i="2"/>
  <c r="L56" i="2" s="1"/>
  <c r="J56" i="2"/>
  <c r="K56" i="2"/>
  <c r="D57" i="2"/>
  <c r="G57" i="2" s="1"/>
  <c r="E57" i="2"/>
  <c r="F57" i="2"/>
  <c r="I57" i="2"/>
  <c r="L57" i="2" s="1"/>
  <c r="J57" i="2"/>
  <c r="K57" i="2"/>
  <c r="D58" i="2"/>
  <c r="E58" i="2"/>
  <c r="F58" i="2"/>
  <c r="I58" i="2"/>
  <c r="L58" i="2" s="1"/>
  <c r="J58" i="2"/>
  <c r="K58" i="2"/>
  <c r="D59" i="2"/>
  <c r="E59" i="2"/>
  <c r="F59" i="2"/>
  <c r="I59" i="2"/>
  <c r="L59" i="2" s="1"/>
  <c r="J59" i="2"/>
  <c r="K59" i="2"/>
  <c r="D60" i="2"/>
  <c r="E60" i="2"/>
  <c r="F60" i="2"/>
  <c r="I60" i="2"/>
  <c r="L60" i="2" s="1"/>
  <c r="J60" i="2"/>
  <c r="K60" i="2"/>
  <c r="D61" i="2"/>
  <c r="E61" i="2"/>
  <c r="F61" i="2"/>
  <c r="I61" i="2"/>
  <c r="L61" i="2" s="1"/>
  <c r="J61" i="2"/>
  <c r="K61" i="2"/>
  <c r="D62" i="2"/>
  <c r="E62" i="2"/>
  <c r="F62" i="2"/>
  <c r="I62" i="2"/>
  <c r="L62" i="2" s="1"/>
  <c r="J62" i="2"/>
  <c r="K62" i="2"/>
  <c r="D63" i="2"/>
  <c r="E63" i="2"/>
  <c r="F63" i="2"/>
  <c r="I63" i="2"/>
  <c r="L63" i="2" s="1"/>
  <c r="J63" i="2"/>
  <c r="K63" i="2"/>
  <c r="D64" i="2"/>
  <c r="E64" i="2"/>
  <c r="F64" i="2"/>
  <c r="I64" i="2"/>
  <c r="L64" i="2" s="1"/>
  <c r="J64" i="2"/>
  <c r="K64" i="2"/>
  <c r="D65" i="2"/>
  <c r="E65" i="2"/>
  <c r="F65" i="2"/>
  <c r="I65" i="2"/>
  <c r="L65" i="2" s="1"/>
  <c r="J65" i="2"/>
  <c r="K65" i="2"/>
  <c r="D66" i="2"/>
  <c r="E66" i="2"/>
  <c r="F66" i="2"/>
  <c r="I66" i="2"/>
  <c r="L66" i="2" s="1"/>
  <c r="J66" i="2"/>
  <c r="K66" i="2"/>
  <c r="D67" i="2"/>
  <c r="E67" i="2"/>
  <c r="F67" i="2"/>
  <c r="I67" i="2"/>
  <c r="L67" i="2" s="1"/>
  <c r="J67" i="2"/>
  <c r="K67" i="2"/>
  <c r="D68" i="2"/>
  <c r="E68" i="2"/>
  <c r="F68" i="2"/>
  <c r="I68" i="2"/>
  <c r="L68" i="2" s="1"/>
  <c r="J68" i="2"/>
  <c r="K68" i="2"/>
  <c r="D69" i="2"/>
  <c r="E69" i="2"/>
  <c r="F69" i="2"/>
  <c r="I69" i="2"/>
  <c r="L69" i="2" s="1"/>
  <c r="J69" i="2"/>
  <c r="K69" i="2"/>
  <c r="D70" i="2"/>
  <c r="E70" i="2"/>
  <c r="F70" i="2"/>
  <c r="I70" i="2"/>
  <c r="L70" i="2" s="1"/>
  <c r="J70" i="2"/>
  <c r="K70" i="2"/>
  <c r="D71" i="2"/>
  <c r="E71" i="2"/>
  <c r="F71" i="2"/>
  <c r="I71" i="2"/>
  <c r="L71" i="2" s="1"/>
  <c r="J71" i="2"/>
  <c r="K71" i="2"/>
  <c r="D72" i="2"/>
  <c r="E72" i="2"/>
  <c r="F72" i="2"/>
  <c r="I72" i="2"/>
  <c r="L72" i="2" s="1"/>
  <c r="J72" i="2"/>
  <c r="K72" i="2"/>
  <c r="D73" i="2"/>
  <c r="E73" i="2"/>
  <c r="F73" i="2"/>
  <c r="I73" i="2"/>
  <c r="L73" i="2" s="1"/>
  <c r="J73" i="2"/>
  <c r="K73" i="2"/>
  <c r="D74" i="2"/>
  <c r="E74" i="2"/>
  <c r="F74" i="2"/>
  <c r="I74" i="2"/>
  <c r="L74" i="2" s="1"/>
  <c r="J74" i="2"/>
  <c r="K74" i="2"/>
  <c r="D75" i="2"/>
  <c r="E75" i="2"/>
  <c r="F75" i="2"/>
  <c r="I75" i="2"/>
  <c r="L75" i="2" s="1"/>
  <c r="J75" i="2"/>
  <c r="K75" i="2"/>
  <c r="D76" i="2"/>
  <c r="E76" i="2"/>
  <c r="F76" i="2"/>
  <c r="I76" i="2"/>
  <c r="L76" i="2" s="1"/>
  <c r="J76" i="2"/>
  <c r="K76" i="2"/>
  <c r="D77" i="2"/>
  <c r="E77" i="2"/>
  <c r="F77" i="2"/>
  <c r="I77" i="2"/>
  <c r="L77" i="2" s="1"/>
  <c r="J77" i="2"/>
  <c r="K77" i="2"/>
  <c r="D78" i="2"/>
  <c r="E78" i="2"/>
  <c r="F78" i="2"/>
  <c r="I78" i="2"/>
  <c r="L78" i="2" s="1"/>
  <c r="J78" i="2"/>
  <c r="K78" i="2"/>
  <c r="D79" i="2"/>
  <c r="E79" i="2"/>
  <c r="G79" i="2" s="1"/>
  <c r="F79" i="2"/>
  <c r="I79" i="2"/>
  <c r="L79" i="2" s="1"/>
  <c r="J79" i="2"/>
  <c r="K79" i="2"/>
  <c r="D80" i="2"/>
  <c r="E80" i="2"/>
  <c r="F80" i="2"/>
  <c r="I80" i="2"/>
  <c r="L80" i="2" s="1"/>
  <c r="J80" i="2"/>
  <c r="K80" i="2"/>
  <c r="D81" i="2"/>
  <c r="E81" i="2"/>
  <c r="F81" i="2"/>
  <c r="I81" i="2"/>
  <c r="L81" i="2" s="1"/>
  <c r="J81" i="2"/>
  <c r="K81" i="2"/>
  <c r="D82" i="2"/>
  <c r="E82" i="2"/>
  <c r="F82" i="2"/>
  <c r="I82" i="2"/>
  <c r="L82" i="2" s="1"/>
  <c r="J82" i="2"/>
  <c r="K82" i="2"/>
  <c r="D83" i="2"/>
  <c r="E83" i="2"/>
  <c r="F83" i="2"/>
  <c r="I83" i="2"/>
  <c r="L83" i="2" s="1"/>
  <c r="J83" i="2"/>
  <c r="K83" i="2"/>
  <c r="D84" i="2"/>
  <c r="E84" i="2"/>
  <c r="F84" i="2"/>
  <c r="I84" i="2"/>
  <c r="L84" i="2" s="1"/>
  <c r="J84" i="2"/>
  <c r="K84" i="2"/>
  <c r="D85" i="2"/>
  <c r="E85" i="2"/>
  <c r="F85" i="2"/>
  <c r="I85" i="2"/>
  <c r="L85" i="2" s="1"/>
  <c r="J85" i="2"/>
  <c r="K85" i="2"/>
  <c r="D86" i="2"/>
  <c r="E86" i="2"/>
  <c r="F86" i="2"/>
  <c r="I86" i="2"/>
  <c r="L86" i="2" s="1"/>
  <c r="J86" i="2"/>
  <c r="K86" i="2"/>
  <c r="D87" i="2"/>
  <c r="E87" i="2"/>
  <c r="F87" i="2"/>
  <c r="I87" i="2"/>
  <c r="L87" i="2" s="1"/>
  <c r="J87" i="2"/>
  <c r="K87" i="2"/>
  <c r="D88" i="2"/>
  <c r="E88" i="2"/>
  <c r="F88" i="2"/>
  <c r="I88" i="2"/>
  <c r="L88" i="2" s="1"/>
  <c r="J88" i="2"/>
  <c r="K88" i="2"/>
  <c r="D89" i="2"/>
  <c r="E89" i="2"/>
  <c r="F89" i="2"/>
  <c r="I89" i="2"/>
  <c r="L89" i="2" s="1"/>
  <c r="J89" i="2"/>
  <c r="K89" i="2"/>
  <c r="D90" i="2"/>
  <c r="E90" i="2"/>
  <c r="F90" i="2"/>
  <c r="I90" i="2"/>
  <c r="L90" i="2" s="1"/>
  <c r="J90" i="2"/>
  <c r="K90" i="2"/>
  <c r="D91" i="2"/>
  <c r="E91" i="2"/>
  <c r="F91" i="2"/>
  <c r="I91" i="2"/>
  <c r="L91" i="2" s="1"/>
  <c r="J91" i="2"/>
  <c r="K91" i="2"/>
  <c r="D92" i="2"/>
  <c r="E92" i="2"/>
  <c r="F92" i="2"/>
  <c r="I92" i="2"/>
  <c r="L92" i="2" s="1"/>
  <c r="J92" i="2"/>
  <c r="K92" i="2"/>
  <c r="D93" i="2"/>
  <c r="E93" i="2"/>
  <c r="F93" i="2"/>
  <c r="I93" i="2"/>
  <c r="L93" i="2" s="1"/>
  <c r="J93" i="2"/>
  <c r="K93" i="2"/>
  <c r="D94" i="2"/>
  <c r="E94" i="2"/>
  <c r="F94" i="2"/>
  <c r="I94" i="2"/>
  <c r="L94" i="2" s="1"/>
  <c r="J94" i="2"/>
  <c r="K94" i="2"/>
  <c r="D95" i="2"/>
  <c r="E95" i="2"/>
  <c r="F95" i="2"/>
  <c r="I95" i="2"/>
  <c r="L95" i="2" s="1"/>
  <c r="J95" i="2"/>
  <c r="M95" i="2" s="1"/>
  <c r="K95" i="2"/>
  <c r="D96" i="2"/>
  <c r="E96" i="2"/>
  <c r="F96" i="2"/>
  <c r="I96" i="2"/>
  <c r="L96" i="2" s="1"/>
  <c r="J96" i="2"/>
  <c r="K96" i="2"/>
  <c r="D97" i="2"/>
  <c r="G97" i="2" s="1"/>
  <c r="E97" i="2"/>
  <c r="F97" i="2"/>
  <c r="I97" i="2"/>
  <c r="L97" i="2" s="1"/>
  <c r="J97" i="2"/>
  <c r="K97" i="2"/>
  <c r="D98" i="2"/>
  <c r="E98" i="2"/>
  <c r="F98" i="2"/>
  <c r="I98" i="2"/>
  <c r="L98" i="2" s="1"/>
  <c r="J98" i="2"/>
  <c r="K98" i="2"/>
  <c r="D99" i="2"/>
  <c r="E99" i="2"/>
  <c r="F99" i="2"/>
  <c r="I99" i="2"/>
  <c r="L99" i="2" s="1"/>
  <c r="J99" i="2"/>
  <c r="K99" i="2"/>
  <c r="D100" i="2"/>
  <c r="G100" i="2" s="1"/>
  <c r="E100" i="2"/>
  <c r="F100" i="2"/>
  <c r="I100" i="2"/>
  <c r="L100" i="2" s="1"/>
  <c r="J100" i="2"/>
  <c r="K100" i="2"/>
  <c r="D101" i="2"/>
  <c r="E101" i="2"/>
  <c r="F101" i="2"/>
  <c r="I101" i="2"/>
  <c r="L101" i="2" s="1"/>
  <c r="J101" i="2"/>
  <c r="K101" i="2"/>
  <c r="D102" i="2"/>
  <c r="E102" i="2"/>
  <c r="F102" i="2"/>
  <c r="I102" i="2"/>
  <c r="L102" i="2" s="1"/>
  <c r="J102" i="2"/>
  <c r="K102" i="2"/>
  <c r="D103" i="2"/>
  <c r="E103" i="2"/>
  <c r="F103" i="2"/>
  <c r="I103" i="2"/>
  <c r="L103" i="2" s="1"/>
  <c r="J103" i="2"/>
  <c r="K103" i="2"/>
  <c r="D104" i="2"/>
  <c r="G104" i="2" s="1"/>
  <c r="E104" i="2"/>
  <c r="F104" i="2"/>
  <c r="I104" i="2"/>
  <c r="L104" i="2" s="1"/>
  <c r="J104" i="2"/>
  <c r="K104" i="2"/>
  <c r="D105" i="2"/>
  <c r="E105" i="2"/>
  <c r="F105" i="2"/>
  <c r="I105" i="2"/>
  <c r="L105" i="2" s="1"/>
  <c r="J105" i="2"/>
  <c r="K105" i="2"/>
  <c r="D106" i="2"/>
  <c r="E106" i="2"/>
  <c r="F106" i="2"/>
  <c r="I106" i="2"/>
  <c r="L106" i="2" s="1"/>
  <c r="J106" i="2"/>
  <c r="K106" i="2"/>
  <c r="D107" i="2"/>
  <c r="E107" i="2"/>
  <c r="F107" i="2"/>
  <c r="I107" i="2"/>
  <c r="L107" i="2" s="1"/>
  <c r="J107" i="2"/>
  <c r="K107" i="2"/>
  <c r="D108" i="2"/>
  <c r="G108" i="2" s="1"/>
  <c r="E108" i="2"/>
  <c r="F108" i="2"/>
  <c r="I108" i="2"/>
  <c r="L108" i="2" s="1"/>
  <c r="J108" i="2"/>
  <c r="K108" i="2"/>
  <c r="D109" i="2"/>
  <c r="E109" i="2"/>
  <c r="F109" i="2"/>
  <c r="I109" i="2"/>
  <c r="L109" i="2" s="1"/>
  <c r="J109" i="2"/>
  <c r="K109" i="2"/>
  <c r="D110" i="2"/>
  <c r="E110" i="2"/>
  <c r="F110" i="2"/>
  <c r="I110" i="2"/>
  <c r="L110" i="2" s="1"/>
  <c r="J110" i="2"/>
  <c r="K110" i="2"/>
  <c r="D111" i="2"/>
  <c r="E111" i="2"/>
  <c r="G111" i="2" s="1"/>
  <c r="F111" i="2"/>
  <c r="I111" i="2"/>
  <c r="L111" i="2" s="1"/>
  <c r="J111" i="2"/>
  <c r="K111" i="2"/>
  <c r="D112" i="2"/>
  <c r="E112" i="2"/>
  <c r="F112" i="2"/>
  <c r="I112" i="2"/>
  <c r="L112" i="2" s="1"/>
  <c r="J112" i="2"/>
  <c r="K112" i="2"/>
  <c r="D113" i="2"/>
  <c r="E113" i="2"/>
  <c r="F113" i="2"/>
  <c r="I113" i="2"/>
  <c r="L113" i="2" s="1"/>
  <c r="J113" i="2"/>
  <c r="K113" i="2"/>
  <c r="D114" i="2"/>
  <c r="E114" i="2"/>
  <c r="F114" i="2"/>
  <c r="I114" i="2"/>
  <c r="L114" i="2" s="1"/>
  <c r="J114" i="2"/>
  <c r="K114" i="2"/>
  <c r="D115" i="2"/>
  <c r="E115" i="2"/>
  <c r="F115" i="2"/>
  <c r="G115" i="2"/>
  <c r="I115" i="2"/>
  <c r="L115" i="2" s="1"/>
  <c r="J115" i="2"/>
  <c r="K115" i="2"/>
  <c r="D116" i="2"/>
  <c r="E116" i="2"/>
  <c r="F116" i="2"/>
  <c r="I116" i="2"/>
  <c r="L116" i="2" s="1"/>
  <c r="J116" i="2"/>
  <c r="K116" i="2"/>
  <c r="D117" i="2"/>
  <c r="E117" i="2"/>
  <c r="F117" i="2"/>
  <c r="I117" i="2"/>
  <c r="L117" i="2" s="1"/>
  <c r="J117" i="2"/>
  <c r="K117" i="2"/>
  <c r="D118" i="2"/>
  <c r="E118" i="2"/>
  <c r="F118" i="2"/>
  <c r="I118" i="2"/>
  <c r="L118" i="2" s="1"/>
  <c r="J118" i="2"/>
  <c r="K118" i="2"/>
  <c r="D119" i="2"/>
  <c r="E119" i="2"/>
  <c r="F119" i="2"/>
  <c r="I119" i="2"/>
  <c r="L119" i="2" s="1"/>
  <c r="J119" i="2"/>
  <c r="M119" i="2" s="1"/>
  <c r="K119" i="2"/>
  <c r="D120" i="2"/>
  <c r="E120" i="2"/>
  <c r="F120" i="2"/>
  <c r="I120" i="2"/>
  <c r="L120" i="2" s="1"/>
  <c r="J120" i="2"/>
  <c r="K120" i="2"/>
  <c r="D121" i="2"/>
  <c r="E121" i="2"/>
  <c r="F121" i="2"/>
  <c r="I121" i="2"/>
  <c r="L121" i="2" s="1"/>
  <c r="J121" i="2"/>
  <c r="K121" i="2"/>
  <c r="D122" i="2"/>
  <c r="E122" i="2"/>
  <c r="F122" i="2"/>
  <c r="I122" i="2"/>
  <c r="L122" i="2" s="1"/>
  <c r="J122" i="2"/>
  <c r="K122" i="2"/>
  <c r="D123" i="2"/>
  <c r="E123" i="2"/>
  <c r="F123" i="2"/>
  <c r="I123" i="2"/>
  <c r="L123" i="2" s="1"/>
  <c r="J123" i="2"/>
  <c r="K123" i="2"/>
  <c r="D124" i="2"/>
  <c r="E124" i="2"/>
  <c r="F124" i="2"/>
  <c r="I124" i="2"/>
  <c r="L124" i="2" s="1"/>
  <c r="J124" i="2"/>
  <c r="K124" i="2"/>
  <c r="D125" i="2"/>
  <c r="E125" i="2"/>
  <c r="F125" i="2"/>
  <c r="I125" i="2"/>
  <c r="L125" i="2" s="1"/>
  <c r="J125" i="2"/>
  <c r="M125" i="2" s="1"/>
  <c r="K125" i="2"/>
  <c r="D126" i="2"/>
  <c r="E126" i="2"/>
  <c r="F126" i="2"/>
  <c r="I126" i="2"/>
  <c r="L126" i="2" s="1"/>
  <c r="J126" i="2"/>
  <c r="K126" i="2"/>
  <c r="D127" i="2"/>
  <c r="E127" i="2"/>
  <c r="F127" i="2"/>
  <c r="I127" i="2"/>
  <c r="L127" i="2" s="1"/>
  <c r="J127" i="2"/>
  <c r="K127" i="2"/>
  <c r="D128" i="2"/>
  <c r="E128" i="2"/>
  <c r="F128" i="2"/>
  <c r="I128" i="2"/>
  <c r="L128" i="2" s="1"/>
  <c r="J128" i="2"/>
  <c r="K128" i="2"/>
  <c r="D129" i="2"/>
  <c r="E129" i="2"/>
  <c r="G129" i="2" s="1"/>
  <c r="F129" i="2"/>
  <c r="I129" i="2"/>
  <c r="L129" i="2" s="1"/>
  <c r="J129" i="2"/>
  <c r="M129" i="2" s="1"/>
  <c r="N129" i="2" s="1"/>
  <c r="K129" i="2"/>
  <c r="D130" i="2"/>
  <c r="E130" i="2"/>
  <c r="F130" i="2"/>
  <c r="I130" i="2"/>
  <c r="L130" i="2" s="1"/>
  <c r="J130" i="2"/>
  <c r="K130" i="2"/>
  <c r="D131" i="2"/>
  <c r="E131" i="2"/>
  <c r="F131" i="2"/>
  <c r="I131" i="2"/>
  <c r="L131" i="2" s="1"/>
  <c r="J131" i="2"/>
  <c r="K131" i="2"/>
  <c r="D132" i="2"/>
  <c r="E132" i="2"/>
  <c r="F132" i="2"/>
  <c r="I132" i="2"/>
  <c r="L132" i="2" s="1"/>
  <c r="J132" i="2"/>
  <c r="K132" i="2"/>
  <c r="D133" i="2"/>
  <c r="G133" i="2" s="1"/>
  <c r="E133" i="2"/>
  <c r="F133" i="2"/>
  <c r="I133" i="2"/>
  <c r="L133" i="2" s="1"/>
  <c r="J133" i="2"/>
  <c r="K133" i="2"/>
  <c r="D134" i="2"/>
  <c r="E134" i="2"/>
  <c r="F134" i="2"/>
  <c r="I134" i="2"/>
  <c r="L134" i="2" s="1"/>
  <c r="J134" i="2"/>
  <c r="K134" i="2"/>
  <c r="D135" i="2"/>
  <c r="E135" i="2"/>
  <c r="F135" i="2"/>
  <c r="I135" i="2"/>
  <c r="L135" i="2" s="1"/>
  <c r="J135" i="2"/>
  <c r="K135" i="2"/>
  <c r="D136" i="2"/>
  <c r="E136" i="2"/>
  <c r="F136" i="2"/>
  <c r="I136" i="2"/>
  <c r="L136" i="2" s="1"/>
  <c r="J136" i="2"/>
  <c r="K136" i="2"/>
  <c r="D137" i="2"/>
  <c r="E137" i="2"/>
  <c r="F137" i="2"/>
  <c r="I137" i="2"/>
  <c r="L137" i="2" s="1"/>
  <c r="J137" i="2"/>
  <c r="K137" i="2"/>
  <c r="D138" i="2"/>
  <c r="E138" i="2"/>
  <c r="F138" i="2"/>
  <c r="I138" i="2"/>
  <c r="L138" i="2" s="1"/>
  <c r="J138" i="2"/>
  <c r="K138" i="2"/>
  <c r="D139" i="2"/>
  <c r="E139" i="2"/>
  <c r="F139" i="2"/>
  <c r="I139" i="2"/>
  <c r="L139" i="2" s="1"/>
  <c r="J139" i="2"/>
  <c r="K139" i="2"/>
  <c r="D140" i="2"/>
  <c r="E140" i="2"/>
  <c r="F140" i="2"/>
  <c r="I140" i="2"/>
  <c r="L140" i="2" s="1"/>
  <c r="J140" i="2"/>
  <c r="K140" i="2"/>
  <c r="D141" i="2"/>
  <c r="E141" i="2"/>
  <c r="F141" i="2"/>
  <c r="I141" i="2"/>
  <c r="L141" i="2" s="1"/>
  <c r="J141" i="2"/>
  <c r="K141" i="2"/>
  <c r="D142" i="2"/>
  <c r="E142" i="2"/>
  <c r="F142" i="2"/>
  <c r="I142" i="2"/>
  <c r="L142" i="2" s="1"/>
  <c r="J142" i="2"/>
  <c r="K142" i="2"/>
  <c r="D143" i="2"/>
  <c r="E143" i="2"/>
  <c r="F143" i="2"/>
  <c r="I143" i="2"/>
  <c r="L143" i="2" s="1"/>
  <c r="J143" i="2"/>
  <c r="K143" i="2"/>
  <c r="D144" i="2"/>
  <c r="E144" i="2"/>
  <c r="F144" i="2"/>
  <c r="I144" i="2"/>
  <c r="L144" i="2" s="1"/>
  <c r="J144" i="2"/>
  <c r="K144" i="2"/>
  <c r="D145" i="2"/>
  <c r="E145" i="2"/>
  <c r="F145" i="2"/>
  <c r="I145" i="2"/>
  <c r="L145" i="2" s="1"/>
  <c r="J145" i="2"/>
  <c r="K145" i="2"/>
  <c r="D146" i="2"/>
  <c r="E146" i="2"/>
  <c r="F146" i="2"/>
  <c r="I146" i="2"/>
  <c r="L146" i="2" s="1"/>
  <c r="J146" i="2"/>
  <c r="K146" i="2"/>
  <c r="D147" i="2"/>
  <c r="E147" i="2"/>
  <c r="F147" i="2"/>
  <c r="I147" i="2"/>
  <c r="L147" i="2" s="1"/>
  <c r="J147" i="2"/>
  <c r="K147" i="2"/>
  <c r="D148" i="2"/>
  <c r="E148" i="2"/>
  <c r="F148" i="2"/>
  <c r="I148" i="2"/>
  <c r="L148" i="2" s="1"/>
  <c r="J148" i="2"/>
  <c r="K148" i="2"/>
  <c r="D149" i="2"/>
  <c r="E149" i="2"/>
  <c r="F149" i="2"/>
  <c r="I149" i="2"/>
  <c r="L149" i="2" s="1"/>
  <c r="J149" i="2"/>
  <c r="K149" i="2"/>
  <c r="D150" i="2"/>
  <c r="E150" i="2"/>
  <c r="F150" i="2"/>
  <c r="I150" i="2"/>
  <c r="L150" i="2" s="1"/>
  <c r="J150" i="2"/>
  <c r="K150" i="2"/>
  <c r="D151" i="2"/>
  <c r="E151" i="2"/>
  <c r="F151" i="2"/>
  <c r="I151" i="2"/>
  <c r="L151" i="2" s="1"/>
  <c r="J151" i="2"/>
  <c r="K151" i="2"/>
  <c r="D152" i="2"/>
  <c r="E152" i="2"/>
  <c r="G152" i="2" s="1"/>
  <c r="F152" i="2"/>
  <c r="I152" i="2"/>
  <c r="L152" i="2" s="1"/>
  <c r="J152" i="2"/>
  <c r="K152" i="2"/>
  <c r="D153" i="2"/>
  <c r="G153" i="2" s="1"/>
  <c r="E153" i="2"/>
  <c r="F153" i="2"/>
  <c r="I153" i="2"/>
  <c r="L153" i="2" s="1"/>
  <c r="J153" i="2"/>
  <c r="K153" i="2"/>
  <c r="D154" i="2"/>
  <c r="E154" i="2"/>
  <c r="F154" i="2"/>
  <c r="I154" i="2"/>
  <c r="L154" i="2" s="1"/>
  <c r="J154" i="2"/>
  <c r="K154" i="2"/>
  <c r="D155" i="2"/>
  <c r="E155" i="2"/>
  <c r="F155" i="2"/>
  <c r="I155" i="2"/>
  <c r="L155" i="2" s="1"/>
  <c r="J155" i="2"/>
  <c r="K155" i="2"/>
  <c r="D156" i="2"/>
  <c r="E156" i="2"/>
  <c r="F156" i="2"/>
  <c r="I156" i="2"/>
  <c r="L156" i="2" s="1"/>
  <c r="J156" i="2"/>
  <c r="K156" i="2"/>
  <c r="D157" i="2"/>
  <c r="E157" i="2"/>
  <c r="F157" i="2"/>
  <c r="I157" i="2"/>
  <c r="L157" i="2" s="1"/>
  <c r="J157" i="2"/>
  <c r="K157" i="2"/>
  <c r="D158" i="2"/>
  <c r="E158" i="2"/>
  <c r="F158" i="2"/>
  <c r="I158" i="2"/>
  <c r="L158" i="2" s="1"/>
  <c r="J158" i="2"/>
  <c r="K158" i="2"/>
  <c r="D159" i="2"/>
  <c r="E159" i="2"/>
  <c r="F159" i="2"/>
  <c r="I159" i="2"/>
  <c r="L159" i="2" s="1"/>
  <c r="J159" i="2"/>
  <c r="M159" i="2" s="1"/>
  <c r="K159" i="2"/>
  <c r="D160" i="2"/>
  <c r="E160" i="2"/>
  <c r="F160" i="2"/>
  <c r="I160" i="2"/>
  <c r="L160" i="2" s="1"/>
  <c r="J160" i="2"/>
  <c r="K160" i="2"/>
  <c r="D161" i="2"/>
  <c r="E161" i="2"/>
  <c r="F161" i="2"/>
  <c r="I161" i="2"/>
  <c r="L161" i="2" s="1"/>
  <c r="J161" i="2"/>
  <c r="K161" i="2"/>
  <c r="D162" i="2"/>
  <c r="E162" i="2"/>
  <c r="F162" i="2"/>
  <c r="I162" i="2"/>
  <c r="L162" i="2" s="1"/>
  <c r="J162" i="2"/>
  <c r="K162" i="2"/>
  <c r="D163" i="2"/>
  <c r="E163" i="2"/>
  <c r="F163" i="2"/>
  <c r="I163" i="2"/>
  <c r="L163" i="2" s="1"/>
  <c r="J163" i="2"/>
  <c r="M163" i="2" s="1"/>
  <c r="K163" i="2"/>
  <c r="D164" i="2"/>
  <c r="E164" i="2"/>
  <c r="F164" i="2"/>
  <c r="I164" i="2"/>
  <c r="L164" i="2" s="1"/>
  <c r="J164" i="2"/>
  <c r="K164" i="2"/>
  <c r="D165" i="2"/>
  <c r="E165" i="2"/>
  <c r="F165" i="2"/>
  <c r="I165" i="2"/>
  <c r="L165" i="2" s="1"/>
  <c r="J165" i="2"/>
  <c r="K165" i="2"/>
  <c r="D166" i="2"/>
  <c r="E166" i="2"/>
  <c r="F166" i="2"/>
  <c r="I166" i="2"/>
  <c r="L166" i="2" s="1"/>
  <c r="J166" i="2"/>
  <c r="K166" i="2"/>
  <c r="D167" i="2"/>
  <c r="E167" i="2"/>
  <c r="F167" i="2"/>
  <c r="I167" i="2"/>
  <c r="L167" i="2" s="1"/>
  <c r="J167" i="2"/>
  <c r="K167" i="2"/>
  <c r="D168" i="2"/>
  <c r="E168" i="2"/>
  <c r="F168" i="2"/>
  <c r="I168" i="2"/>
  <c r="L168" i="2" s="1"/>
  <c r="M168" i="2" s="1"/>
  <c r="J168" i="2"/>
  <c r="K168" i="2"/>
  <c r="D169" i="2"/>
  <c r="E169" i="2"/>
  <c r="F169" i="2"/>
  <c r="I169" i="2"/>
  <c r="L169" i="2" s="1"/>
  <c r="J169" i="2"/>
  <c r="K169" i="2"/>
  <c r="D170" i="2"/>
  <c r="E170" i="2"/>
  <c r="F170" i="2"/>
  <c r="I170" i="2"/>
  <c r="L170" i="2" s="1"/>
  <c r="J170" i="2"/>
  <c r="K170" i="2"/>
  <c r="D171" i="2"/>
  <c r="E171" i="2"/>
  <c r="F171" i="2"/>
  <c r="I171" i="2"/>
  <c r="L171" i="2" s="1"/>
  <c r="J171" i="2"/>
  <c r="K171" i="2"/>
  <c r="D172" i="2"/>
  <c r="E172" i="2"/>
  <c r="F172" i="2"/>
  <c r="I172" i="2"/>
  <c r="L172" i="2" s="1"/>
  <c r="M172" i="2" s="1"/>
  <c r="J172" i="2"/>
  <c r="K172" i="2"/>
  <c r="D173" i="2"/>
  <c r="E173" i="2"/>
  <c r="F173" i="2"/>
  <c r="I173" i="2"/>
  <c r="L173" i="2" s="1"/>
  <c r="J173" i="2"/>
  <c r="K173" i="2"/>
  <c r="D174" i="2"/>
  <c r="E174" i="2"/>
  <c r="F174" i="2"/>
  <c r="I174" i="2"/>
  <c r="L174" i="2" s="1"/>
  <c r="J174" i="2"/>
  <c r="K174" i="2"/>
  <c r="D175" i="2"/>
  <c r="E175" i="2"/>
  <c r="F175" i="2"/>
  <c r="I175" i="2"/>
  <c r="L175" i="2" s="1"/>
  <c r="J175" i="2"/>
  <c r="K175" i="2"/>
  <c r="D176" i="2"/>
  <c r="E176" i="2"/>
  <c r="F176" i="2"/>
  <c r="I176" i="2"/>
  <c r="L176" i="2" s="1"/>
  <c r="J176" i="2"/>
  <c r="K176" i="2"/>
  <c r="D177" i="2"/>
  <c r="E177" i="2"/>
  <c r="F177" i="2"/>
  <c r="I177" i="2"/>
  <c r="L177" i="2" s="1"/>
  <c r="J177" i="2"/>
  <c r="K177" i="2"/>
  <c r="D178" i="2"/>
  <c r="E178" i="2"/>
  <c r="F178" i="2"/>
  <c r="I178" i="2"/>
  <c r="L178" i="2" s="1"/>
  <c r="J178" i="2"/>
  <c r="K178" i="2"/>
  <c r="D179" i="2"/>
  <c r="E179" i="2"/>
  <c r="F179" i="2"/>
  <c r="I179" i="2"/>
  <c r="J179" i="2"/>
  <c r="K179" i="2"/>
  <c r="D180" i="2"/>
  <c r="E180" i="2"/>
  <c r="F180" i="2"/>
  <c r="I180" i="2"/>
  <c r="L180" i="2" s="1"/>
  <c r="M180" i="2" s="1"/>
  <c r="J180" i="2"/>
  <c r="K180" i="2"/>
  <c r="D181" i="2"/>
  <c r="E181" i="2"/>
  <c r="F181" i="2"/>
  <c r="I181" i="2"/>
  <c r="L181" i="2" s="1"/>
  <c r="J181" i="2"/>
  <c r="K181" i="2"/>
  <c r="D182" i="2"/>
  <c r="E182" i="2"/>
  <c r="F182" i="2"/>
  <c r="G182" i="2" s="1"/>
  <c r="I182" i="2"/>
  <c r="L182" i="2" s="1"/>
  <c r="J182" i="2"/>
  <c r="K182" i="2"/>
  <c r="D183" i="2"/>
  <c r="E183" i="2"/>
  <c r="F183" i="2"/>
  <c r="I183" i="2"/>
  <c r="L183" i="2" s="1"/>
  <c r="J183" i="2"/>
  <c r="M183" i="2" s="1"/>
  <c r="K183" i="2"/>
  <c r="D184" i="2"/>
  <c r="E184" i="2"/>
  <c r="F184" i="2"/>
  <c r="I184" i="2"/>
  <c r="L184" i="2" s="1"/>
  <c r="M184" i="2" s="1"/>
  <c r="J184" i="2"/>
  <c r="K184" i="2"/>
  <c r="D185" i="2"/>
  <c r="E185" i="2"/>
  <c r="F185" i="2"/>
  <c r="I185" i="2"/>
  <c r="L185" i="2" s="1"/>
  <c r="J185" i="2"/>
  <c r="K185" i="2"/>
  <c r="D186" i="2"/>
  <c r="E186" i="2"/>
  <c r="F186" i="2"/>
  <c r="G186" i="2" s="1"/>
  <c r="I186" i="2"/>
  <c r="L186" i="2" s="1"/>
  <c r="J186" i="2"/>
  <c r="K186" i="2"/>
  <c r="D187" i="2"/>
  <c r="E187" i="2"/>
  <c r="F187" i="2"/>
  <c r="I187" i="2"/>
  <c r="L187" i="2" s="1"/>
  <c r="J187" i="2"/>
  <c r="M187" i="2" s="1"/>
  <c r="K187" i="2"/>
  <c r="D188" i="2"/>
  <c r="E188" i="2"/>
  <c r="G188" i="2" s="1"/>
  <c r="F188" i="2"/>
  <c r="I188" i="2"/>
  <c r="L188" i="2" s="1"/>
  <c r="M188" i="2" s="1"/>
  <c r="J188" i="2"/>
  <c r="K188" i="2"/>
  <c r="D189" i="2"/>
  <c r="E189" i="2"/>
  <c r="F189" i="2"/>
  <c r="I189" i="2"/>
  <c r="L189" i="2" s="1"/>
  <c r="J189" i="2"/>
  <c r="K189" i="2"/>
  <c r="D190" i="2"/>
  <c r="E190" i="2"/>
  <c r="F190" i="2"/>
  <c r="I190" i="2"/>
  <c r="L190" i="2" s="1"/>
  <c r="J190" i="2"/>
  <c r="K190" i="2"/>
  <c r="D191" i="2"/>
  <c r="E191" i="2"/>
  <c r="F191" i="2"/>
  <c r="I191" i="2"/>
  <c r="J191" i="2"/>
  <c r="K191" i="2"/>
  <c r="D192" i="2"/>
  <c r="E192" i="2"/>
  <c r="F192" i="2"/>
  <c r="I192" i="2"/>
  <c r="L192" i="2" s="1"/>
  <c r="M192" i="2" s="1"/>
  <c r="J192" i="2"/>
  <c r="K192" i="2"/>
  <c r="D193" i="2"/>
  <c r="E193" i="2"/>
  <c r="F193" i="2"/>
  <c r="I193" i="2"/>
  <c r="L193" i="2" s="1"/>
  <c r="J193" i="2"/>
  <c r="K193" i="2"/>
  <c r="D194" i="2"/>
  <c r="E194" i="2"/>
  <c r="F194" i="2"/>
  <c r="I194" i="2"/>
  <c r="L194" i="2" s="1"/>
  <c r="J194" i="2"/>
  <c r="K194" i="2"/>
  <c r="D195" i="2"/>
  <c r="E195" i="2"/>
  <c r="F195" i="2"/>
  <c r="I195" i="2"/>
  <c r="J195" i="2"/>
  <c r="K195" i="2"/>
  <c r="D196" i="2"/>
  <c r="E196" i="2"/>
  <c r="G196" i="2" s="1"/>
  <c r="F196" i="2"/>
  <c r="I196" i="2"/>
  <c r="L196" i="2" s="1"/>
  <c r="M196" i="2" s="1"/>
  <c r="J196" i="2"/>
  <c r="K196" i="2"/>
  <c r="D197" i="2"/>
  <c r="E197" i="2"/>
  <c r="F197" i="2"/>
  <c r="I197" i="2"/>
  <c r="L197" i="2" s="1"/>
  <c r="J197" i="2"/>
  <c r="K197" i="2"/>
  <c r="D198" i="2"/>
  <c r="E198" i="2"/>
  <c r="F198" i="2"/>
  <c r="I198" i="2"/>
  <c r="L198" i="2" s="1"/>
  <c r="J198" i="2"/>
  <c r="K198" i="2"/>
  <c r="D199" i="2"/>
  <c r="E199" i="2"/>
  <c r="F199" i="2"/>
  <c r="I199" i="2"/>
  <c r="L199" i="2" s="1"/>
  <c r="J199" i="2"/>
  <c r="K199" i="2"/>
  <c r="D200" i="2"/>
  <c r="E200" i="2"/>
  <c r="F200" i="2"/>
  <c r="I200" i="2"/>
  <c r="L200" i="2" s="1"/>
  <c r="J200" i="2"/>
  <c r="K200" i="2"/>
  <c r="D201" i="2"/>
  <c r="E201" i="2"/>
  <c r="F201" i="2"/>
  <c r="I201" i="2"/>
  <c r="L201" i="2" s="1"/>
  <c r="J201" i="2"/>
  <c r="K201" i="2"/>
  <c r="D202" i="2"/>
  <c r="E202" i="2"/>
  <c r="F202" i="2"/>
  <c r="G202" i="2" s="1"/>
  <c r="I202" i="2"/>
  <c r="L202" i="2" s="1"/>
  <c r="J202" i="2"/>
  <c r="K202" i="2"/>
  <c r="D203" i="2"/>
  <c r="E203" i="2"/>
  <c r="F203" i="2"/>
  <c r="I203" i="2"/>
  <c r="L203" i="2" s="1"/>
  <c r="J203" i="2"/>
  <c r="K203" i="2"/>
  <c r="D204" i="2"/>
  <c r="E204" i="2"/>
  <c r="F204" i="2"/>
  <c r="I204" i="2"/>
  <c r="L204" i="2" s="1"/>
  <c r="J204" i="2"/>
  <c r="K204" i="2"/>
  <c r="D205" i="2"/>
  <c r="E205" i="2"/>
  <c r="F205" i="2"/>
  <c r="I205" i="2"/>
  <c r="L205" i="2" s="1"/>
  <c r="J205" i="2"/>
  <c r="K205" i="2"/>
  <c r="D206" i="2"/>
  <c r="E206" i="2"/>
  <c r="F206" i="2"/>
  <c r="I206" i="2"/>
  <c r="L206" i="2" s="1"/>
  <c r="J206" i="2"/>
  <c r="K206" i="2"/>
  <c r="D207" i="2"/>
  <c r="E207" i="2"/>
  <c r="F207" i="2"/>
  <c r="I207" i="2"/>
  <c r="L207" i="2" s="1"/>
  <c r="J207" i="2"/>
  <c r="K207" i="2"/>
  <c r="D208" i="2"/>
  <c r="E208" i="2"/>
  <c r="F208" i="2"/>
  <c r="I208" i="2"/>
  <c r="L208" i="2" s="1"/>
  <c r="J208" i="2"/>
  <c r="K208" i="2"/>
  <c r="D209" i="2"/>
  <c r="E209" i="2"/>
  <c r="F209" i="2"/>
  <c r="I209" i="2"/>
  <c r="L209" i="2" s="1"/>
  <c r="J209" i="2"/>
  <c r="K209" i="2"/>
  <c r="D210" i="2"/>
  <c r="E210" i="2"/>
  <c r="F210" i="2"/>
  <c r="I210" i="2"/>
  <c r="L210" i="2" s="1"/>
  <c r="J210" i="2"/>
  <c r="M210" i="2" s="1"/>
  <c r="K210" i="2"/>
  <c r="D211" i="2"/>
  <c r="E211" i="2"/>
  <c r="F211" i="2"/>
  <c r="I211" i="2"/>
  <c r="L211" i="2" s="1"/>
  <c r="J211" i="2"/>
  <c r="K211" i="2"/>
  <c r="D212" i="2"/>
  <c r="E212" i="2"/>
  <c r="F212" i="2"/>
  <c r="I212" i="2"/>
  <c r="L212" i="2" s="1"/>
  <c r="J212" i="2"/>
  <c r="K212" i="2"/>
  <c r="D213" i="2"/>
  <c r="E213" i="2"/>
  <c r="F213" i="2"/>
  <c r="I213" i="2"/>
  <c r="L213" i="2" s="1"/>
  <c r="J213" i="2"/>
  <c r="K213" i="2"/>
  <c r="D214" i="2"/>
  <c r="E214" i="2"/>
  <c r="F214" i="2"/>
  <c r="I214" i="2"/>
  <c r="L214" i="2" s="1"/>
  <c r="J214" i="2"/>
  <c r="K214" i="2"/>
  <c r="D215" i="2"/>
  <c r="E215" i="2"/>
  <c r="F215" i="2"/>
  <c r="I215" i="2"/>
  <c r="L215" i="2" s="1"/>
  <c r="J215" i="2"/>
  <c r="K215" i="2"/>
  <c r="D216" i="2"/>
  <c r="E216" i="2"/>
  <c r="F216" i="2"/>
  <c r="G216" i="2" s="1"/>
  <c r="I216" i="2"/>
  <c r="L216" i="2" s="1"/>
  <c r="J216" i="2"/>
  <c r="K216" i="2"/>
  <c r="D217" i="2"/>
  <c r="E217" i="2"/>
  <c r="F217" i="2"/>
  <c r="I217" i="2"/>
  <c r="L217" i="2" s="1"/>
  <c r="J217" i="2"/>
  <c r="M217" i="2" s="1"/>
  <c r="K217" i="2"/>
  <c r="D218" i="2"/>
  <c r="E218" i="2"/>
  <c r="F218" i="2"/>
  <c r="I218" i="2"/>
  <c r="L218" i="2" s="1"/>
  <c r="J218" i="2"/>
  <c r="K218" i="2"/>
  <c r="D219" i="2"/>
  <c r="E219" i="2"/>
  <c r="F219" i="2"/>
  <c r="I219" i="2"/>
  <c r="L219" i="2" s="1"/>
  <c r="J219" i="2"/>
  <c r="K219" i="2"/>
  <c r="D220" i="2"/>
  <c r="E220" i="2"/>
  <c r="F220" i="2"/>
  <c r="G220" i="2" s="1"/>
  <c r="I220" i="2"/>
  <c r="L220" i="2" s="1"/>
  <c r="J220" i="2"/>
  <c r="K220" i="2"/>
  <c r="D221" i="2"/>
  <c r="E221" i="2"/>
  <c r="F221" i="2"/>
  <c r="I221" i="2"/>
  <c r="L221" i="2" s="1"/>
  <c r="J221" i="2"/>
  <c r="M221" i="2" s="1"/>
  <c r="K221" i="2"/>
  <c r="D222" i="2"/>
  <c r="E222" i="2"/>
  <c r="F222" i="2"/>
  <c r="I222" i="2"/>
  <c r="L222" i="2" s="1"/>
  <c r="J222" i="2"/>
  <c r="K222" i="2"/>
  <c r="D223" i="2"/>
  <c r="E223" i="2"/>
  <c r="F223" i="2"/>
  <c r="I223" i="2"/>
  <c r="L223" i="2" s="1"/>
  <c r="J223" i="2"/>
  <c r="K223" i="2"/>
  <c r="D224" i="2"/>
  <c r="E224" i="2"/>
  <c r="F224" i="2"/>
  <c r="G224" i="2" s="1"/>
  <c r="I224" i="2"/>
  <c r="L224" i="2" s="1"/>
  <c r="J224" i="2"/>
  <c r="K224" i="2"/>
  <c r="D225" i="2"/>
  <c r="E225" i="2"/>
  <c r="F225" i="2"/>
  <c r="I225" i="2"/>
  <c r="L225" i="2" s="1"/>
  <c r="J225" i="2"/>
  <c r="M225" i="2" s="1"/>
  <c r="K225" i="2"/>
  <c r="D226" i="2"/>
  <c r="E226" i="2"/>
  <c r="F226" i="2"/>
  <c r="I226" i="2"/>
  <c r="L226" i="2" s="1"/>
  <c r="J226" i="2"/>
  <c r="K226" i="2"/>
  <c r="D227" i="2"/>
  <c r="G227" i="2" s="1"/>
  <c r="E227" i="2"/>
  <c r="F227" i="2"/>
  <c r="I227" i="2"/>
  <c r="J227" i="2"/>
  <c r="K227" i="2"/>
  <c r="D228" i="2"/>
  <c r="E228" i="2"/>
  <c r="F228" i="2"/>
  <c r="G228" i="2" s="1"/>
  <c r="I228" i="2"/>
  <c r="L228" i="2" s="1"/>
  <c r="J228" i="2"/>
  <c r="K228" i="2"/>
  <c r="D229" i="2"/>
  <c r="E229" i="2"/>
  <c r="F229" i="2"/>
  <c r="I229" i="2"/>
  <c r="L229" i="2" s="1"/>
  <c r="J229" i="2"/>
  <c r="M229" i="2" s="1"/>
  <c r="K229" i="2"/>
  <c r="D230" i="2"/>
  <c r="E230" i="2"/>
  <c r="F230" i="2"/>
  <c r="I230" i="2"/>
  <c r="L230" i="2" s="1"/>
  <c r="J230" i="2"/>
  <c r="K230" i="2"/>
  <c r="D231" i="2"/>
  <c r="E231" i="2"/>
  <c r="F231" i="2"/>
  <c r="I231" i="2"/>
  <c r="L231" i="2" s="1"/>
  <c r="J231" i="2"/>
  <c r="K231" i="2"/>
  <c r="D232" i="2"/>
  <c r="E232" i="2"/>
  <c r="F232" i="2"/>
  <c r="I232" i="2"/>
  <c r="L232" i="2" s="1"/>
  <c r="J232" i="2"/>
  <c r="K232" i="2"/>
  <c r="D233" i="2"/>
  <c r="E233" i="2"/>
  <c r="F233" i="2"/>
  <c r="I233" i="2"/>
  <c r="L233" i="2" s="1"/>
  <c r="J233" i="2"/>
  <c r="M233" i="2" s="1"/>
  <c r="K233" i="2"/>
  <c r="D234" i="2"/>
  <c r="E234" i="2"/>
  <c r="F234" i="2"/>
  <c r="I234" i="2"/>
  <c r="L234" i="2" s="1"/>
  <c r="J234" i="2"/>
  <c r="K234" i="2"/>
  <c r="D235" i="2"/>
  <c r="G235" i="2" s="1"/>
  <c r="E235" i="2"/>
  <c r="F235" i="2"/>
  <c r="I235" i="2"/>
  <c r="L235" i="2" s="1"/>
  <c r="J235" i="2"/>
  <c r="K235" i="2"/>
  <c r="D236" i="2"/>
  <c r="E236" i="2"/>
  <c r="F236" i="2"/>
  <c r="G236" i="2" s="1"/>
  <c r="I236" i="2"/>
  <c r="L236" i="2" s="1"/>
  <c r="J236" i="2"/>
  <c r="K236" i="2"/>
  <c r="D237" i="2"/>
  <c r="E237" i="2"/>
  <c r="F237" i="2"/>
  <c r="I237" i="2"/>
  <c r="L237" i="2" s="1"/>
  <c r="J237" i="2"/>
  <c r="K237" i="2"/>
  <c r="D238" i="2"/>
  <c r="E238" i="2"/>
  <c r="F238" i="2"/>
  <c r="I238" i="2"/>
  <c r="L238" i="2" s="1"/>
  <c r="J238" i="2"/>
  <c r="M238" i="2" s="1"/>
  <c r="K238" i="2"/>
  <c r="D239" i="2"/>
  <c r="E239" i="2"/>
  <c r="F239" i="2"/>
  <c r="I239" i="2"/>
  <c r="L239" i="2" s="1"/>
  <c r="J239" i="2"/>
  <c r="K239" i="2"/>
  <c r="D240" i="2"/>
  <c r="E240" i="2"/>
  <c r="F240" i="2"/>
  <c r="I240" i="2"/>
  <c r="L240" i="2" s="1"/>
  <c r="J240" i="2"/>
  <c r="K240" i="2"/>
  <c r="D241" i="2"/>
  <c r="E241" i="2"/>
  <c r="F241" i="2"/>
  <c r="G241" i="2" s="1"/>
  <c r="I241" i="2"/>
  <c r="L241" i="2" s="1"/>
  <c r="J241" i="2"/>
  <c r="K241" i="2"/>
  <c r="D242" i="2"/>
  <c r="E242" i="2"/>
  <c r="F242" i="2"/>
  <c r="I242" i="2"/>
  <c r="L242" i="2" s="1"/>
  <c r="J242" i="2"/>
  <c r="M242" i="2" s="1"/>
  <c r="K242" i="2"/>
  <c r="D243" i="2"/>
  <c r="E243" i="2"/>
  <c r="F243" i="2"/>
  <c r="I243" i="2"/>
  <c r="L243" i="2" s="1"/>
  <c r="J243" i="2"/>
  <c r="K243" i="2"/>
  <c r="D244" i="2"/>
  <c r="E244" i="2"/>
  <c r="F244" i="2"/>
  <c r="I244" i="2"/>
  <c r="L244" i="2" s="1"/>
  <c r="J244" i="2"/>
  <c r="K244" i="2"/>
  <c r="D245" i="2"/>
  <c r="E245" i="2"/>
  <c r="F245" i="2"/>
  <c r="G245" i="2" s="1"/>
  <c r="I245" i="2"/>
  <c r="L245" i="2" s="1"/>
  <c r="J245" i="2"/>
  <c r="K245" i="2"/>
  <c r="D246" i="2"/>
  <c r="E246" i="2"/>
  <c r="F246" i="2"/>
  <c r="I246" i="2"/>
  <c r="L246" i="2" s="1"/>
  <c r="J246" i="2"/>
  <c r="M246" i="2" s="1"/>
  <c r="K246" i="2"/>
  <c r="D247" i="2"/>
  <c r="E247" i="2"/>
  <c r="F247" i="2"/>
  <c r="I247" i="2"/>
  <c r="L247" i="2" s="1"/>
  <c r="J247" i="2"/>
  <c r="K247" i="2"/>
  <c r="D248" i="2"/>
  <c r="E248" i="2"/>
  <c r="F248" i="2"/>
  <c r="I248" i="2"/>
  <c r="L248" i="2" s="1"/>
  <c r="J248" i="2"/>
  <c r="K248" i="2"/>
  <c r="D249" i="2"/>
  <c r="E249" i="2"/>
  <c r="F249" i="2"/>
  <c r="I249" i="2"/>
  <c r="L249" i="2" s="1"/>
  <c r="J249" i="2"/>
  <c r="M249" i="2" s="1"/>
  <c r="K249" i="2"/>
  <c r="D250" i="2"/>
  <c r="E250" i="2"/>
  <c r="F250" i="2"/>
  <c r="I250" i="2"/>
  <c r="L250" i="2" s="1"/>
  <c r="J250" i="2"/>
  <c r="K250" i="2"/>
  <c r="D251" i="2"/>
  <c r="E251" i="2"/>
  <c r="F251" i="2"/>
  <c r="I251" i="2"/>
  <c r="L251" i="2" s="1"/>
  <c r="J251" i="2"/>
  <c r="K251" i="2"/>
  <c r="D252" i="2"/>
  <c r="E252" i="2"/>
  <c r="F252" i="2"/>
  <c r="I252" i="2"/>
  <c r="L252" i="2" s="1"/>
  <c r="J252" i="2"/>
  <c r="K252" i="2"/>
  <c r="D253" i="2"/>
  <c r="E253" i="2"/>
  <c r="F253" i="2"/>
  <c r="I253" i="2"/>
  <c r="L253" i="2" s="1"/>
  <c r="J253" i="2"/>
  <c r="K253" i="2"/>
  <c r="D254" i="2"/>
  <c r="E254" i="2"/>
  <c r="F254" i="2"/>
  <c r="I254" i="2"/>
  <c r="L254" i="2" s="1"/>
  <c r="J254" i="2"/>
  <c r="K254" i="2"/>
  <c r="D255" i="2"/>
  <c r="E255" i="2"/>
  <c r="F255" i="2"/>
  <c r="I255" i="2"/>
  <c r="L255" i="2" s="1"/>
  <c r="J255" i="2"/>
  <c r="K255" i="2"/>
  <c r="D256" i="2"/>
  <c r="E256" i="2"/>
  <c r="F256" i="2"/>
  <c r="I256" i="2"/>
  <c r="L256" i="2" s="1"/>
  <c r="J256" i="2"/>
  <c r="K256" i="2"/>
  <c r="D257" i="2"/>
  <c r="E257" i="2"/>
  <c r="F257" i="2"/>
  <c r="I257" i="2"/>
  <c r="L257" i="2" s="1"/>
  <c r="J257" i="2"/>
  <c r="K257" i="2"/>
  <c r="D258" i="2"/>
  <c r="E258" i="2"/>
  <c r="F258" i="2"/>
  <c r="I258" i="2"/>
  <c r="L258" i="2" s="1"/>
  <c r="J258" i="2"/>
  <c r="K258" i="2"/>
  <c r="D259" i="2"/>
  <c r="E259" i="2"/>
  <c r="F259" i="2"/>
  <c r="I259" i="2"/>
  <c r="L259" i="2" s="1"/>
  <c r="J259" i="2"/>
  <c r="K259" i="2"/>
  <c r="D260" i="2"/>
  <c r="E260" i="2"/>
  <c r="F260" i="2"/>
  <c r="I260" i="2"/>
  <c r="L260" i="2" s="1"/>
  <c r="J260" i="2"/>
  <c r="K260" i="2"/>
  <c r="D261" i="2"/>
  <c r="E261" i="2"/>
  <c r="F261" i="2"/>
  <c r="I261" i="2"/>
  <c r="L261" i="2" s="1"/>
  <c r="J261" i="2"/>
  <c r="K261" i="2"/>
  <c r="D262" i="2"/>
  <c r="E262" i="2"/>
  <c r="F262" i="2"/>
  <c r="I262" i="2"/>
  <c r="L262" i="2" s="1"/>
  <c r="J262" i="2"/>
  <c r="K262" i="2"/>
  <c r="D263" i="2"/>
  <c r="E263" i="2"/>
  <c r="F263" i="2"/>
  <c r="I263" i="2"/>
  <c r="L263" i="2" s="1"/>
  <c r="J263" i="2"/>
  <c r="K263" i="2"/>
  <c r="D264" i="2"/>
  <c r="E264" i="2"/>
  <c r="F264" i="2"/>
  <c r="I264" i="2"/>
  <c r="L264" i="2" s="1"/>
  <c r="J264" i="2"/>
  <c r="K264" i="2"/>
  <c r="D265" i="2"/>
  <c r="E265" i="2"/>
  <c r="F265" i="2"/>
  <c r="I265" i="2"/>
  <c r="L265" i="2" s="1"/>
  <c r="J265" i="2"/>
  <c r="K265" i="2"/>
  <c r="D266" i="2"/>
  <c r="E266" i="2"/>
  <c r="F266" i="2"/>
  <c r="I266" i="2"/>
  <c r="L266" i="2" s="1"/>
  <c r="J266" i="2"/>
  <c r="K266" i="2"/>
  <c r="D267" i="2"/>
  <c r="E267" i="2"/>
  <c r="F267" i="2"/>
  <c r="I267" i="2"/>
  <c r="L267" i="2" s="1"/>
  <c r="J267" i="2"/>
  <c r="K267" i="2"/>
  <c r="D268" i="2"/>
  <c r="E268" i="2"/>
  <c r="F268" i="2"/>
  <c r="I268" i="2"/>
  <c r="L268" i="2" s="1"/>
  <c r="J268" i="2"/>
  <c r="K268" i="2"/>
  <c r="D269" i="2"/>
  <c r="E269" i="2"/>
  <c r="F269" i="2"/>
  <c r="I269" i="2"/>
  <c r="L269" i="2" s="1"/>
  <c r="J269" i="2"/>
  <c r="K269" i="2"/>
  <c r="D270" i="2"/>
  <c r="E270" i="2"/>
  <c r="F270" i="2"/>
  <c r="I270" i="2"/>
  <c r="L270" i="2" s="1"/>
  <c r="J270" i="2"/>
  <c r="K270" i="2"/>
  <c r="D271" i="2"/>
  <c r="E271" i="2"/>
  <c r="F271" i="2"/>
  <c r="I271" i="2"/>
  <c r="L271" i="2" s="1"/>
  <c r="J271" i="2"/>
  <c r="K271" i="2"/>
  <c r="D272" i="2"/>
  <c r="E272" i="2"/>
  <c r="F272" i="2"/>
  <c r="I272" i="2"/>
  <c r="L272" i="2" s="1"/>
  <c r="J272" i="2"/>
  <c r="K272" i="2"/>
  <c r="D273" i="2"/>
  <c r="E273" i="2"/>
  <c r="F273" i="2"/>
  <c r="G273" i="2" s="1"/>
  <c r="I273" i="2"/>
  <c r="L273" i="2" s="1"/>
  <c r="J273" i="2"/>
  <c r="M273" i="2" s="1"/>
  <c r="K273" i="2"/>
  <c r="D274" i="2"/>
  <c r="E274" i="2"/>
  <c r="F274" i="2"/>
  <c r="I274" i="2"/>
  <c r="L274" i="2" s="1"/>
  <c r="J274" i="2"/>
  <c r="M274" i="2" s="1"/>
  <c r="K274" i="2"/>
  <c r="D275" i="2"/>
  <c r="E275" i="2"/>
  <c r="F275" i="2"/>
  <c r="I275" i="2"/>
  <c r="L275" i="2" s="1"/>
  <c r="J275" i="2"/>
  <c r="K275" i="2"/>
  <c r="D276" i="2"/>
  <c r="E276" i="2"/>
  <c r="F276" i="2"/>
  <c r="I276" i="2"/>
  <c r="L276" i="2" s="1"/>
  <c r="J276" i="2"/>
  <c r="K276" i="2"/>
  <c r="D277" i="2"/>
  <c r="E277" i="2"/>
  <c r="F277" i="2"/>
  <c r="I277" i="2"/>
  <c r="L277" i="2" s="1"/>
  <c r="J277" i="2"/>
  <c r="M277" i="2" s="1"/>
  <c r="K277" i="2"/>
  <c r="D278" i="2"/>
  <c r="E278" i="2"/>
  <c r="F278" i="2"/>
  <c r="I278" i="2"/>
  <c r="L278" i="2" s="1"/>
  <c r="J278" i="2"/>
  <c r="M278" i="2" s="1"/>
  <c r="K278" i="2"/>
  <c r="D279" i="2"/>
  <c r="G279" i="2" s="1"/>
  <c r="E279" i="2"/>
  <c r="F279" i="2"/>
  <c r="I279" i="2"/>
  <c r="L279" i="2" s="1"/>
  <c r="J279" i="2"/>
  <c r="K279" i="2"/>
  <c r="D280" i="2"/>
  <c r="E280" i="2"/>
  <c r="F280" i="2"/>
  <c r="I280" i="2"/>
  <c r="L280" i="2" s="1"/>
  <c r="J280" i="2"/>
  <c r="K280" i="2"/>
  <c r="D281" i="2"/>
  <c r="E281" i="2"/>
  <c r="F281" i="2"/>
  <c r="I281" i="2"/>
  <c r="L281" i="2" s="1"/>
  <c r="J281" i="2"/>
  <c r="K281" i="2"/>
  <c r="D282" i="2"/>
  <c r="E282" i="2"/>
  <c r="F282" i="2"/>
  <c r="I282" i="2"/>
  <c r="L282" i="2" s="1"/>
  <c r="J282" i="2"/>
  <c r="K282" i="2"/>
  <c r="D283" i="2"/>
  <c r="E283" i="2"/>
  <c r="F283" i="2"/>
  <c r="I283" i="2"/>
  <c r="L283" i="2" s="1"/>
  <c r="J283" i="2"/>
  <c r="K283" i="2"/>
  <c r="D284" i="2"/>
  <c r="E284" i="2"/>
  <c r="F284" i="2"/>
  <c r="I284" i="2"/>
  <c r="L284" i="2" s="1"/>
  <c r="J284" i="2"/>
  <c r="K284" i="2"/>
  <c r="D285" i="2"/>
  <c r="E285" i="2"/>
  <c r="F285" i="2"/>
  <c r="I285" i="2"/>
  <c r="L285" i="2" s="1"/>
  <c r="J285" i="2"/>
  <c r="K285" i="2"/>
  <c r="D286" i="2"/>
  <c r="E286" i="2"/>
  <c r="F286" i="2"/>
  <c r="I286" i="2"/>
  <c r="L286" i="2" s="1"/>
  <c r="J286" i="2"/>
  <c r="K286" i="2"/>
  <c r="D287" i="2"/>
  <c r="G287" i="2" s="1"/>
  <c r="E287" i="2"/>
  <c r="F287" i="2"/>
  <c r="I287" i="2"/>
  <c r="L287" i="2" s="1"/>
  <c r="J287" i="2"/>
  <c r="K287" i="2"/>
  <c r="D288" i="2"/>
  <c r="E288" i="2"/>
  <c r="F288" i="2"/>
  <c r="I288" i="2"/>
  <c r="L288" i="2" s="1"/>
  <c r="J288" i="2"/>
  <c r="K288" i="2"/>
  <c r="D289" i="2"/>
  <c r="E289" i="2"/>
  <c r="F289" i="2"/>
  <c r="I289" i="2"/>
  <c r="L289" i="2" s="1"/>
  <c r="J289" i="2"/>
  <c r="K289" i="2"/>
  <c r="D290" i="2"/>
  <c r="E290" i="2"/>
  <c r="F290" i="2"/>
  <c r="I290" i="2"/>
  <c r="L290" i="2" s="1"/>
  <c r="J290" i="2"/>
  <c r="M290" i="2" s="1"/>
  <c r="K290" i="2"/>
  <c r="D291" i="2"/>
  <c r="E291" i="2"/>
  <c r="F291" i="2"/>
  <c r="I291" i="2"/>
  <c r="L291" i="2" s="1"/>
  <c r="J291" i="2"/>
  <c r="K291" i="2"/>
  <c r="D292" i="2"/>
  <c r="E292" i="2"/>
  <c r="F292" i="2"/>
  <c r="I292" i="2"/>
  <c r="L292" i="2" s="1"/>
  <c r="J292" i="2"/>
  <c r="K292" i="2"/>
  <c r="D293" i="2"/>
  <c r="E293" i="2"/>
  <c r="F293" i="2"/>
  <c r="I293" i="2"/>
  <c r="L293" i="2" s="1"/>
  <c r="J293" i="2"/>
  <c r="K293" i="2"/>
  <c r="D294" i="2"/>
  <c r="E294" i="2"/>
  <c r="F294" i="2"/>
  <c r="I294" i="2"/>
  <c r="L294" i="2" s="1"/>
  <c r="J294" i="2"/>
  <c r="K294" i="2"/>
  <c r="D295" i="2"/>
  <c r="G295" i="2" s="1"/>
  <c r="E295" i="2"/>
  <c r="F295" i="2"/>
  <c r="I295" i="2"/>
  <c r="L295" i="2" s="1"/>
  <c r="J295" i="2"/>
  <c r="K295" i="2"/>
  <c r="D296" i="2"/>
  <c r="E296" i="2"/>
  <c r="F296" i="2"/>
  <c r="I296" i="2"/>
  <c r="L296" i="2" s="1"/>
  <c r="J296" i="2"/>
  <c r="K296" i="2"/>
  <c r="D297" i="2"/>
  <c r="E297" i="2"/>
  <c r="F297" i="2"/>
  <c r="I297" i="2"/>
  <c r="L297" i="2" s="1"/>
  <c r="J297" i="2"/>
  <c r="K297" i="2"/>
  <c r="D298" i="2"/>
  <c r="E298" i="2"/>
  <c r="F298" i="2"/>
  <c r="I298" i="2"/>
  <c r="L298" i="2" s="1"/>
  <c r="J298" i="2"/>
  <c r="K298" i="2"/>
  <c r="D299" i="2"/>
  <c r="E299" i="2"/>
  <c r="F299" i="2"/>
  <c r="I299" i="2"/>
  <c r="L299" i="2" s="1"/>
  <c r="J299" i="2"/>
  <c r="K299" i="2"/>
  <c r="D300" i="2"/>
  <c r="E300" i="2"/>
  <c r="F300" i="2"/>
  <c r="I300" i="2"/>
  <c r="L300" i="2" s="1"/>
  <c r="J300" i="2"/>
  <c r="K300" i="2"/>
  <c r="D301" i="2"/>
  <c r="E301" i="2"/>
  <c r="F301" i="2"/>
  <c r="I301" i="2"/>
  <c r="L301" i="2" s="1"/>
  <c r="J301" i="2"/>
  <c r="K301" i="2"/>
  <c r="D302" i="2"/>
  <c r="G302" i="2" s="1"/>
  <c r="E302" i="2"/>
  <c r="F302" i="2"/>
  <c r="I302" i="2"/>
  <c r="J302" i="2"/>
  <c r="K302" i="2"/>
  <c r="D303" i="2"/>
  <c r="E303" i="2"/>
  <c r="F303" i="2"/>
  <c r="I303" i="2"/>
  <c r="L303" i="2" s="1"/>
  <c r="J303" i="2"/>
  <c r="K303" i="2"/>
  <c r="D304" i="2"/>
  <c r="E304" i="2"/>
  <c r="F304" i="2"/>
  <c r="I304" i="2"/>
  <c r="L304" i="2" s="1"/>
  <c r="J304" i="2"/>
  <c r="K304" i="2"/>
  <c r="D305" i="2"/>
  <c r="E305" i="2"/>
  <c r="F305" i="2"/>
  <c r="I305" i="2"/>
  <c r="L305" i="2" s="1"/>
  <c r="J305" i="2"/>
  <c r="K305" i="2"/>
  <c r="D306" i="2"/>
  <c r="E306" i="2"/>
  <c r="F306" i="2"/>
  <c r="I306" i="2"/>
  <c r="L306" i="2" s="1"/>
  <c r="J306" i="2"/>
  <c r="K306" i="2"/>
  <c r="D307" i="2"/>
  <c r="E307" i="2"/>
  <c r="F307" i="2"/>
  <c r="I307" i="2"/>
  <c r="L307" i="2" s="1"/>
  <c r="J307" i="2"/>
  <c r="K307" i="2"/>
  <c r="D308" i="2"/>
  <c r="E308" i="2"/>
  <c r="F308" i="2"/>
  <c r="I308" i="2"/>
  <c r="L308" i="2" s="1"/>
  <c r="J308" i="2"/>
  <c r="K308" i="2"/>
  <c r="D309" i="2"/>
  <c r="E309" i="2"/>
  <c r="F309" i="2"/>
  <c r="I309" i="2"/>
  <c r="L309" i="2" s="1"/>
  <c r="J309" i="2"/>
  <c r="K309" i="2"/>
  <c r="D310" i="2"/>
  <c r="G310" i="2" s="1"/>
  <c r="E310" i="2"/>
  <c r="F310" i="2"/>
  <c r="I310" i="2"/>
  <c r="L310" i="2" s="1"/>
  <c r="J310" i="2"/>
  <c r="K310" i="2"/>
  <c r="D311" i="2"/>
  <c r="E311" i="2"/>
  <c r="F311" i="2"/>
  <c r="I311" i="2"/>
  <c r="L311" i="2" s="1"/>
  <c r="J311" i="2"/>
  <c r="K311" i="2"/>
  <c r="D312" i="2"/>
  <c r="E312" i="2"/>
  <c r="F312" i="2"/>
  <c r="I312" i="2"/>
  <c r="L312" i="2" s="1"/>
  <c r="J312" i="2"/>
  <c r="K312" i="2"/>
  <c r="D313" i="2"/>
  <c r="E313" i="2"/>
  <c r="F313" i="2"/>
  <c r="I313" i="2"/>
  <c r="L313" i="2" s="1"/>
  <c r="J313" i="2"/>
  <c r="K313" i="2"/>
  <c r="D314" i="2"/>
  <c r="E314" i="2"/>
  <c r="F314" i="2"/>
  <c r="I314" i="2"/>
  <c r="L314" i="2" s="1"/>
  <c r="J314" i="2"/>
  <c r="K314" i="2"/>
  <c r="D315" i="2"/>
  <c r="E315" i="2"/>
  <c r="F315" i="2"/>
  <c r="I315" i="2"/>
  <c r="L315" i="2" s="1"/>
  <c r="J315" i="2"/>
  <c r="K315" i="2"/>
  <c r="D316" i="2"/>
  <c r="E316" i="2"/>
  <c r="F316" i="2"/>
  <c r="I316" i="2"/>
  <c r="L316" i="2" s="1"/>
  <c r="J316" i="2"/>
  <c r="K316" i="2"/>
  <c r="D317" i="2"/>
  <c r="E317" i="2"/>
  <c r="F317" i="2"/>
  <c r="I317" i="2"/>
  <c r="L317" i="2" s="1"/>
  <c r="J317" i="2"/>
  <c r="K317" i="2"/>
  <c r="D318" i="2"/>
  <c r="E318" i="2"/>
  <c r="F318" i="2"/>
  <c r="I318" i="2"/>
  <c r="L318" i="2" s="1"/>
  <c r="J318" i="2"/>
  <c r="K318" i="2"/>
  <c r="D319" i="2"/>
  <c r="E319" i="2"/>
  <c r="F319" i="2"/>
  <c r="I319" i="2"/>
  <c r="L319" i="2" s="1"/>
  <c r="J319" i="2"/>
  <c r="K319" i="2"/>
  <c r="D320" i="2"/>
  <c r="E320" i="2"/>
  <c r="F320" i="2"/>
  <c r="I320" i="2"/>
  <c r="L320" i="2" s="1"/>
  <c r="J320" i="2"/>
  <c r="K320" i="2"/>
  <c r="D321" i="2"/>
  <c r="E321" i="2"/>
  <c r="F321" i="2"/>
  <c r="I321" i="2"/>
  <c r="L321" i="2" s="1"/>
  <c r="J321" i="2"/>
  <c r="K321" i="2"/>
  <c r="D322" i="2"/>
  <c r="E322" i="2"/>
  <c r="F322" i="2"/>
  <c r="I322" i="2"/>
  <c r="L322" i="2" s="1"/>
  <c r="J322" i="2"/>
  <c r="K322" i="2"/>
  <c r="D323" i="2"/>
  <c r="E323" i="2"/>
  <c r="F323" i="2"/>
  <c r="I323" i="2"/>
  <c r="L323" i="2" s="1"/>
  <c r="J323" i="2"/>
  <c r="K323" i="2"/>
  <c r="D324" i="2"/>
  <c r="E324" i="2"/>
  <c r="G324" i="2" s="1"/>
  <c r="F324" i="2"/>
  <c r="I324" i="2"/>
  <c r="L324" i="2" s="1"/>
  <c r="J324" i="2"/>
  <c r="K324" i="2"/>
  <c r="D325" i="2"/>
  <c r="E325" i="2"/>
  <c r="F325" i="2"/>
  <c r="I325" i="2"/>
  <c r="L325" i="2" s="1"/>
  <c r="J325" i="2"/>
  <c r="K325" i="2"/>
  <c r="D326" i="2"/>
  <c r="E326" i="2"/>
  <c r="F326" i="2"/>
  <c r="I326" i="2"/>
  <c r="L326" i="2" s="1"/>
  <c r="J326" i="2"/>
  <c r="K326" i="2"/>
  <c r="D327" i="2"/>
  <c r="E327" i="2"/>
  <c r="F327" i="2"/>
  <c r="I327" i="2"/>
  <c r="L327" i="2" s="1"/>
  <c r="J327" i="2"/>
  <c r="K327" i="2"/>
  <c r="D328" i="2"/>
  <c r="E328" i="2"/>
  <c r="F328" i="2"/>
  <c r="I328" i="2"/>
  <c r="L328" i="2" s="1"/>
  <c r="J328" i="2"/>
  <c r="K328" i="2"/>
  <c r="D329" i="2"/>
  <c r="E329" i="2"/>
  <c r="F329" i="2"/>
  <c r="I329" i="2"/>
  <c r="L329" i="2" s="1"/>
  <c r="J329" i="2"/>
  <c r="K329" i="2"/>
  <c r="D330" i="2"/>
  <c r="E330" i="2"/>
  <c r="F330" i="2"/>
  <c r="I330" i="2"/>
  <c r="L330" i="2" s="1"/>
  <c r="J330" i="2"/>
  <c r="K330" i="2"/>
  <c r="D331" i="2"/>
  <c r="E331" i="2"/>
  <c r="F331" i="2"/>
  <c r="I331" i="2"/>
  <c r="L331" i="2" s="1"/>
  <c r="J331" i="2"/>
  <c r="K331" i="2"/>
  <c r="D332" i="2"/>
  <c r="E332" i="2"/>
  <c r="F332" i="2"/>
  <c r="I332" i="2"/>
  <c r="L332" i="2" s="1"/>
  <c r="J332" i="2"/>
  <c r="K332" i="2"/>
  <c r="D333" i="2"/>
  <c r="E333" i="2"/>
  <c r="F333" i="2"/>
  <c r="I333" i="2"/>
  <c r="L333" i="2" s="1"/>
  <c r="J333" i="2"/>
  <c r="K333" i="2"/>
  <c r="D334" i="2"/>
  <c r="E334" i="2"/>
  <c r="F334" i="2"/>
  <c r="I334" i="2"/>
  <c r="L334" i="2" s="1"/>
  <c r="J334" i="2"/>
  <c r="K334" i="2"/>
  <c r="D335" i="2"/>
  <c r="E335" i="2"/>
  <c r="F335" i="2"/>
  <c r="I335" i="2"/>
  <c r="L335" i="2" s="1"/>
  <c r="J335" i="2"/>
  <c r="K335" i="2"/>
  <c r="D336" i="2"/>
  <c r="E336" i="2"/>
  <c r="F336" i="2"/>
  <c r="I336" i="2"/>
  <c r="L336" i="2" s="1"/>
  <c r="J336" i="2"/>
  <c r="K336" i="2"/>
  <c r="D337" i="2"/>
  <c r="E337" i="2"/>
  <c r="F337" i="2"/>
  <c r="I337" i="2"/>
  <c r="L337" i="2" s="1"/>
  <c r="J337" i="2"/>
  <c r="K337" i="2"/>
  <c r="D338" i="2"/>
  <c r="E338" i="2"/>
  <c r="F338" i="2"/>
  <c r="I338" i="2"/>
  <c r="L338" i="2" s="1"/>
  <c r="J338" i="2"/>
  <c r="K338" i="2"/>
  <c r="D339" i="2"/>
  <c r="E339" i="2"/>
  <c r="F339" i="2"/>
  <c r="I339" i="2"/>
  <c r="L339" i="2" s="1"/>
  <c r="J339" i="2"/>
  <c r="K339" i="2"/>
  <c r="D340" i="2"/>
  <c r="E340" i="2"/>
  <c r="F340" i="2"/>
  <c r="I340" i="2"/>
  <c r="L340" i="2" s="1"/>
  <c r="J340" i="2"/>
  <c r="K340" i="2"/>
  <c r="D341" i="2"/>
  <c r="E341" i="2"/>
  <c r="F341" i="2"/>
  <c r="I341" i="2"/>
  <c r="L341" i="2" s="1"/>
  <c r="J341" i="2"/>
  <c r="K341" i="2"/>
  <c r="D342" i="2"/>
  <c r="E342" i="2"/>
  <c r="F342" i="2"/>
  <c r="I342" i="2"/>
  <c r="L342" i="2" s="1"/>
  <c r="J342" i="2"/>
  <c r="K342" i="2"/>
  <c r="D343" i="2"/>
  <c r="E343" i="2"/>
  <c r="F343" i="2"/>
  <c r="G343" i="2" s="1"/>
  <c r="I343" i="2"/>
  <c r="L343" i="2" s="1"/>
  <c r="J343" i="2"/>
  <c r="K343" i="2"/>
  <c r="D344" i="2"/>
  <c r="E344" i="2"/>
  <c r="F344" i="2"/>
  <c r="I344" i="2"/>
  <c r="L344" i="2" s="1"/>
  <c r="J344" i="2"/>
  <c r="K344" i="2"/>
  <c r="D345" i="2"/>
  <c r="E345" i="2"/>
  <c r="F345" i="2"/>
  <c r="I345" i="2"/>
  <c r="L345" i="2" s="1"/>
  <c r="M345" i="2" s="1"/>
  <c r="J345" i="2"/>
  <c r="K345" i="2"/>
  <c r="D346" i="2"/>
  <c r="E346" i="2"/>
  <c r="F346" i="2"/>
  <c r="I346" i="2"/>
  <c r="L346" i="2" s="1"/>
  <c r="J346" i="2"/>
  <c r="K346" i="2"/>
  <c r="D347" i="2"/>
  <c r="E347" i="2"/>
  <c r="F347" i="2"/>
  <c r="I347" i="2"/>
  <c r="L347" i="2" s="1"/>
  <c r="J347" i="2"/>
  <c r="K347" i="2"/>
  <c r="D348" i="2"/>
  <c r="E348" i="2"/>
  <c r="G348" i="2" s="1"/>
  <c r="F348" i="2"/>
  <c r="I348" i="2"/>
  <c r="L348" i="2" s="1"/>
  <c r="J348" i="2"/>
  <c r="K348" i="2"/>
  <c r="D349" i="2"/>
  <c r="E349" i="2"/>
  <c r="F349" i="2"/>
  <c r="I349" i="2"/>
  <c r="L349" i="2" s="1"/>
  <c r="J349" i="2"/>
  <c r="K349" i="2"/>
  <c r="D350" i="2"/>
  <c r="E350" i="2"/>
  <c r="F350" i="2"/>
  <c r="I350" i="2"/>
  <c r="L350" i="2" s="1"/>
  <c r="J350" i="2"/>
  <c r="K350" i="2"/>
  <c r="D351" i="2"/>
  <c r="E351" i="2"/>
  <c r="F351" i="2"/>
  <c r="I351" i="2"/>
  <c r="L351" i="2" s="1"/>
  <c r="J351" i="2"/>
  <c r="K351" i="2"/>
  <c r="D352" i="2"/>
  <c r="E352" i="2"/>
  <c r="F352" i="2"/>
  <c r="I352" i="2"/>
  <c r="L352" i="2" s="1"/>
  <c r="J352" i="2"/>
  <c r="K352" i="2"/>
  <c r="D353" i="2"/>
  <c r="E353" i="2"/>
  <c r="F353" i="2"/>
  <c r="I353" i="2"/>
  <c r="L353" i="2" s="1"/>
  <c r="J353" i="2"/>
  <c r="K353" i="2"/>
  <c r="D354" i="2"/>
  <c r="E354" i="2"/>
  <c r="F354" i="2"/>
  <c r="I354" i="2"/>
  <c r="L354" i="2" s="1"/>
  <c r="J354" i="2"/>
  <c r="K354" i="2"/>
  <c r="D355" i="2"/>
  <c r="E355" i="2"/>
  <c r="F355" i="2"/>
  <c r="I355" i="2"/>
  <c r="L355" i="2" s="1"/>
  <c r="J355" i="2"/>
  <c r="K355" i="2"/>
  <c r="D356" i="2"/>
  <c r="E356" i="2"/>
  <c r="F356" i="2"/>
  <c r="I356" i="2"/>
  <c r="L356" i="2" s="1"/>
  <c r="J356" i="2"/>
  <c r="K356" i="2"/>
  <c r="D357" i="2"/>
  <c r="E357" i="2"/>
  <c r="F357" i="2"/>
  <c r="I357" i="2"/>
  <c r="L357" i="2" s="1"/>
  <c r="J357" i="2"/>
  <c r="K357" i="2"/>
  <c r="D358" i="2"/>
  <c r="E358" i="2"/>
  <c r="F358" i="2"/>
  <c r="I358" i="2"/>
  <c r="L358" i="2" s="1"/>
  <c r="J358" i="2"/>
  <c r="K358" i="2"/>
  <c r="D359" i="2"/>
  <c r="E359" i="2"/>
  <c r="F359" i="2"/>
  <c r="I359" i="2"/>
  <c r="L359" i="2" s="1"/>
  <c r="J359" i="2"/>
  <c r="K359" i="2"/>
  <c r="D360" i="2"/>
  <c r="E360" i="2"/>
  <c r="F360" i="2"/>
  <c r="I360" i="2"/>
  <c r="L360" i="2" s="1"/>
  <c r="J360" i="2"/>
  <c r="K360" i="2"/>
  <c r="D361" i="2"/>
  <c r="E361" i="2"/>
  <c r="F361" i="2"/>
  <c r="I361" i="2"/>
  <c r="L361" i="2" s="1"/>
  <c r="J361" i="2"/>
  <c r="K361" i="2"/>
  <c r="D362" i="2"/>
  <c r="E362" i="2"/>
  <c r="F362" i="2"/>
  <c r="I362" i="2"/>
  <c r="L362" i="2" s="1"/>
  <c r="J362" i="2"/>
  <c r="K362" i="2"/>
  <c r="D363" i="2"/>
  <c r="E363" i="2"/>
  <c r="F363" i="2"/>
  <c r="I363" i="2"/>
  <c r="J363" i="2"/>
  <c r="K363" i="2"/>
  <c r="L363" i="2"/>
  <c r="D364" i="2"/>
  <c r="E364" i="2"/>
  <c r="F364" i="2"/>
  <c r="I364" i="2"/>
  <c r="L364" i="2" s="1"/>
  <c r="J364" i="2"/>
  <c r="K364" i="2"/>
  <c r="D365" i="2"/>
  <c r="E365" i="2"/>
  <c r="F365" i="2"/>
  <c r="I365" i="2"/>
  <c r="L365" i="2" s="1"/>
  <c r="J365" i="2"/>
  <c r="K365" i="2"/>
  <c r="D366" i="2"/>
  <c r="E366" i="2"/>
  <c r="F366" i="2"/>
  <c r="I366" i="2"/>
  <c r="L366" i="2" s="1"/>
  <c r="J366" i="2"/>
  <c r="K366" i="2"/>
  <c r="D367" i="2"/>
  <c r="E367" i="2"/>
  <c r="F367" i="2"/>
  <c r="I367" i="2"/>
  <c r="L367" i="2" s="1"/>
  <c r="J367" i="2"/>
  <c r="K367" i="2"/>
  <c r="D368" i="2"/>
  <c r="E368" i="2"/>
  <c r="F368" i="2"/>
  <c r="I368" i="2"/>
  <c r="L368" i="2" s="1"/>
  <c r="J368" i="2"/>
  <c r="K368" i="2"/>
  <c r="D369" i="2"/>
  <c r="E369" i="2"/>
  <c r="G369" i="2" s="1"/>
  <c r="F369" i="2"/>
  <c r="I369" i="2"/>
  <c r="L369" i="2" s="1"/>
  <c r="J369" i="2"/>
  <c r="K369" i="2"/>
  <c r="D370" i="2"/>
  <c r="E370" i="2"/>
  <c r="F370" i="2"/>
  <c r="I370" i="2"/>
  <c r="L370" i="2" s="1"/>
  <c r="J370" i="2"/>
  <c r="K370" i="2"/>
  <c r="D371" i="2"/>
  <c r="E371" i="2"/>
  <c r="F371" i="2"/>
  <c r="I371" i="2"/>
  <c r="L371" i="2" s="1"/>
  <c r="J371" i="2"/>
  <c r="K371" i="2"/>
  <c r="D372" i="2"/>
  <c r="E372" i="2"/>
  <c r="F372" i="2"/>
  <c r="I372" i="2"/>
  <c r="L372" i="2" s="1"/>
  <c r="J372" i="2"/>
  <c r="K372" i="2"/>
  <c r="D373" i="2"/>
  <c r="E373" i="2"/>
  <c r="F373" i="2"/>
  <c r="I373" i="2"/>
  <c r="L373" i="2" s="1"/>
  <c r="J373" i="2"/>
  <c r="K373" i="2"/>
  <c r="D374" i="2"/>
  <c r="E374" i="2"/>
  <c r="F374" i="2"/>
  <c r="I374" i="2"/>
  <c r="L374" i="2" s="1"/>
  <c r="J374" i="2"/>
  <c r="K374" i="2"/>
  <c r="D375" i="2"/>
  <c r="E375" i="2"/>
  <c r="F375" i="2"/>
  <c r="I375" i="2"/>
  <c r="L375" i="2" s="1"/>
  <c r="J375" i="2"/>
  <c r="K375" i="2"/>
  <c r="D376" i="2"/>
  <c r="E376" i="2"/>
  <c r="F376" i="2"/>
  <c r="I376" i="2"/>
  <c r="L376" i="2" s="1"/>
  <c r="J376" i="2"/>
  <c r="K376" i="2"/>
  <c r="D377" i="2"/>
  <c r="E377" i="2"/>
  <c r="F377" i="2"/>
  <c r="I377" i="2"/>
  <c r="L377" i="2" s="1"/>
  <c r="J377" i="2"/>
  <c r="K377" i="2"/>
  <c r="D378" i="2"/>
  <c r="E378" i="2"/>
  <c r="F378" i="2"/>
  <c r="I378" i="2"/>
  <c r="L378" i="2" s="1"/>
  <c r="J378" i="2"/>
  <c r="K378" i="2"/>
  <c r="D379" i="2"/>
  <c r="E379" i="2"/>
  <c r="F379" i="2"/>
  <c r="I379" i="2"/>
  <c r="L379" i="2" s="1"/>
  <c r="J379" i="2"/>
  <c r="K379" i="2"/>
  <c r="D380" i="2"/>
  <c r="E380" i="2"/>
  <c r="F380" i="2"/>
  <c r="I380" i="2"/>
  <c r="L380" i="2" s="1"/>
  <c r="J380" i="2"/>
  <c r="K380" i="2"/>
  <c r="D381" i="2"/>
  <c r="E381" i="2"/>
  <c r="F381" i="2"/>
  <c r="I381" i="2"/>
  <c r="L381" i="2" s="1"/>
  <c r="J381" i="2"/>
  <c r="K381" i="2"/>
  <c r="D382" i="2"/>
  <c r="E382" i="2"/>
  <c r="F382" i="2"/>
  <c r="I382" i="2"/>
  <c r="L382" i="2" s="1"/>
  <c r="J382" i="2"/>
  <c r="K382" i="2"/>
  <c r="D383" i="2"/>
  <c r="E383" i="2"/>
  <c r="F383" i="2"/>
  <c r="I383" i="2"/>
  <c r="L383" i="2" s="1"/>
  <c r="J383" i="2"/>
  <c r="K383" i="2"/>
  <c r="D384" i="2"/>
  <c r="G384" i="2" s="1"/>
  <c r="E384" i="2"/>
  <c r="F384" i="2"/>
  <c r="I384" i="2"/>
  <c r="L384" i="2" s="1"/>
  <c r="J384" i="2"/>
  <c r="K384" i="2"/>
  <c r="D385" i="2"/>
  <c r="E385" i="2"/>
  <c r="F385" i="2"/>
  <c r="I385" i="2"/>
  <c r="L385" i="2" s="1"/>
  <c r="J385" i="2"/>
  <c r="K385" i="2"/>
  <c r="D386" i="2"/>
  <c r="E386" i="2"/>
  <c r="F386" i="2"/>
  <c r="I386" i="2"/>
  <c r="L386" i="2" s="1"/>
  <c r="J386" i="2"/>
  <c r="K386" i="2"/>
  <c r="D387" i="2"/>
  <c r="E387" i="2"/>
  <c r="F387" i="2"/>
  <c r="I387" i="2"/>
  <c r="L387" i="2" s="1"/>
  <c r="J387" i="2"/>
  <c r="K387" i="2"/>
  <c r="D388" i="2"/>
  <c r="E388" i="2"/>
  <c r="F388" i="2"/>
  <c r="I388" i="2"/>
  <c r="L388" i="2" s="1"/>
  <c r="J388" i="2"/>
  <c r="K388" i="2"/>
  <c r="D389" i="2"/>
  <c r="E389" i="2"/>
  <c r="F389" i="2"/>
  <c r="I389" i="2"/>
  <c r="L389" i="2" s="1"/>
  <c r="J389" i="2"/>
  <c r="K389" i="2"/>
  <c r="D390" i="2"/>
  <c r="E390" i="2"/>
  <c r="F390" i="2"/>
  <c r="I390" i="2"/>
  <c r="L390" i="2" s="1"/>
  <c r="J390" i="2"/>
  <c r="K390" i="2"/>
  <c r="D391" i="2"/>
  <c r="E391" i="2"/>
  <c r="F391" i="2"/>
  <c r="I391" i="2"/>
  <c r="L391" i="2" s="1"/>
  <c r="J391" i="2"/>
  <c r="K391" i="2"/>
  <c r="D392" i="2"/>
  <c r="E392" i="2"/>
  <c r="F392" i="2"/>
  <c r="I392" i="2"/>
  <c r="L392" i="2" s="1"/>
  <c r="J392" i="2"/>
  <c r="K392" i="2"/>
  <c r="D393" i="2"/>
  <c r="E393" i="2"/>
  <c r="F393" i="2"/>
  <c r="I393" i="2"/>
  <c r="L393" i="2" s="1"/>
  <c r="J393" i="2"/>
  <c r="K393" i="2"/>
  <c r="D394" i="2"/>
  <c r="E394" i="2"/>
  <c r="F394" i="2"/>
  <c r="I394" i="2"/>
  <c r="L394" i="2" s="1"/>
  <c r="J394" i="2"/>
  <c r="K394" i="2"/>
  <c r="D395" i="2"/>
  <c r="E395" i="2"/>
  <c r="F395" i="2"/>
  <c r="I395" i="2"/>
  <c r="L395" i="2" s="1"/>
  <c r="J395" i="2"/>
  <c r="K395" i="2"/>
  <c r="D396" i="2"/>
  <c r="E396" i="2"/>
  <c r="F396" i="2"/>
  <c r="I396" i="2"/>
  <c r="L396" i="2" s="1"/>
  <c r="J396" i="2"/>
  <c r="K396" i="2"/>
  <c r="D397" i="2"/>
  <c r="E397" i="2"/>
  <c r="F397" i="2"/>
  <c r="I397" i="2"/>
  <c r="L397" i="2" s="1"/>
  <c r="J397" i="2"/>
  <c r="K397" i="2"/>
  <c r="D398" i="2"/>
  <c r="E398" i="2"/>
  <c r="F398" i="2"/>
  <c r="I398" i="2"/>
  <c r="L398" i="2" s="1"/>
  <c r="J398" i="2"/>
  <c r="K398" i="2"/>
  <c r="D399" i="2"/>
  <c r="E399" i="2"/>
  <c r="F399" i="2"/>
  <c r="I399" i="2"/>
  <c r="J399" i="2"/>
  <c r="K399" i="2"/>
  <c r="L399" i="2"/>
  <c r="D400" i="2"/>
  <c r="E400" i="2"/>
  <c r="F400" i="2"/>
  <c r="I400" i="2"/>
  <c r="L400" i="2" s="1"/>
  <c r="J400" i="2"/>
  <c r="K400" i="2"/>
  <c r="D401" i="2"/>
  <c r="E401" i="2"/>
  <c r="F401" i="2"/>
  <c r="I401" i="2"/>
  <c r="L401" i="2" s="1"/>
  <c r="J401" i="2"/>
  <c r="K401" i="2"/>
  <c r="D402" i="2"/>
  <c r="E402" i="2"/>
  <c r="F402" i="2"/>
  <c r="I402" i="2"/>
  <c r="L402" i="2" s="1"/>
  <c r="J402" i="2"/>
  <c r="K402" i="2"/>
  <c r="D403" i="2"/>
  <c r="E403" i="2"/>
  <c r="F403" i="2"/>
  <c r="I403" i="2"/>
  <c r="L403" i="2" s="1"/>
  <c r="J403" i="2"/>
  <c r="K403" i="2"/>
  <c r="D404" i="2"/>
  <c r="E404" i="2"/>
  <c r="F404" i="2"/>
  <c r="I404" i="2"/>
  <c r="L404" i="2" s="1"/>
  <c r="J404" i="2"/>
  <c r="K404" i="2"/>
  <c r="D405" i="2"/>
  <c r="E405" i="2"/>
  <c r="F405" i="2"/>
  <c r="I405" i="2"/>
  <c r="L405" i="2" s="1"/>
  <c r="J405" i="2"/>
  <c r="K405" i="2"/>
  <c r="D406" i="2"/>
  <c r="E406" i="2"/>
  <c r="F406" i="2"/>
  <c r="I406" i="2"/>
  <c r="L406" i="2" s="1"/>
  <c r="J406" i="2"/>
  <c r="K406" i="2"/>
  <c r="D407" i="2"/>
  <c r="E407" i="2"/>
  <c r="F407" i="2"/>
  <c r="I407" i="2"/>
  <c r="L407" i="2" s="1"/>
  <c r="J407" i="2"/>
  <c r="K407" i="2"/>
  <c r="D408" i="2"/>
  <c r="E408" i="2"/>
  <c r="F408" i="2"/>
  <c r="I408" i="2"/>
  <c r="L408" i="2" s="1"/>
  <c r="J408" i="2"/>
  <c r="K408" i="2"/>
  <c r="D409" i="2"/>
  <c r="E409" i="2"/>
  <c r="F409" i="2"/>
  <c r="I409" i="2"/>
  <c r="L409" i="2" s="1"/>
  <c r="J409" i="2"/>
  <c r="K409" i="2"/>
  <c r="D410" i="2"/>
  <c r="E410" i="2"/>
  <c r="F410" i="2"/>
  <c r="I410" i="2"/>
  <c r="L410" i="2" s="1"/>
  <c r="J410" i="2"/>
  <c r="K410" i="2"/>
  <c r="D411" i="2"/>
  <c r="E411" i="2"/>
  <c r="F411" i="2"/>
  <c r="I411" i="2"/>
  <c r="L411" i="2" s="1"/>
  <c r="J411" i="2"/>
  <c r="K411" i="2"/>
  <c r="D412" i="2"/>
  <c r="E412" i="2"/>
  <c r="F412" i="2"/>
  <c r="I412" i="2"/>
  <c r="L412" i="2" s="1"/>
  <c r="J412" i="2"/>
  <c r="K412" i="2"/>
  <c r="D413" i="2"/>
  <c r="E413" i="2"/>
  <c r="F413" i="2"/>
  <c r="I413" i="2"/>
  <c r="L413" i="2" s="1"/>
  <c r="J413" i="2"/>
  <c r="K413" i="2"/>
  <c r="D414" i="2"/>
  <c r="E414" i="2"/>
  <c r="F414" i="2"/>
  <c r="I414" i="2"/>
  <c r="L414" i="2" s="1"/>
  <c r="J414" i="2"/>
  <c r="K414" i="2"/>
  <c r="D415" i="2"/>
  <c r="E415" i="2"/>
  <c r="F415" i="2"/>
  <c r="I415" i="2"/>
  <c r="L415" i="2" s="1"/>
  <c r="J415" i="2"/>
  <c r="K415" i="2"/>
  <c r="D416" i="2"/>
  <c r="E416" i="2"/>
  <c r="F416" i="2"/>
  <c r="I416" i="2"/>
  <c r="L416" i="2" s="1"/>
  <c r="J416" i="2"/>
  <c r="K416" i="2"/>
  <c r="D417" i="2"/>
  <c r="E417" i="2"/>
  <c r="F417" i="2"/>
  <c r="I417" i="2"/>
  <c r="L417" i="2" s="1"/>
  <c r="J417" i="2"/>
  <c r="K417" i="2"/>
  <c r="D418" i="2"/>
  <c r="E418" i="2"/>
  <c r="F418" i="2"/>
  <c r="I418" i="2"/>
  <c r="L418" i="2" s="1"/>
  <c r="J418" i="2"/>
  <c r="K418" i="2"/>
  <c r="D419" i="2"/>
  <c r="E419" i="2"/>
  <c r="F419" i="2"/>
  <c r="I419" i="2"/>
  <c r="L419" i="2" s="1"/>
  <c r="J419" i="2"/>
  <c r="K419" i="2"/>
  <c r="D420" i="2"/>
  <c r="G420" i="2" s="1"/>
  <c r="E420" i="2"/>
  <c r="F420" i="2"/>
  <c r="I420" i="2"/>
  <c r="L420" i="2" s="1"/>
  <c r="J420" i="2"/>
  <c r="K420" i="2"/>
  <c r="D421" i="2"/>
  <c r="E421" i="2"/>
  <c r="F421" i="2"/>
  <c r="I421" i="2"/>
  <c r="L421" i="2" s="1"/>
  <c r="J421" i="2"/>
  <c r="K421" i="2"/>
  <c r="D422" i="2"/>
  <c r="G422" i="2" s="1"/>
  <c r="E422" i="2"/>
  <c r="F422" i="2"/>
  <c r="I422" i="2"/>
  <c r="L422" i="2" s="1"/>
  <c r="J422" i="2"/>
  <c r="K422" i="2"/>
  <c r="D423" i="2"/>
  <c r="E423" i="2"/>
  <c r="F423" i="2"/>
  <c r="I423" i="2"/>
  <c r="L423" i="2" s="1"/>
  <c r="J423" i="2"/>
  <c r="K423" i="2"/>
  <c r="D424" i="2"/>
  <c r="E424" i="2"/>
  <c r="F424" i="2"/>
  <c r="I424" i="2"/>
  <c r="L424" i="2" s="1"/>
  <c r="J424" i="2"/>
  <c r="K424" i="2"/>
  <c r="D425" i="2"/>
  <c r="E425" i="2"/>
  <c r="F425" i="2"/>
  <c r="I425" i="2"/>
  <c r="L425" i="2" s="1"/>
  <c r="J425" i="2"/>
  <c r="K425" i="2"/>
  <c r="D426" i="2"/>
  <c r="E426" i="2"/>
  <c r="F426" i="2"/>
  <c r="I426" i="2"/>
  <c r="L426" i="2" s="1"/>
  <c r="J426" i="2"/>
  <c r="K426" i="2"/>
  <c r="D427" i="2"/>
  <c r="E427" i="2"/>
  <c r="F427" i="2"/>
  <c r="I427" i="2"/>
  <c r="L427" i="2" s="1"/>
  <c r="J427" i="2"/>
  <c r="K427" i="2"/>
  <c r="D428" i="2"/>
  <c r="E428" i="2"/>
  <c r="F428" i="2"/>
  <c r="I428" i="2"/>
  <c r="L428" i="2" s="1"/>
  <c r="J428" i="2"/>
  <c r="K428" i="2"/>
  <c r="D429" i="2"/>
  <c r="E429" i="2"/>
  <c r="F429" i="2"/>
  <c r="I429" i="2"/>
  <c r="L429" i="2" s="1"/>
  <c r="J429" i="2"/>
  <c r="K429" i="2"/>
  <c r="D430" i="2"/>
  <c r="E430" i="2"/>
  <c r="F430" i="2"/>
  <c r="I430" i="2"/>
  <c r="L430" i="2" s="1"/>
  <c r="J430" i="2"/>
  <c r="K430" i="2"/>
  <c r="D431" i="2"/>
  <c r="E431" i="2"/>
  <c r="F431" i="2"/>
  <c r="I431" i="2"/>
  <c r="L431" i="2" s="1"/>
  <c r="J431" i="2"/>
  <c r="K431" i="2"/>
  <c r="D432" i="2"/>
  <c r="E432" i="2"/>
  <c r="F432" i="2"/>
  <c r="I432" i="2"/>
  <c r="L432" i="2" s="1"/>
  <c r="J432" i="2"/>
  <c r="K432" i="2"/>
  <c r="D433" i="2"/>
  <c r="E433" i="2"/>
  <c r="F433" i="2"/>
  <c r="I433" i="2"/>
  <c r="L433" i="2" s="1"/>
  <c r="J433" i="2"/>
  <c r="K433" i="2"/>
  <c r="D434" i="2"/>
  <c r="E434" i="2"/>
  <c r="F434" i="2"/>
  <c r="I434" i="2"/>
  <c r="L434" i="2" s="1"/>
  <c r="J434" i="2"/>
  <c r="K434" i="2"/>
  <c r="D435" i="2"/>
  <c r="E435" i="2"/>
  <c r="F435" i="2"/>
  <c r="I435" i="2"/>
  <c r="L435" i="2" s="1"/>
  <c r="J435" i="2"/>
  <c r="K435" i="2"/>
  <c r="D436" i="2"/>
  <c r="E436" i="2"/>
  <c r="F436" i="2"/>
  <c r="I436" i="2"/>
  <c r="L436" i="2" s="1"/>
  <c r="J436" i="2"/>
  <c r="K436" i="2"/>
  <c r="D437" i="2"/>
  <c r="E437" i="2"/>
  <c r="F437" i="2"/>
  <c r="I437" i="2"/>
  <c r="L437" i="2" s="1"/>
  <c r="J437" i="2"/>
  <c r="K437" i="2"/>
  <c r="D438" i="2"/>
  <c r="E438" i="2"/>
  <c r="F438" i="2"/>
  <c r="I438" i="2"/>
  <c r="L438" i="2" s="1"/>
  <c r="J438" i="2"/>
  <c r="K438" i="2"/>
  <c r="D439" i="2"/>
  <c r="E439" i="2"/>
  <c r="F439" i="2"/>
  <c r="I439" i="2"/>
  <c r="L439" i="2" s="1"/>
  <c r="J439" i="2"/>
  <c r="K439" i="2"/>
  <c r="D440" i="2"/>
  <c r="E440" i="2"/>
  <c r="F440" i="2"/>
  <c r="I440" i="2"/>
  <c r="L440" i="2" s="1"/>
  <c r="J440" i="2"/>
  <c r="K440" i="2"/>
  <c r="D441" i="2"/>
  <c r="E441" i="2"/>
  <c r="F441" i="2"/>
  <c r="I441" i="2"/>
  <c r="L441" i="2" s="1"/>
  <c r="J441" i="2"/>
  <c r="K441" i="2"/>
  <c r="D442" i="2"/>
  <c r="E442" i="2"/>
  <c r="F442" i="2"/>
  <c r="I442" i="2"/>
  <c r="L442" i="2" s="1"/>
  <c r="J442" i="2"/>
  <c r="K442" i="2"/>
  <c r="D443" i="2"/>
  <c r="E443" i="2"/>
  <c r="F443" i="2"/>
  <c r="I443" i="2"/>
  <c r="L443" i="2" s="1"/>
  <c r="J443" i="2"/>
  <c r="K443" i="2"/>
  <c r="D444" i="2"/>
  <c r="E444" i="2"/>
  <c r="F444" i="2"/>
  <c r="I444" i="2"/>
  <c r="L444" i="2" s="1"/>
  <c r="J444" i="2"/>
  <c r="K444" i="2"/>
  <c r="D445" i="2"/>
  <c r="E445" i="2"/>
  <c r="F445" i="2"/>
  <c r="I445" i="2"/>
  <c r="L445" i="2" s="1"/>
  <c r="J445" i="2"/>
  <c r="K445" i="2"/>
  <c r="D446" i="2"/>
  <c r="E446" i="2"/>
  <c r="F446" i="2"/>
  <c r="I446" i="2"/>
  <c r="L446" i="2" s="1"/>
  <c r="J446" i="2"/>
  <c r="K446" i="2"/>
  <c r="D447" i="2"/>
  <c r="E447" i="2"/>
  <c r="F447" i="2"/>
  <c r="I447" i="2"/>
  <c r="L447" i="2" s="1"/>
  <c r="J447" i="2"/>
  <c r="K447" i="2"/>
  <c r="D448" i="2"/>
  <c r="G448" i="2" s="1"/>
  <c r="E448" i="2"/>
  <c r="F448" i="2"/>
  <c r="I448" i="2"/>
  <c r="L448" i="2" s="1"/>
  <c r="J448" i="2"/>
  <c r="K448" i="2"/>
  <c r="D449" i="2"/>
  <c r="E449" i="2"/>
  <c r="F449" i="2"/>
  <c r="I449" i="2"/>
  <c r="L449" i="2" s="1"/>
  <c r="J449" i="2"/>
  <c r="M449" i="2" s="1"/>
  <c r="K449" i="2"/>
  <c r="D450" i="2"/>
  <c r="E450" i="2"/>
  <c r="F450" i="2"/>
  <c r="I450" i="2"/>
  <c r="L450" i="2" s="1"/>
  <c r="J450" i="2"/>
  <c r="K450" i="2"/>
  <c r="D451" i="2"/>
  <c r="E451" i="2"/>
  <c r="F451" i="2"/>
  <c r="I451" i="2"/>
  <c r="L451" i="2" s="1"/>
  <c r="J451" i="2"/>
  <c r="K451" i="2"/>
  <c r="D452" i="2"/>
  <c r="E452" i="2"/>
  <c r="F452" i="2"/>
  <c r="I452" i="2"/>
  <c r="L452" i="2" s="1"/>
  <c r="J452" i="2"/>
  <c r="K452" i="2"/>
  <c r="D453" i="2"/>
  <c r="E453" i="2"/>
  <c r="F453" i="2"/>
  <c r="I453" i="2"/>
  <c r="L453" i="2" s="1"/>
  <c r="J453" i="2"/>
  <c r="K453" i="2"/>
  <c r="D454" i="2"/>
  <c r="E454" i="2"/>
  <c r="F454" i="2"/>
  <c r="I454" i="2"/>
  <c r="L454" i="2" s="1"/>
  <c r="J454" i="2"/>
  <c r="K454" i="2"/>
  <c r="D455" i="2"/>
  <c r="E455" i="2"/>
  <c r="F455" i="2"/>
  <c r="I455" i="2"/>
  <c r="L455" i="2" s="1"/>
  <c r="J455" i="2"/>
  <c r="K455" i="2"/>
  <c r="D456" i="2"/>
  <c r="G456" i="2" s="1"/>
  <c r="E456" i="2"/>
  <c r="F456" i="2"/>
  <c r="I456" i="2"/>
  <c r="L456" i="2" s="1"/>
  <c r="J456" i="2"/>
  <c r="K456" i="2"/>
  <c r="D457" i="2"/>
  <c r="E457" i="2"/>
  <c r="F457" i="2"/>
  <c r="I457" i="2"/>
  <c r="L457" i="2" s="1"/>
  <c r="J457" i="2"/>
  <c r="K457" i="2"/>
  <c r="D458" i="2"/>
  <c r="E458" i="2"/>
  <c r="F458" i="2"/>
  <c r="I458" i="2"/>
  <c r="L458" i="2" s="1"/>
  <c r="J458" i="2"/>
  <c r="K458" i="2"/>
  <c r="D459" i="2"/>
  <c r="E459" i="2"/>
  <c r="F459" i="2"/>
  <c r="I459" i="2"/>
  <c r="L459" i="2" s="1"/>
  <c r="J459" i="2"/>
  <c r="K459" i="2"/>
  <c r="D460" i="2"/>
  <c r="E460" i="2"/>
  <c r="F460" i="2"/>
  <c r="I460" i="2"/>
  <c r="L460" i="2" s="1"/>
  <c r="J460" i="2"/>
  <c r="K460" i="2"/>
  <c r="D461" i="2"/>
  <c r="E461" i="2"/>
  <c r="F461" i="2"/>
  <c r="G461" i="2" s="1"/>
  <c r="I461" i="2"/>
  <c r="L461" i="2" s="1"/>
  <c r="J461" i="2"/>
  <c r="K461" i="2"/>
  <c r="D462" i="2"/>
  <c r="E462" i="2"/>
  <c r="F462" i="2"/>
  <c r="I462" i="2"/>
  <c r="L462" i="2" s="1"/>
  <c r="J462" i="2"/>
  <c r="K462" i="2"/>
  <c r="D463" i="2"/>
  <c r="E463" i="2"/>
  <c r="F463" i="2"/>
  <c r="I463" i="2"/>
  <c r="L463" i="2" s="1"/>
  <c r="J463" i="2"/>
  <c r="K463" i="2"/>
  <c r="D464" i="2"/>
  <c r="E464" i="2"/>
  <c r="F464" i="2"/>
  <c r="I464" i="2"/>
  <c r="L464" i="2" s="1"/>
  <c r="J464" i="2"/>
  <c r="K464" i="2"/>
  <c r="D465" i="2"/>
  <c r="E465" i="2"/>
  <c r="F465" i="2"/>
  <c r="I465" i="2"/>
  <c r="L465" i="2" s="1"/>
  <c r="J465" i="2"/>
  <c r="K465" i="2"/>
  <c r="D466" i="2"/>
  <c r="E466" i="2"/>
  <c r="F466" i="2"/>
  <c r="I466" i="2"/>
  <c r="L466" i="2" s="1"/>
  <c r="J466" i="2"/>
  <c r="K466" i="2"/>
  <c r="D467" i="2"/>
  <c r="E467" i="2"/>
  <c r="F467" i="2"/>
  <c r="I467" i="2"/>
  <c r="L467" i="2" s="1"/>
  <c r="J467" i="2"/>
  <c r="K467" i="2"/>
  <c r="D468" i="2"/>
  <c r="E468" i="2"/>
  <c r="F468" i="2"/>
  <c r="I468" i="2"/>
  <c r="L468" i="2" s="1"/>
  <c r="J468" i="2"/>
  <c r="K468" i="2"/>
  <c r="D469" i="2"/>
  <c r="E469" i="2"/>
  <c r="F469" i="2"/>
  <c r="I469" i="2"/>
  <c r="L469" i="2" s="1"/>
  <c r="J469" i="2"/>
  <c r="K469" i="2"/>
  <c r="D470" i="2"/>
  <c r="E470" i="2"/>
  <c r="F470" i="2"/>
  <c r="I470" i="2"/>
  <c r="L470" i="2" s="1"/>
  <c r="J470" i="2"/>
  <c r="K470" i="2"/>
  <c r="D471" i="2"/>
  <c r="E471" i="2"/>
  <c r="F471" i="2"/>
  <c r="I471" i="2"/>
  <c r="L471" i="2" s="1"/>
  <c r="J471" i="2"/>
  <c r="K471" i="2"/>
  <c r="D472" i="2"/>
  <c r="E472" i="2"/>
  <c r="F472" i="2"/>
  <c r="I472" i="2"/>
  <c r="L472" i="2" s="1"/>
  <c r="J472" i="2"/>
  <c r="K472" i="2"/>
  <c r="D473" i="2"/>
  <c r="E473" i="2"/>
  <c r="F473" i="2"/>
  <c r="I473" i="2"/>
  <c r="L473" i="2" s="1"/>
  <c r="J473" i="2"/>
  <c r="K473" i="2"/>
  <c r="D474" i="2"/>
  <c r="E474" i="2"/>
  <c r="F474" i="2"/>
  <c r="I474" i="2"/>
  <c r="L474" i="2" s="1"/>
  <c r="J474" i="2"/>
  <c r="K474" i="2"/>
  <c r="D475" i="2"/>
  <c r="E475" i="2"/>
  <c r="F475" i="2"/>
  <c r="I475" i="2"/>
  <c r="L475" i="2" s="1"/>
  <c r="J475" i="2"/>
  <c r="K475" i="2"/>
  <c r="D476" i="2"/>
  <c r="E476" i="2"/>
  <c r="F476" i="2"/>
  <c r="I476" i="2"/>
  <c r="J476" i="2"/>
  <c r="K476" i="2"/>
  <c r="L476" i="2"/>
  <c r="D477" i="2"/>
  <c r="E477" i="2"/>
  <c r="F477" i="2"/>
  <c r="I477" i="2"/>
  <c r="L477" i="2" s="1"/>
  <c r="J477" i="2"/>
  <c r="K477" i="2"/>
  <c r="D478" i="2"/>
  <c r="E478" i="2"/>
  <c r="F478" i="2"/>
  <c r="I478" i="2"/>
  <c r="L478" i="2" s="1"/>
  <c r="J478" i="2"/>
  <c r="K478" i="2"/>
  <c r="D479" i="2"/>
  <c r="E479" i="2"/>
  <c r="F479" i="2"/>
  <c r="I479" i="2"/>
  <c r="L479" i="2" s="1"/>
  <c r="J479" i="2"/>
  <c r="K479" i="2"/>
  <c r="D480" i="2"/>
  <c r="E480" i="2"/>
  <c r="F480" i="2"/>
  <c r="I480" i="2"/>
  <c r="L480" i="2" s="1"/>
  <c r="J480" i="2"/>
  <c r="K480" i="2"/>
  <c r="D481" i="2"/>
  <c r="G481" i="2" s="1"/>
  <c r="E481" i="2"/>
  <c r="F481" i="2"/>
  <c r="I481" i="2"/>
  <c r="L481" i="2" s="1"/>
  <c r="J481" i="2"/>
  <c r="K481" i="2"/>
  <c r="D482" i="2"/>
  <c r="E482" i="2"/>
  <c r="F482" i="2"/>
  <c r="I482" i="2"/>
  <c r="L482" i="2" s="1"/>
  <c r="J482" i="2"/>
  <c r="M482" i="2" s="1"/>
  <c r="K482" i="2"/>
  <c r="D483" i="2"/>
  <c r="E483" i="2"/>
  <c r="F483" i="2"/>
  <c r="I483" i="2"/>
  <c r="L483" i="2" s="1"/>
  <c r="J483" i="2"/>
  <c r="K483" i="2"/>
  <c r="D484" i="2"/>
  <c r="E484" i="2"/>
  <c r="F484" i="2"/>
  <c r="I484" i="2"/>
  <c r="L484" i="2" s="1"/>
  <c r="J484" i="2"/>
  <c r="K484" i="2"/>
  <c r="D485" i="2"/>
  <c r="E485" i="2"/>
  <c r="F485" i="2"/>
  <c r="I485" i="2"/>
  <c r="L485" i="2" s="1"/>
  <c r="J485" i="2"/>
  <c r="K485" i="2"/>
  <c r="D486" i="2"/>
  <c r="E486" i="2"/>
  <c r="F486" i="2"/>
  <c r="I486" i="2"/>
  <c r="L486" i="2" s="1"/>
  <c r="J486" i="2"/>
  <c r="K486" i="2"/>
  <c r="D487" i="2"/>
  <c r="E487" i="2"/>
  <c r="F487" i="2"/>
  <c r="I487" i="2"/>
  <c r="L487" i="2" s="1"/>
  <c r="J487" i="2"/>
  <c r="K487" i="2"/>
  <c r="D488" i="2"/>
  <c r="E488" i="2"/>
  <c r="F488" i="2"/>
  <c r="I488" i="2"/>
  <c r="L488" i="2" s="1"/>
  <c r="J488" i="2"/>
  <c r="K488" i="2"/>
  <c r="D489" i="2"/>
  <c r="E489" i="2"/>
  <c r="F489" i="2"/>
  <c r="I489" i="2"/>
  <c r="L489" i="2" s="1"/>
  <c r="J489" i="2"/>
  <c r="K489" i="2"/>
  <c r="D490" i="2"/>
  <c r="E490" i="2"/>
  <c r="F490" i="2"/>
  <c r="I490" i="2"/>
  <c r="L490" i="2" s="1"/>
  <c r="J490" i="2"/>
  <c r="K490" i="2"/>
  <c r="D491" i="2"/>
  <c r="E491" i="2"/>
  <c r="F491" i="2"/>
  <c r="I491" i="2"/>
  <c r="L491" i="2" s="1"/>
  <c r="J491" i="2"/>
  <c r="K491" i="2"/>
  <c r="D492" i="2"/>
  <c r="E492" i="2"/>
  <c r="F492" i="2"/>
  <c r="I492" i="2"/>
  <c r="L492" i="2" s="1"/>
  <c r="J492" i="2"/>
  <c r="K492" i="2"/>
  <c r="D493" i="2"/>
  <c r="E493" i="2"/>
  <c r="F493" i="2"/>
  <c r="I493" i="2"/>
  <c r="L493" i="2" s="1"/>
  <c r="J493" i="2"/>
  <c r="K493" i="2"/>
  <c r="D494" i="2"/>
  <c r="E494" i="2"/>
  <c r="F494" i="2"/>
  <c r="I494" i="2"/>
  <c r="J494" i="2"/>
  <c r="K494" i="2"/>
  <c r="L494" i="2"/>
  <c r="D495" i="2"/>
  <c r="E495" i="2"/>
  <c r="F495" i="2"/>
  <c r="I495" i="2"/>
  <c r="L495" i="2" s="1"/>
  <c r="J495" i="2"/>
  <c r="K495" i="2"/>
  <c r="D496" i="2"/>
  <c r="E496" i="2"/>
  <c r="F496" i="2"/>
  <c r="I496" i="2"/>
  <c r="L496" i="2" s="1"/>
  <c r="J496" i="2"/>
  <c r="K496" i="2"/>
  <c r="D497" i="2"/>
  <c r="E497" i="2"/>
  <c r="F497" i="2"/>
  <c r="I497" i="2"/>
  <c r="L497" i="2" s="1"/>
  <c r="J497" i="2"/>
  <c r="K497" i="2"/>
  <c r="D498" i="2"/>
  <c r="E498" i="2"/>
  <c r="F498" i="2"/>
  <c r="I498" i="2"/>
  <c r="L498" i="2" s="1"/>
  <c r="J498" i="2"/>
  <c r="K498" i="2"/>
  <c r="D499" i="2"/>
  <c r="E499" i="2"/>
  <c r="F499" i="2"/>
  <c r="I499" i="2"/>
  <c r="L499" i="2" s="1"/>
  <c r="J499" i="2"/>
  <c r="K499" i="2"/>
  <c r="D500" i="2"/>
  <c r="E500" i="2"/>
  <c r="F500" i="2"/>
  <c r="I500" i="2"/>
  <c r="L500" i="2" s="1"/>
  <c r="J500" i="2"/>
  <c r="K500" i="2"/>
  <c r="D501" i="2"/>
  <c r="E501" i="2"/>
  <c r="F501" i="2"/>
  <c r="I501" i="2"/>
  <c r="L501" i="2" s="1"/>
  <c r="J501" i="2"/>
  <c r="K501" i="2"/>
  <c r="D502" i="2"/>
  <c r="E502" i="2"/>
  <c r="F502" i="2"/>
  <c r="I502" i="2"/>
  <c r="L502" i="2" s="1"/>
  <c r="J502" i="2"/>
  <c r="K502" i="2"/>
  <c r="D503" i="2"/>
  <c r="E503" i="2"/>
  <c r="F503" i="2"/>
  <c r="I503" i="2"/>
  <c r="L503" i="2" s="1"/>
  <c r="J503" i="2"/>
  <c r="K503" i="2"/>
  <c r="D504" i="2"/>
  <c r="E504" i="2"/>
  <c r="F504" i="2"/>
  <c r="I504" i="2"/>
  <c r="L504" i="2" s="1"/>
  <c r="J504" i="2"/>
  <c r="K504" i="2"/>
  <c r="D505" i="2"/>
  <c r="E505" i="2"/>
  <c r="F505" i="2"/>
  <c r="I505" i="2"/>
  <c r="L505" i="2" s="1"/>
  <c r="J505" i="2"/>
  <c r="K505" i="2"/>
  <c r="D506" i="2"/>
  <c r="E506" i="2"/>
  <c r="F506" i="2"/>
  <c r="I506" i="2"/>
  <c r="L506" i="2" s="1"/>
  <c r="J506" i="2"/>
  <c r="K506" i="2"/>
  <c r="D507" i="2"/>
  <c r="E507" i="2"/>
  <c r="F507" i="2"/>
  <c r="I507" i="2"/>
  <c r="L507" i="2" s="1"/>
  <c r="J507" i="2"/>
  <c r="K507" i="2"/>
  <c r="D508" i="2"/>
  <c r="E508" i="2"/>
  <c r="F508" i="2"/>
  <c r="I508" i="2"/>
  <c r="L508" i="2" s="1"/>
  <c r="J508" i="2"/>
  <c r="K508" i="2"/>
  <c r="D509" i="2"/>
  <c r="E509" i="2"/>
  <c r="F509" i="2"/>
  <c r="I509" i="2"/>
  <c r="L509" i="2" s="1"/>
  <c r="J509" i="2"/>
  <c r="K509" i="2"/>
  <c r="D510" i="2"/>
  <c r="E510" i="2"/>
  <c r="F510" i="2"/>
  <c r="I510" i="2"/>
  <c r="L510" i="2" s="1"/>
  <c r="J510" i="2"/>
  <c r="K510" i="2"/>
  <c r="D511" i="2"/>
  <c r="E511" i="2"/>
  <c r="F511" i="2"/>
  <c r="I511" i="2"/>
  <c r="L511" i="2" s="1"/>
  <c r="J511" i="2"/>
  <c r="K511" i="2"/>
  <c r="D512" i="2"/>
  <c r="E512" i="2"/>
  <c r="F512" i="2"/>
  <c r="I512" i="2"/>
  <c r="L512" i="2" s="1"/>
  <c r="J512" i="2"/>
  <c r="K512" i="2"/>
  <c r="D513" i="2"/>
  <c r="E513" i="2"/>
  <c r="F513" i="2"/>
  <c r="I513" i="2"/>
  <c r="L513" i="2" s="1"/>
  <c r="M513" i="2" s="1"/>
  <c r="J513" i="2"/>
  <c r="K513" i="2"/>
  <c r="D514" i="2"/>
  <c r="G514" i="2" s="1"/>
  <c r="E514" i="2"/>
  <c r="F514" i="2"/>
  <c r="I514" i="2"/>
  <c r="L514" i="2" s="1"/>
  <c r="J514" i="2"/>
  <c r="K514" i="2"/>
  <c r="D515" i="2"/>
  <c r="E515" i="2"/>
  <c r="F515" i="2"/>
  <c r="I515" i="2"/>
  <c r="L515" i="2" s="1"/>
  <c r="J515" i="2"/>
  <c r="K515" i="2"/>
  <c r="D516" i="2"/>
  <c r="E516" i="2"/>
  <c r="F516" i="2"/>
  <c r="I516" i="2"/>
  <c r="L516" i="2" s="1"/>
  <c r="J516" i="2"/>
  <c r="K516" i="2"/>
  <c r="D517" i="2"/>
  <c r="E517" i="2"/>
  <c r="F517" i="2"/>
  <c r="I517" i="2"/>
  <c r="L517" i="2" s="1"/>
  <c r="M517" i="2" s="1"/>
  <c r="J517" i="2"/>
  <c r="K517" i="2"/>
  <c r="D518" i="2"/>
  <c r="E518" i="2"/>
  <c r="F518" i="2"/>
  <c r="I518" i="2"/>
  <c r="L518" i="2" s="1"/>
  <c r="J518" i="2"/>
  <c r="K518" i="2"/>
  <c r="D519" i="2"/>
  <c r="E519" i="2"/>
  <c r="F519" i="2"/>
  <c r="I519" i="2"/>
  <c r="L519" i="2" s="1"/>
  <c r="J519" i="2"/>
  <c r="K519" i="2"/>
  <c r="D520" i="2"/>
  <c r="E520" i="2"/>
  <c r="F520" i="2"/>
  <c r="I520" i="2"/>
  <c r="L520" i="2" s="1"/>
  <c r="J520" i="2"/>
  <c r="K520" i="2"/>
  <c r="D521" i="2"/>
  <c r="E521" i="2"/>
  <c r="F521" i="2"/>
  <c r="I521" i="2"/>
  <c r="L521" i="2" s="1"/>
  <c r="J521" i="2"/>
  <c r="K521" i="2"/>
  <c r="D522" i="2"/>
  <c r="E522" i="2"/>
  <c r="F522" i="2"/>
  <c r="I522" i="2"/>
  <c r="L522" i="2" s="1"/>
  <c r="J522" i="2"/>
  <c r="K522" i="2"/>
  <c r="D523" i="2"/>
  <c r="E523" i="2"/>
  <c r="F523" i="2"/>
  <c r="I523" i="2"/>
  <c r="L523" i="2" s="1"/>
  <c r="J523" i="2"/>
  <c r="K523" i="2"/>
  <c r="D524" i="2"/>
  <c r="G524" i="2" s="1"/>
  <c r="E524" i="2"/>
  <c r="F524" i="2"/>
  <c r="I524" i="2"/>
  <c r="L524" i="2" s="1"/>
  <c r="J524" i="2"/>
  <c r="K524" i="2"/>
  <c r="D525" i="2"/>
  <c r="E525" i="2"/>
  <c r="F525" i="2"/>
  <c r="I525" i="2"/>
  <c r="L525" i="2" s="1"/>
  <c r="J525" i="2"/>
  <c r="K525" i="2"/>
  <c r="D526" i="2"/>
  <c r="E526" i="2"/>
  <c r="F526" i="2"/>
  <c r="I526" i="2"/>
  <c r="L526" i="2" s="1"/>
  <c r="M526" i="2" s="1"/>
  <c r="J526" i="2"/>
  <c r="K526" i="2"/>
  <c r="D527" i="2"/>
  <c r="E527" i="2"/>
  <c r="F527" i="2"/>
  <c r="I527" i="2"/>
  <c r="L527" i="2" s="1"/>
  <c r="J527" i="2"/>
  <c r="K527" i="2"/>
  <c r="D528" i="2"/>
  <c r="E528" i="2"/>
  <c r="F528" i="2"/>
  <c r="G528" i="2" s="1"/>
  <c r="I528" i="2"/>
  <c r="L528" i="2" s="1"/>
  <c r="J528" i="2"/>
  <c r="K528" i="2"/>
  <c r="D529" i="2"/>
  <c r="E529" i="2"/>
  <c r="F529" i="2"/>
  <c r="I529" i="2"/>
  <c r="L529" i="2" s="1"/>
  <c r="J529" i="2"/>
  <c r="K529" i="2"/>
  <c r="D530" i="2"/>
  <c r="E530" i="2"/>
  <c r="F530" i="2"/>
  <c r="I530" i="2"/>
  <c r="L530" i="2" s="1"/>
  <c r="M530" i="2" s="1"/>
  <c r="J530" i="2"/>
  <c r="K530" i="2"/>
  <c r="D531" i="2"/>
  <c r="E531" i="2"/>
  <c r="F531" i="2"/>
  <c r="I531" i="2"/>
  <c r="L531" i="2" s="1"/>
  <c r="J531" i="2"/>
  <c r="K531" i="2"/>
  <c r="D532" i="2"/>
  <c r="E532" i="2"/>
  <c r="F532" i="2"/>
  <c r="I532" i="2"/>
  <c r="L532" i="2" s="1"/>
  <c r="J532" i="2"/>
  <c r="K532" i="2"/>
  <c r="D533" i="2"/>
  <c r="E533" i="2"/>
  <c r="F533" i="2"/>
  <c r="I533" i="2"/>
  <c r="L533" i="2" s="1"/>
  <c r="J533" i="2"/>
  <c r="K533" i="2"/>
  <c r="D534" i="2"/>
  <c r="E534" i="2"/>
  <c r="F534" i="2"/>
  <c r="I534" i="2"/>
  <c r="L534" i="2" s="1"/>
  <c r="J534" i="2"/>
  <c r="K534" i="2"/>
  <c r="D535" i="2"/>
  <c r="G535" i="2" s="1"/>
  <c r="E535" i="2"/>
  <c r="F535" i="2"/>
  <c r="I535" i="2"/>
  <c r="L535" i="2" s="1"/>
  <c r="J535" i="2"/>
  <c r="K535" i="2"/>
  <c r="D536" i="2"/>
  <c r="E536" i="2"/>
  <c r="F536" i="2"/>
  <c r="I536" i="2"/>
  <c r="L536" i="2" s="1"/>
  <c r="J536" i="2"/>
  <c r="K536" i="2"/>
  <c r="D537" i="2"/>
  <c r="E537" i="2"/>
  <c r="G537" i="2" s="1"/>
  <c r="F537" i="2"/>
  <c r="I537" i="2"/>
  <c r="L537" i="2" s="1"/>
  <c r="J537" i="2"/>
  <c r="K537" i="2"/>
  <c r="D538" i="2"/>
  <c r="E538" i="2"/>
  <c r="F538" i="2"/>
  <c r="I538" i="2"/>
  <c r="L538" i="2" s="1"/>
  <c r="J538" i="2"/>
  <c r="K538" i="2"/>
  <c r="D539" i="2"/>
  <c r="E539" i="2"/>
  <c r="F539" i="2"/>
  <c r="I539" i="2"/>
  <c r="L539" i="2" s="1"/>
  <c r="J539" i="2"/>
  <c r="K539" i="2"/>
  <c r="D540" i="2"/>
  <c r="E540" i="2"/>
  <c r="F540" i="2"/>
  <c r="I540" i="2"/>
  <c r="L540" i="2" s="1"/>
  <c r="J540" i="2"/>
  <c r="K540" i="2"/>
  <c r="D10" i="2"/>
  <c r="E10" i="2"/>
  <c r="F10" i="2"/>
  <c r="I10" i="2"/>
  <c r="L10" i="2" s="1"/>
  <c r="J10" i="2"/>
  <c r="K10" i="2"/>
  <c r="D11" i="2"/>
  <c r="E11" i="2"/>
  <c r="F11" i="2"/>
  <c r="I11" i="2"/>
  <c r="L11" i="2" s="1"/>
  <c r="J11" i="2"/>
  <c r="K11" i="2"/>
  <c r="D12" i="2"/>
  <c r="E12" i="2"/>
  <c r="F12" i="2"/>
  <c r="I12" i="2"/>
  <c r="L12" i="2" s="1"/>
  <c r="J12" i="2"/>
  <c r="K12" i="2"/>
  <c r="D13" i="2"/>
  <c r="E13" i="2"/>
  <c r="F13" i="2"/>
  <c r="I13" i="2"/>
  <c r="L13" i="2" s="1"/>
  <c r="J13" i="2"/>
  <c r="K13" i="2"/>
  <c r="D14" i="2"/>
  <c r="E14" i="2"/>
  <c r="F14" i="2"/>
  <c r="I14" i="2"/>
  <c r="L14" i="2" s="1"/>
  <c r="J14" i="2"/>
  <c r="K14" i="2"/>
  <c r="D15" i="2"/>
  <c r="E15" i="2"/>
  <c r="F15" i="2"/>
  <c r="I15" i="2"/>
  <c r="L15" i="2" s="1"/>
  <c r="J15" i="2"/>
  <c r="K15" i="2"/>
  <c r="D16" i="2"/>
  <c r="E16" i="2"/>
  <c r="F16" i="2"/>
  <c r="I16" i="2"/>
  <c r="L16" i="2" s="1"/>
  <c r="J16" i="2"/>
  <c r="K16" i="2"/>
  <c r="D17" i="2"/>
  <c r="E17" i="2"/>
  <c r="F17" i="2"/>
  <c r="I17" i="2"/>
  <c r="L17" i="2" s="1"/>
  <c r="J17" i="2"/>
  <c r="K17" i="2"/>
  <c r="D18" i="2"/>
  <c r="E18" i="2"/>
  <c r="F18" i="2"/>
  <c r="I18" i="2"/>
  <c r="L18" i="2" s="1"/>
  <c r="J18" i="2"/>
  <c r="K18" i="2"/>
  <c r="D19" i="2"/>
  <c r="E19" i="2"/>
  <c r="F19" i="2"/>
  <c r="I19" i="2"/>
  <c r="L19" i="2" s="1"/>
  <c r="J19" i="2"/>
  <c r="K19" i="2"/>
  <c r="D20" i="2"/>
  <c r="E20" i="2"/>
  <c r="F20" i="2"/>
  <c r="I20" i="2"/>
  <c r="L20" i="2" s="1"/>
  <c r="J20" i="2"/>
  <c r="K20" i="2"/>
  <c r="D21" i="2"/>
  <c r="E21" i="2"/>
  <c r="F21" i="2"/>
  <c r="I21" i="2"/>
  <c r="L21" i="2" s="1"/>
  <c r="J21" i="2"/>
  <c r="K21" i="2"/>
  <c r="L7" i="2"/>
  <c r="K6" i="2"/>
  <c r="K7" i="2"/>
  <c r="K8" i="2"/>
  <c r="K9" i="2"/>
  <c r="K5" i="2"/>
  <c r="J6" i="2"/>
  <c r="J7" i="2"/>
  <c r="J8" i="2"/>
  <c r="J9" i="2"/>
  <c r="I6" i="2"/>
  <c r="L6" i="2" s="1"/>
  <c r="I7" i="2"/>
  <c r="I8" i="2"/>
  <c r="L8" i="2" s="1"/>
  <c r="I9" i="2"/>
  <c r="L9" i="2" s="1"/>
  <c r="M9" i="2" s="1"/>
  <c r="I5" i="2"/>
  <c r="L5" i="2" s="1"/>
  <c r="J5" i="2"/>
  <c r="D7" i="2"/>
  <c r="E7" i="2"/>
  <c r="F7" i="2"/>
  <c r="D8" i="2"/>
  <c r="E8" i="2"/>
  <c r="F8" i="2"/>
  <c r="D9" i="2"/>
  <c r="E9" i="2"/>
  <c r="F9" i="2"/>
  <c r="D6" i="2"/>
  <c r="E6" i="2"/>
  <c r="F6" i="2"/>
  <c r="F5" i="2"/>
  <c r="E5" i="2"/>
  <c r="D5" i="2"/>
  <c r="AG44" i="4"/>
  <c r="AG50" i="4"/>
  <c r="AG43" i="4"/>
  <c r="Z41" i="4"/>
  <c r="AH42" i="4"/>
  <c r="Z43" i="4"/>
  <c r="AB42" i="4"/>
  <c r="AC46" i="4"/>
  <c r="AD42" i="4"/>
  <c r="Z46" i="4"/>
  <c r="Z34" i="4"/>
  <c r="AA45" i="4"/>
  <c r="AO50" i="4"/>
  <c r="Y39" i="4"/>
  <c r="AE42" i="4"/>
  <c r="AE41" i="4"/>
  <c r="AB47" i="4"/>
  <c r="AC45" i="4"/>
  <c r="AH45" i="4"/>
  <c r="AK51" i="4"/>
  <c r="AE47" i="4"/>
  <c r="AD38" i="4"/>
  <c r="AC40" i="4"/>
  <c r="AB46" i="4"/>
  <c r="Z51" i="4"/>
  <c r="AF45" i="4"/>
  <c r="AH51" i="4"/>
  <c r="AK46" i="4"/>
  <c r="AI44" i="4"/>
  <c r="AA41" i="4"/>
  <c r="Z47" i="4"/>
  <c r="AE39" i="4"/>
  <c r="AJ45" i="4"/>
  <c r="AL49" i="4"/>
  <c r="AB39" i="4"/>
  <c r="AC37" i="4"/>
  <c r="AD50" i="4"/>
  <c r="AA39" i="4"/>
  <c r="AM47" i="4"/>
  <c r="Z50" i="4"/>
  <c r="AM49" i="4"/>
  <c r="AJ50" i="4"/>
  <c r="AD44" i="4"/>
  <c r="AN48" i="4"/>
  <c r="AD46" i="4"/>
  <c r="Y43" i="4"/>
  <c r="AB45" i="4"/>
  <c r="Y47" i="4"/>
  <c r="AA46" i="4"/>
  <c r="AI45" i="4"/>
  <c r="AB38" i="4"/>
  <c r="AI50" i="4"/>
  <c r="AG47" i="4"/>
  <c r="Z42" i="4"/>
  <c r="AE45" i="4"/>
  <c r="AF44" i="4"/>
  <c r="AF49" i="4"/>
  <c r="AF46" i="4"/>
  <c r="AE48" i="4"/>
  <c r="AN49" i="4"/>
  <c r="AD40" i="4"/>
  <c r="AH48" i="4"/>
  <c r="AG49" i="4"/>
  <c r="AH47" i="4"/>
  <c r="AL48" i="4"/>
  <c r="AA35" i="4"/>
  <c r="AC39" i="4"/>
  <c r="AK50" i="4"/>
  <c r="AO49" i="4"/>
  <c r="AC48" i="4"/>
  <c r="AI51" i="4"/>
  <c r="Y46" i="4"/>
  <c r="AP51" i="4"/>
  <c r="AQ51" i="4"/>
  <c r="Z36" i="4"/>
  <c r="AD47" i="4"/>
  <c r="AB50" i="4"/>
  <c r="AH43" i="4"/>
  <c r="AA49" i="4"/>
  <c r="AA43" i="4"/>
  <c r="Z38" i="4"/>
  <c r="Y33" i="4"/>
  <c r="Z40" i="4"/>
  <c r="AD45" i="4"/>
  <c r="AE40" i="4"/>
  <c r="Y41" i="4"/>
  <c r="AG41" i="4"/>
  <c r="AC42" i="4"/>
  <c r="AL50" i="4"/>
  <c r="AA44" i="4"/>
  <c r="AK45" i="4"/>
  <c r="AI46" i="4"/>
  <c r="Z37" i="4"/>
  <c r="AM50" i="4"/>
  <c r="AB43" i="4"/>
  <c r="AE51" i="4"/>
  <c r="AH49" i="4"/>
  <c r="AA50" i="4"/>
  <c r="AI47" i="4"/>
  <c r="AA48" i="4"/>
  <c r="Y48" i="4"/>
  <c r="Z48" i="4"/>
  <c r="AM51" i="4"/>
  <c r="AK47" i="4"/>
  <c r="AF51" i="4"/>
  <c r="AD49" i="4"/>
  <c r="AG46" i="4"/>
  <c r="AI48" i="4"/>
  <c r="AB51" i="4"/>
  <c r="AD48" i="4"/>
  <c r="AH50" i="4"/>
  <c r="AD39" i="4"/>
  <c r="Y49" i="4"/>
  <c r="Y35" i="4"/>
  <c r="AD43" i="4"/>
  <c r="Y42" i="4"/>
  <c r="AB40" i="4"/>
  <c r="AB36" i="4"/>
  <c r="AC50" i="4"/>
  <c r="AA38" i="4"/>
  <c r="Y37" i="4"/>
  <c r="AC41" i="4"/>
  <c r="AA51" i="4"/>
  <c r="AC44" i="4"/>
  <c r="Z35" i="4"/>
  <c r="AJ46" i="4"/>
  <c r="AA40" i="4"/>
  <c r="AF48" i="4"/>
  <c r="Z44" i="4"/>
  <c r="AH44" i="4"/>
  <c r="AJ51" i="4"/>
  <c r="AF40" i="4"/>
  <c r="AH46" i="4"/>
  <c r="AA47" i="4"/>
  <c r="Z39" i="4"/>
  <c r="AB48" i="4"/>
  <c r="Y40" i="4"/>
  <c r="AK48" i="4"/>
  <c r="AG51" i="4"/>
  <c r="Z45" i="4"/>
  <c r="Y36" i="4"/>
  <c r="AJ44" i="4"/>
  <c r="AF41" i="4"/>
  <c r="AJ48" i="4"/>
  <c r="AN50" i="4"/>
  <c r="AC51" i="4"/>
  <c r="AC47" i="4"/>
  <c r="AE44" i="4"/>
  <c r="AL46" i="4"/>
  <c r="AF50" i="4"/>
  <c r="AC38" i="4"/>
  <c r="AB49" i="4"/>
  <c r="AE43" i="4"/>
  <c r="AB41" i="4"/>
  <c r="AA37" i="4"/>
  <c r="AL47" i="4"/>
  <c r="AN51" i="4"/>
  <c r="AC49" i="4"/>
  <c r="AD41" i="4"/>
  <c r="Z49" i="4"/>
  <c r="AJ47" i="4"/>
  <c r="Y38" i="4"/>
  <c r="AG45" i="4"/>
  <c r="AE46" i="4"/>
  <c r="AG42" i="4"/>
  <c r="Y45" i="4"/>
  <c r="AL51" i="4"/>
  <c r="AA36" i="4"/>
  <c r="AD51" i="4"/>
  <c r="AF43" i="4"/>
  <c r="AI43" i="4"/>
  <c r="Y34" i="4"/>
  <c r="AP50" i="4"/>
  <c r="Y50" i="4"/>
  <c r="AC43" i="4"/>
  <c r="AG48" i="4"/>
  <c r="Y44" i="4"/>
  <c r="AB37" i="4"/>
  <c r="AB44" i="4"/>
  <c r="AF47" i="4"/>
  <c r="AF42" i="4"/>
  <c r="AE49" i="4"/>
  <c r="Y51" i="4"/>
  <c r="AA42" i="4"/>
  <c r="AI49" i="4"/>
  <c r="AM48" i="4"/>
  <c r="AE50" i="4"/>
  <c r="AK49" i="4"/>
  <c r="AO51" i="4"/>
  <c r="AJ49" i="4"/>
  <c r="AA47" i="7" l="1" a="1"/>
  <c r="W50" i="7"/>
  <c r="AP48" i="7" s="1"/>
  <c r="G501" i="2"/>
  <c r="G496" i="2"/>
  <c r="M493" i="2"/>
  <c r="M489" i="2"/>
  <c r="M485" i="2"/>
  <c r="G432" i="2"/>
  <c r="G424" i="2"/>
  <c r="M396" i="2"/>
  <c r="N396" i="2" s="1"/>
  <c r="O396" i="2" s="1"/>
  <c r="G375" i="2"/>
  <c r="G361" i="2"/>
  <c r="G340" i="2"/>
  <c r="M338" i="2"/>
  <c r="G337" i="2"/>
  <c r="M334" i="2"/>
  <c r="M330" i="2"/>
  <c r="G329" i="2"/>
  <c r="N329" i="2" s="1"/>
  <c r="O329" i="2" s="1"/>
  <c r="M326" i="2"/>
  <c r="M306" i="2"/>
  <c r="G208" i="2"/>
  <c r="M201" i="2"/>
  <c r="M177" i="2"/>
  <c r="G175" i="2"/>
  <c r="M157" i="2"/>
  <c r="M153" i="2"/>
  <c r="N153" i="2" s="1"/>
  <c r="O153" i="2" s="1"/>
  <c r="G151" i="2"/>
  <c r="M149" i="2"/>
  <c r="N149" i="2" s="1"/>
  <c r="M145" i="2"/>
  <c r="M141" i="2"/>
  <c r="M137" i="2"/>
  <c r="M133" i="2"/>
  <c r="M132" i="2"/>
  <c r="M124" i="2"/>
  <c r="G107" i="2"/>
  <c r="G44" i="2"/>
  <c r="G41" i="2"/>
  <c r="G33" i="2"/>
  <c r="G15" i="2"/>
  <c r="G11" i="2"/>
  <c r="M535" i="2"/>
  <c r="M531" i="2"/>
  <c r="M527" i="2"/>
  <c r="G521" i="2"/>
  <c r="M510" i="2"/>
  <c r="M481" i="2"/>
  <c r="G445" i="2"/>
  <c r="G408" i="2"/>
  <c r="M346" i="2"/>
  <c r="G276" i="2"/>
  <c r="G131" i="2"/>
  <c r="G90" i="2"/>
  <c r="M46" i="2"/>
  <c r="M34" i="2"/>
  <c r="M22" i="2"/>
  <c r="G497" i="2"/>
  <c r="G480" i="2"/>
  <c r="G468" i="2"/>
  <c r="M465" i="2"/>
  <c r="G392" i="2"/>
  <c r="G380" i="2"/>
  <c r="G379" i="2"/>
  <c r="G366" i="2"/>
  <c r="M351" i="2"/>
  <c r="M323" i="2"/>
  <c r="M319" i="2"/>
  <c r="M315" i="2"/>
  <c r="M299" i="2"/>
  <c r="M295" i="2"/>
  <c r="G253" i="2"/>
  <c r="G237" i="2"/>
  <c r="M198" i="2"/>
  <c r="M170" i="2"/>
  <c r="M166" i="2"/>
  <c r="M150" i="2"/>
  <c r="M146" i="2"/>
  <c r="G145" i="2"/>
  <c r="M142" i="2"/>
  <c r="M138" i="2"/>
  <c r="G136" i="2"/>
  <c r="M134" i="2"/>
  <c r="M101" i="2"/>
  <c r="M97" i="2"/>
  <c r="M96" i="2"/>
  <c r="M92" i="2"/>
  <c r="G49" i="2"/>
  <c r="M503" i="2"/>
  <c r="G473" i="2"/>
  <c r="G376" i="2"/>
  <c r="G371" i="2"/>
  <c r="M368" i="2"/>
  <c r="M291" i="2"/>
  <c r="M287" i="2"/>
  <c r="N287" i="2" s="1"/>
  <c r="M267" i="2"/>
  <c r="M263" i="2"/>
  <c r="M259" i="2"/>
  <c r="M255" i="2"/>
  <c r="N255" i="2" s="1"/>
  <c r="O255" i="2" s="1"/>
  <c r="M211" i="2"/>
  <c r="G91" i="2"/>
  <c r="M89" i="2"/>
  <c r="M76" i="2"/>
  <c r="M68" i="2"/>
  <c r="M60" i="2"/>
  <c r="G117" i="2"/>
  <c r="M114" i="2"/>
  <c r="M110" i="2"/>
  <c r="M102" i="2"/>
  <c r="N102" i="2" s="1"/>
  <c r="O102" i="2" s="1"/>
  <c r="M98" i="2"/>
  <c r="G35" i="2"/>
  <c r="G27" i="2"/>
  <c r="G411" i="2"/>
  <c r="G410" i="2"/>
  <c r="G406" i="2"/>
  <c r="M378" i="2"/>
  <c r="G360" i="2"/>
  <c r="M352" i="2"/>
  <c r="M320" i="2"/>
  <c r="M316" i="2"/>
  <c r="G307" i="2"/>
  <c r="M304" i="2"/>
  <c r="G294" i="2"/>
  <c r="G238" i="2"/>
  <c r="G214" i="2"/>
  <c r="G174" i="2"/>
  <c r="G158" i="2"/>
  <c r="M131" i="2"/>
  <c r="G125" i="2"/>
  <c r="N125" i="2" s="1"/>
  <c r="O125" i="2" s="1"/>
  <c r="G89" i="2"/>
  <c r="G81" i="2"/>
  <c r="G508" i="2"/>
  <c r="G504" i="2"/>
  <c r="G440" i="2"/>
  <c r="G439" i="2"/>
  <c r="G436" i="2"/>
  <c r="G419" i="2"/>
  <c r="G385" i="2"/>
  <c r="G377" i="2"/>
  <c r="M361" i="2"/>
  <c r="M337" i="2"/>
  <c r="N337" i="2" s="1"/>
  <c r="O337" i="2" s="1"/>
  <c r="M333" i="2"/>
  <c r="M329" i="2"/>
  <c r="M325" i="2"/>
  <c r="G315" i="2"/>
  <c r="M313" i="2"/>
  <c r="M309" i="2"/>
  <c r="M292" i="2"/>
  <c r="G291" i="2"/>
  <c r="M288" i="2"/>
  <c r="G271" i="2"/>
  <c r="M268" i="2"/>
  <c r="M264" i="2"/>
  <c r="M260" i="2"/>
  <c r="M256" i="2"/>
  <c r="G247" i="2"/>
  <c r="M244" i="2"/>
  <c r="N244" i="2" s="1"/>
  <c r="O244" i="2" s="1"/>
  <c r="M240" i="2"/>
  <c r="G198" i="2"/>
  <c r="G178" i="2"/>
  <c r="G166" i="2"/>
  <c r="M111" i="2"/>
  <c r="N111" i="2" s="1"/>
  <c r="M107" i="2"/>
  <c r="N107" i="2" s="1"/>
  <c r="O107" i="2" s="1"/>
  <c r="G73" i="2"/>
  <c r="G65" i="2"/>
  <c r="G43" i="2"/>
  <c r="G529" i="2"/>
  <c r="M521" i="2"/>
  <c r="G520" i="2"/>
  <c r="G516" i="2"/>
  <c r="G460" i="2"/>
  <c r="G400" i="2"/>
  <c r="M397" i="2"/>
  <c r="G123" i="2"/>
  <c r="M457" i="2"/>
  <c r="M509" i="2"/>
  <c r="G465" i="2"/>
  <c r="G401" i="2"/>
  <c r="M533" i="2"/>
  <c r="N533" i="2" s="1"/>
  <c r="O533" i="2" s="1"/>
  <c r="G5" i="2"/>
  <c r="G533" i="2"/>
  <c r="G492" i="2"/>
  <c r="G488" i="2"/>
  <c r="G487" i="2"/>
  <c r="G484" i="2"/>
  <c r="M407" i="2"/>
  <c r="L227" i="2"/>
  <c r="G506" i="2"/>
  <c r="M416" i="2"/>
  <c r="G368" i="2"/>
  <c r="G20" i="2"/>
  <c r="G16" i="2"/>
  <c r="M515" i="2"/>
  <c r="G464" i="2"/>
  <c r="G444" i="2"/>
  <c r="M429" i="2"/>
  <c r="M425" i="2"/>
  <c r="G415" i="2"/>
  <c r="M383" i="2"/>
  <c r="G105" i="2"/>
  <c r="G372" i="2"/>
  <c r="G367" i="2"/>
  <c r="G353" i="2"/>
  <c r="G336" i="2"/>
  <c r="G332" i="2"/>
  <c r="G328" i="2"/>
  <c r="N295" i="2"/>
  <c r="N273" i="2"/>
  <c r="N196" i="2"/>
  <c r="O196" i="2" s="1"/>
  <c r="N188" i="2"/>
  <c r="G162" i="2"/>
  <c r="N145" i="2"/>
  <c r="G144" i="2"/>
  <c r="N133" i="2"/>
  <c r="N97" i="2"/>
  <c r="M14" i="2"/>
  <c r="G526" i="2"/>
  <c r="N526" i="2" s="1"/>
  <c r="O526" i="2" s="1"/>
  <c r="G510" i="2"/>
  <c r="N510" i="2" s="1"/>
  <c r="O510" i="2" s="1"/>
  <c r="G509" i="2"/>
  <c r="M507" i="2"/>
  <c r="M498" i="2"/>
  <c r="M474" i="2"/>
  <c r="M461" i="2"/>
  <c r="N461" i="2" s="1"/>
  <c r="O461" i="2" s="1"/>
  <c r="M441" i="2"/>
  <c r="M437" i="2"/>
  <c r="M433" i="2"/>
  <c r="G428" i="2"/>
  <c r="G427" i="2"/>
  <c r="M420" i="2"/>
  <c r="G396" i="2"/>
  <c r="M369" i="2"/>
  <c r="M354" i="2"/>
  <c r="G345" i="2"/>
  <c r="M342" i="2"/>
  <c r="M321" i="2"/>
  <c r="M317" i="2"/>
  <c r="M312" i="2"/>
  <c r="M308" i="2"/>
  <c r="M286" i="2"/>
  <c r="M282" i="2"/>
  <c r="G280" i="2"/>
  <c r="M269" i="2"/>
  <c r="N269" i="2" s="1"/>
  <c r="M265" i="2"/>
  <c r="M261" i="2"/>
  <c r="M257" i="2"/>
  <c r="M253" i="2"/>
  <c r="N253" i="2" s="1"/>
  <c r="M252" i="2"/>
  <c r="G251" i="2"/>
  <c r="M248" i="2"/>
  <c r="M235" i="2"/>
  <c r="N235" i="2" s="1"/>
  <c r="M231" i="2"/>
  <c r="M227" i="2"/>
  <c r="N227" i="2" s="1"/>
  <c r="O227" i="2" s="1"/>
  <c r="M223" i="2"/>
  <c r="M219" i="2"/>
  <c r="G217" i="2"/>
  <c r="M215" i="2"/>
  <c r="M206" i="2"/>
  <c r="M202" i="2"/>
  <c r="N202" i="2" s="1"/>
  <c r="O202" i="2" s="1"/>
  <c r="G200" i="2"/>
  <c r="M197" i="2"/>
  <c r="G195" i="2"/>
  <c r="M193" i="2"/>
  <c r="G192" i="2"/>
  <c r="N192" i="2" s="1"/>
  <c r="O192" i="2" s="1"/>
  <c r="G191" i="2"/>
  <c r="M189" i="2"/>
  <c r="M185" i="2"/>
  <c r="M181" i="2"/>
  <c r="G179" i="2"/>
  <c r="M176" i="2"/>
  <c r="M155" i="2"/>
  <c r="M128" i="2"/>
  <c r="M115" i="2"/>
  <c r="N115" i="2" s="1"/>
  <c r="G113" i="2"/>
  <c r="M106" i="2"/>
  <c r="M93" i="2"/>
  <c r="M88" i="2"/>
  <c r="M84" i="2"/>
  <c r="G45" i="2"/>
  <c r="M421" i="2"/>
  <c r="M412" i="2"/>
  <c r="M393" i="2"/>
  <c r="M389" i="2"/>
  <c r="G388" i="2"/>
  <c r="M384" i="2"/>
  <c r="N384" i="2" s="1"/>
  <c r="O384" i="2" s="1"/>
  <c r="G383" i="2"/>
  <c r="M370" i="2"/>
  <c r="M365" i="2"/>
  <c r="G364" i="2"/>
  <c r="G359" i="2"/>
  <c r="G358" i="2"/>
  <c r="M343" i="2"/>
  <c r="N343" i="2" s="1"/>
  <c r="M322" i="2"/>
  <c r="G321" i="2"/>
  <c r="G320" i="2"/>
  <c r="N320" i="2" s="1"/>
  <c r="O320" i="2" s="1"/>
  <c r="M318" i="2"/>
  <c r="M305" i="2"/>
  <c r="M300" i="2"/>
  <c r="G299" i="2"/>
  <c r="N299" i="2" s="1"/>
  <c r="O299" i="2" s="1"/>
  <c r="M296" i="2"/>
  <c r="M283" i="2"/>
  <c r="M279" i="2"/>
  <c r="N279" i="2" s="1"/>
  <c r="G277" i="2"/>
  <c r="N277" i="2" s="1"/>
  <c r="O277" i="2" s="1"/>
  <c r="M270" i="2"/>
  <c r="M266" i="2"/>
  <c r="G265" i="2"/>
  <c r="M262" i="2"/>
  <c r="G261" i="2"/>
  <c r="G260" i="2"/>
  <c r="N260" i="2" s="1"/>
  <c r="O260" i="2" s="1"/>
  <c r="M258" i="2"/>
  <c r="G257" i="2"/>
  <c r="M254" i="2"/>
  <c r="M245" i="2"/>
  <c r="N245" i="2" s="1"/>
  <c r="M241" i="2"/>
  <c r="N241" i="2" s="1"/>
  <c r="G240" i="2"/>
  <c r="N240" i="2" s="1"/>
  <c r="O240" i="2" s="1"/>
  <c r="G222" i="2"/>
  <c r="G210" i="2"/>
  <c r="N210" i="2" s="1"/>
  <c r="O210" i="2" s="1"/>
  <c r="M207" i="2"/>
  <c r="M203" i="2"/>
  <c r="M194" i="2"/>
  <c r="M190" i="2"/>
  <c r="M186" i="2"/>
  <c r="N186" i="2" s="1"/>
  <c r="M182" i="2"/>
  <c r="N182" i="2" s="1"/>
  <c r="O182" i="2" s="1"/>
  <c r="M178" i="2"/>
  <c r="N178" i="2" s="1"/>
  <c r="G176" i="2"/>
  <c r="M173" i="2"/>
  <c r="M169" i="2"/>
  <c r="G167" i="2"/>
  <c r="M164" i="2"/>
  <c r="M160" i="2"/>
  <c r="G155" i="2"/>
  <c r="G154" i="2"/>
  <c r="G137" i="2"/>
  <c r="N137" i="2" s="1"/>
  <c r="O137" i="2" s="1"/>
  <c r="M120" i="2"/>
  <c r="G101" i="2"/>
  <c r="N101" i="2" s="1"/>
  <c r="O101" i="2" s="1"/>
  <c r="M94" i="2"/>
  <c r="G19" i="2"/>
  <c r="M538" i="2"/>
  <c r="M529" i="2"/>
  <c r="N529" i="2" s="1"/>
  <c r="O529" i="2" s="1"/>
  <c r="M525" i="2"/>
  <c r="G523" i="2"/>
  <c r="G502" i="2"/>
  <c r="G498" i="2"/>
  <c r="G489" i="2"/>
  <c r="G470" i="2"/>
  <c r="M453" i="2"/>
  <c r="G452" i="2"/>
  <c r="G451" i="2"/>
  <c r="M439" i="2"/>
  <c r="N439" i="2" s="1"/>
  <c r="O439" i="2" s="1"/>
  <c r="M422" i="2"/>
  <c r="G403" i="2"/>
  <c r="M390" i="2"/>
  <c r="M385" i="2"/>
  <c r="M375" i="2"/>
  <c r="N375" i="2" s="1"/>
  <c r="O375" i="2" s="1"/>
  <c r="G374" i="2"/>
  <c r="G373" i="2"/>
  <c r="M360" i="2"/>
  <c r="N360" i="2" s="1"/>
  <c r="O360" i="2" s="1"/>
  <c r="M339" i="2"/>
  <c r="M335" i="2"/>
  <c r="M331" i="2"/>
  <c r="M327" i="2"/>
  <c r="G326" i="2"/>
  <c r="N326" i="2" s="1"/>
  <c r="O326" i="2" s="1"/>
  <c r="M314" i="2"/>
  <c r="G313" i="2"/>
  <c r="N313" i="2" s="1"/>
  <c r="O313" i="2" s="1"/>
  <c r="M310" i="2"/>
  <c r="N310" i="2" s="1"/>
  <c r="O310" i="2" s="1"/>
  <c r="M301" i="2"/>
  <c r="M297" i="2"/>
  <c r="M275" i="2"/>
  <c r="M271" i="2"/>
  <c r="N271" i="2" s="1"/>
  <c r="G269" i="2"/>
  <c r="M250" i="2"/>
  <c r="G249" i="2"/>
  <c r="N249" i="2" s="1"/>
  <c r="O249" i="2" s="1"/>
  <c r="G248" i="2"/>
  <c r="M237" i="2"/>
  <c r="N237" i="2" s="1"/>
  <c r="M236" i="2"/>
  <c r="N236" i="2" s="1"/>
  <c r="M232" i="2"/>
  <c r="M228" i="2"/>
  <c r="N228" i="2" s="1"/>
  <c r="M224" i="2"/>
  <c r="N224" i="2" s="1"/>
  <c r="M220" i="2"/>
  <c r="N220" i="2" s="1"/>
  <c r="M216" i="2"/>
  <c r="N216" i="2" s="1"/>
  <c r="M199" i="2"/>
  <c r="M174" i="2"/>
  <c r="N174" i="2" s="1"/>
  <c r="M165" i="2"/>
  <c r="M161" i="2"/>
  <c r="G159" i="2"/>
  <c r="N159" i="2" s="1"/>
  <c r="O159" i="2" s="1"/>
  <c r="M156" i="2"/>
  <c r="M151" i="2"/>
  <c r="N151" i="2" s="1"/>
  <c r="O151" i="2" s="1"/>
  <c r="M147" i="2"/>
  <c r="M143" i="2"/>
  <c r="M139" i="2"/>
  <c r="M135" i="2"/>
  <c r="M130" i="2"/>
  <c r="G128" i="2"/>
  <c r="M126" i="2"/>
  <c r="M121" i="2"/>
  <c r="M117" i="2"/>
  <c r="N117" i="2" s="1"/>
  <c r="M116" i="2"/>
  <c r="M103" i="2"/>
  <c r="M99" i="2"/>
  <c r="G93" i="2"/>
  <c r="M90" i="2"/>
  <c r="N90" i="2" s="1"/>
  <c r="M85" i="2"/>
  <c r="G75" i="2"/>
  <c r="M56" i="2"/>
  <c r="M52" i="2"/>
  <c r="N52" i="2" s="1"/>
  <c r="O52" i="2" s="1"/>
  <c r="G425" i="2"/>
  <c r="M409" i="2"/>
  <c r="M404" i="2"/>
  <c r="N315" i="2"/>
  <c r="O315" i="2" s="1"/>
  <c r="N238" i="2"/>
  <c r="N217" i="2"/>
  <c r="M212" i="2"/>
  <c r="M208" i="2"/>
  <c r="N208" i="2" s="1"/>
  <c r="G185" i="2"/>
  <c r="G181" i="2"/>
  <c r="N166" i="2"/>
  <c r="M152" i="2"/>
  <c r="N152" i="2" s="1"/>
  <c r="N131" i="2"/>
  <c r="M112" i="2"/>
  <c r="M108" i="2"/>
  <c r="N108" i="2" s="1"/>
  <c r="G106" i="2"/>
  <c r="G80" i="2"/>
  <c r="G490" i="2"/>
  <c r="G485" i="2"/>
  <c r="N485" i="2" s="1"/>
  <c r="O485" i="2" s="1"/>
  <c r="M477" i="2"/>
  <c r="G476" i="2"/>
  <c r="G472" i="2"/>
  <c r="G457" i="2"/>
  <c r="G447" i="2"/>
  <c r="G442" i="2"/>
  <c r="M418" i="2"/>
  <c r="G404" i="2"/>
  <c r="M386" i="2"/>
  <c r="M381" i="2"/>
  <c r="M377" i="2"/>
  <c r="N377" i="2" s="1"/>
  <c r="O377" i="2" s="1"/>
  <c r="M373" i="2"/>
  <c r="G365" i="2"/>
  <c r="M357" i="2"/>
  <c r="G356" i="2"/>
  <c r="G352" i="2"/>
  <c r="M344" i="2"/>
  <c r="M340" i="2"/>
  <c r="N340" i="2" s="1"/>
  <c r="O340" i="2" s="1"/>
  <c r="G335" i="2"/>
  <c r="G327" i="2"/>
  <c r="M311" i="2"/>
  <c r="M307" i="2"/>
  <c r="N307" i="2" s="1"/>
  <c r="L302" i="2"/>
  <c r="M302" i="2" s="1"/>
  <c r="N302" i="2" s="1"/>
  <c r="O302" i="2" s="1"/>
  <c r="M298" i="2"/>
  <c r="G297" i="2"/>
  <c r="M293" i="2"/>
  <c r="M289" i="2"/>
  <c r="M284" i="2"/>
  <c r="M280" i="2"/>
  <c r="N280" i="2" s="1"/>
  <c r="G278" i="2"/>
  <c r="N278" i="2" s="1"/>
  <c r="O278" i="2" s="1"/>
  <c r="M251" i="2"/>
  <c r="N251" i="2" s="1"/>
  <c r="M247" i="2"/>
  <c r="N247" i="2" s="1"/>
  <c r="G232" i="2"/>
  <c r="M213" i="2"/>
  <c r="M209" i="2"/>
  <c r="M204" i="2"/>
  <c r="L195" i="2"/>
  <c r="M195" i="2" s="1"/>
  <c r="N195" i="2" s="1"/>
  <c r="O195" i="2" s="1"/>
  <c r="L191" i="2"/>
  <c r="M191" i="2" s="1"/>
  <c r="N191" i="2" s="1"/>
  <c r="O191" i="2" s="1"/>
  <c r="L179" i="2"/>
  <c r="M179" i="2" s="1"/>
  <c r="M175" i="2"/>
  <c r="N175" i="2" s="1"/>
  <c r="M162" i="2"/>
  <c r="N162" i="2" s="1"/>
  <c r="M158" i="2"/>
  <c r="N158" i="2" s="1"/>
  <c r="G150" i="2"/>
  <c r="N150" i="2" s="1"/>
  <c r="O150" i="2" s="1"/>
  <c r="G147" i="2"/>
  <c r="G143" i="2"/>
  <c r="G142" i="2"/>
  <c r="N142" i="2" s="1"/>
  <c r="O142" i="2" s="1"/>
  <c r="G139" i="2"/>
  <c r="G138" i="2"/>
  <c r="N138" i="2" s="1"/>
  <c r="O138" i="2" s="1"/>
  <c r="M127" i="2"/>
  <c r="M122" i="2"/>
  <c r="G120" i="2"/>
  <c r="M118" i="2"/>
  <c r="M113" i="2"/>
  <c r="N113" i="2" s="1"/>
  <c r="M109" i="2"/>
  <c r="G99" i="2"/>
  <c r="G98" i="2"/>
  <c r="N98" i="2" s="1"/>
  <c r="O98" i="2" s="1"/>
  <c r="M91" i="2"/>
  <c r="N91" i="2" s="1"/>
  <c r="M86" i="2"/>
  <c r="M82" i="2"/>
  <c r="G72" i="2"/>
  <c r="G64" i="2"/>
  <c r="M505" i="2"/>
  <c r="N505" i="2" s="1"/>
  <c r="O505" i="2" s="1"/>
  <c r="M501" i="2"/>
  <c r="N501" i="2" s="1"/>
  <c r="O501" i="2" s="1"/>
  <c r="M473" i="2"/>
  <c r="M469" i="2"/>
  <c r="M445" i="2"/>
  <c r="G417" i="2"/>
  <c r="N417" i="2" s="1"/>
  <c r="O417" i="2" s="1"/>
  <c r="M405" i="2"/>
  <c r="M401" i="2"/>
  <c r="G395" i="2"/>
  <c r="G390" i="2"/>
  <c r="M387" i="2"/>
  <c r="M382" i="2"/>
  <c r="M362" i="2"/>
  <c r="M358" i="2"/>
  <c r="M353" i="2"/>
  <c r="M349" i="2"/>
  <c r="G344" i="2"/>
  <c r="M341" i="2"/>
  <c r="M336" i="2"/>
  <c r="N336" i="2" s="1"/>
  <c r="M332" i="2"/>
  <c r="N332" i="2" s="1"/>
  <c r="M328" i="2"/>
  <c r="M324" i="2"/>
  <c r="N324" i="2" s="1"/>
  <c r="G319" i="2"/>
  <c r="N319" i="2" s="1"/>
  <c r="O319" i="2" s="1"/>
  <c r="G318" i="2"/>
  <c r="M303" i="2"/>
  <c r="M294" i="2"/>
  <c r="M285" i="2"/>
  <c r="M281" i="2"/>
  <c r="M276" i="2"/>
  <c r="M272" i="2"/>
  <c r="G266" i="2"/>
  <c r="G263" i="2"/>
  <c r="N263" i="2" s="1"/>
  <c r="O263" i="2" s="1"/>
  <c r="G258" i="2"/>
  <c r="G255" i="2"/>
  <c r="G254" i="2"/>
  <c r="M243" i="2"/>
  <c r="M239" i="2"/>
  <c r="M234" i="2"/>
  <c r="M230" i="2"/>
  <c r="G229" i="2"/>
  <c r="N229" i="2" s="1"/>
  <c r="O229" i="2" s="1"/>
  <c r="M226" i="2"/>
  <c r="M222" i="2"/>
  <c r="N222" i="2" s="1"/>
  <c r="G221" i="2"/>
  <c r="N221" i="2" s="1"/>
  <c r="O221" i="2" s="1"/>
  <c r="M218" i="2"/>
  <c r="M214" i="2"/>
  <c r="N214" i="2" s="1"/>
  <c r="G207" i="2"/>
  <c r="M205" i="2"/>
  <c r="G204" i="2"/>
  <c r="M200" i="2"/>
  <c r="N200" i="2" s="1"/>
  <c r="O200" i="2" s="1"/>
  <c r="M171" i="2"/>
  <c r="G170" i="2"/>
  <c r="G169" i="2"/>
  <c r="M167" i="2"/>
  <c r="N167" i="2" s="1"/>
  <c r="M154" i="2"/>
  <c r="N154" i="2" s="1"/>
  <c r="O154" i="2" s="1"/>
  <c r="M148" i="2"/>
  <c r="M144" i="2"/>
  <c r="N144" i="2" s="1"/>
  <c r="M140" i="2"/>
  <c r="M136" i="2"/>
  <c r="N136" i="2" s="1"/>
  <c r="M123" i="2"/>
  <c r="N123" i="2" s="1"/>
  <c r="G121" i="2"/>
  <c r="M105" i="2"/>
  <c r="M104" i="2"/>
  <c r="N104" i="2" s="1"/>
  <c r="O104" i="2" s="1"/>
  <c r="M100" i="2"/>
  <c r="N100" i="2" s="1"/>
  <c r="G94" i="2"/>
  <c r="M87" i="2"/>
  <c r="N87" i="2" s="1"/>
  <c r="O87" i="2" s="1"/>
  <c r="M78" i="2"/>
  <c r="M74" i="2"/>
  <c r="M70" i="2"/>
  <c r="M42" i="2"/>
  <c r="G30" i="2"/>
  <c r="N30" i="2" s="1"/>
  <c r="O30" i="2" s="1"/>
  <c r="G86" i="2"/>
  <c r="G83" i="2"/>
  <c r="M66" i="2"/>
  <c r="N66" i="2" s="1"/>
  <c r="O66" i="2" s="1"/>
  <c r="M62" i="2"/>
  <c r="M58" i="2"/>
  <c r="M48" i="2"/>
  <c r="G47" i="2"/>
  <c r="M38" i="2"/>
  <c r="N38" i="2" s="1"/>
  <c r="O38" i="2" s="1"/>
  <c r="G37" i="2"/>
  <c r="G87" i="2"/>
  <c r="M80" i="2"/>
  <c r="N80" i="2" s="1"/>
  <c r="O80" i="2" s="1"/>
  <c r="G78" i="2"/>
  <c r="M54" i="2"/>
  <c r="G53" i="2"/>
  <c r="M44" i="2"/>
  <c r="M24" i="2"/>
  <c r="M35" i="2"/>
  <c r="N35" i="2" s="1"/>
  <c r="O35" i="2" s="1"/>
  <c r="G71" i="2"/>
  <c r="G67" i="2"/>
  <c r="G66" i="2"/>
  <c r="G59" i="2"/>
  <c r="G58" i="2"/>
  <c r="M50" i="2"/>
  <c r="G38" i="2"/>
  <c r="M30" i="2"/>
  <c r="M26" i="2"/>
  <c r="L47" i="6"/>
  <c r="M48" i="6"/>
  <c r="L48" i="6"/>
  <c r="L54" i="6" s="1"/>
  <c r="M47" i="6"/>
  <c r="O237" i="2"/>
  <c r="M528" i="2"/>
  <c r="M519" i="2"/>
  <c r="M496" i="2"/>
  <c r="N496" i="2" s="1"/>
  <c r="O496" i="2" s="1"/>
  <c r="M490" i="2"/>
  <c r="M431" i="2"/>
  <c r="M417" i="2"/>
  <c r="M49" i="2"/>
  <c r="N49" i="2" s="1"/>
  <c r="O49" i="2" s="1"/>
  <c r="M55" i="2"/>
  <c r="M463" i="2"/>
  <c r="M414" i="2"/>
  <c r="M398" i="2"/>
  <c r="M371" i="2"/>
  <c r="M366" i="2"/>
  <c r="M410" i="2"/>
  <c r="M372" i="2"/>
  <c r="N535" i="2"/>
  <c r="O535" i="2" s="1"/>
  <c r="M534" i="2"/>
  <c r="M497" i="2"/>
  <c r="N497" i="2" s="1"/>
  <c r="O497" i="2" s="1"/>
  <c r="M470" i="2"/>
  <c r="N470" i="2" s="1"/>
  <c r="O470" i="2" s="1"/>
  <c r="M450" i="2"/>
  <c r="M406" i="2"/>
  <c r="M395" i="2"/>
  <c r="M380" i="2"/>
  <c r="M374" i="2"/>
  <c r="N374" i="2" s="1"/>
  <c r="O374" i="2" s="1"/>
  <c r="M41" i="2"/>
  <c r="M537" i="2"/>
  <c r="N537" i="2" s="1"/>
  <c r="O537" i="2" s="1"/>
  <c r="G534" i="2"/>
  <c r="N534" i="2" s="1"/>
  <c r="O534" i="2" s="1"/>
  <c r="M522" i="2"/>
  <c r="G513" i="2"/>
  <c r="G495" i="2"/>
  <c r="G469" i="2"/>
  <c r="M466" i="2"/>
  <c r="G433" i="2"/>
  <c r="M430" i="2"/>
  <c r="N430" i="2" s="1"/>
  <c r="O430" i="2" s="1"/>
  <c r="G416" i="2"/>
  <c r="N371" i="2"/>
  <c r="O371" i="2" s="1"/>
  <c r="M348" i="2"/>
  <c r="N348" i="2" s="1"/>
  <c r="O348" i="2" s="1"/>
  <c r="M523" i="2"/>
  <c r="M516" i="2"/>
  <c r="N516" i="2" s="1"/>
  <c r="O516" i="2" s="1"/>
  <c r="M511" i="2"/>
  <c r="M491" i="2"/>
  <c r="M478" i="2"/>
  <c r="M472" i="2"/>
  <c r="M454" i="2"/>
  <c r="M436" i="2"/>
  <c r="N436" i="2" s="1"/>
  <c r="O436" i="2" s="1"/>
  <c r="N473" i="2"/>
  <c r="O473" i="2" s="1"/>
  <c r="M448" i="2"/>
  <c r="N448" i="2" s="1"/>
  <c r="O448" i="2" s="1"/>
  <c r="M408" i="2"/>
  <c r="N408" i="2" s="1"/>
  <c r="O408" i="2" s="1"/>
  <c r="M540" i="2"/>
  <c r="G536" i="2"/>
  <c r="G530" i="2"/>
  <c r="N530" i="2" s="1"/>
  <c r="O530" i="2" s="1"/>
  <c r="M506" i="2"/>
  <c r="N506" i="2" s="1"/>
  <c r="O506" i="2" s="1"/>
  <c r="G503" i="2"/>
  <c r="N503" i="2" s="1"/>
  <c r="O503" i="2" s="1"/>
  <c r="M494" i="2"/>
  <c r="M486" i="2"/>
  <c r="M479" i="2"/>
  <c r="G477" i="2"/>
  <c r="M468" i="2"/>
  <c r="N468" i="2" s="1"/>
  <c r="O468" i="2" s="1"/>
  <c r="M462" i="2"/>
  <c r="G458" i="2"/>
  <c r="M443" i="2"/>
  <c r="G441" i="2"/>
  <c r="N441" i="2" s="1"/>
  <c r="O441" i="2" s="1"/>
  <c r="M432" i="2"/>
  <c r="N432" i="2" s="1"/>
  <c r="O432" i="2" s="1"/>
  <c r="G429" i="2"/>
  <c r="N429" i="2" s="1"/>
  <c r="O429" i="2" s="1"/>
  <c r="G423" i="2"/>
  <c r="M415" i="2"/>
  <c r="N415" i="2" s="1"/>
  <c r="O415" i="2" s="1"/>
  <c r="G402" i="2"/>
  <c r="M399" i="2"/>
  <c r="N361" i="2"/>
  <c r="O361" i="2" s="1"/>
  <c r="G522" i="2"/>
  <c r="G471" i="2"/>
  <c r="G453" i="2"/>
  <c r="N453" i="2" s="1"/>
  <c r="O453" i="2" s="1"/>
  <c r="M444" i="2"/>
  <c r="N444" i="2" s="1"/>
  <c r="O444" i="2" s="1"/>
  <c r="G435" i="2"/>
  <c r="G430" i="2"/>
  <c r="G413" i="2"/>
  <c r="G412" i="2"/>
  <c r="N412" i="2" s="1"/>
  <c r="O412" i="2" s="1"/>
  <c r="G397" i="2"/>
  <c r="M394" i="2"/>
  <c r="M388" i="2"/>
  <c r="N388" i="2" s="1"/>
  <c r="O388" i="2" s="1"/>
  <c r="M356" i="2"/>
  <c r="N528" i="2"/>
  <c r="O528" i="2" s="1"/>
  <c r="G500" i="2"/>
  <c r="N422" i="2"/>
  <c r="O422" i="2" s="1"/>
  <c r="N416" i="2"/>
  <c r="O416" i="2" s="1"/>
  <c r="N410" i="2"/>
  <c r="O410" i="2" s="1"/>
  <c r="G398" i="2"/>
  <c r="N398" i="2" s="1"/>
  <c r="O398" i="2" s="1"/>
  <c r="G518" i="2"/>
  <c r="G517" i="2"/>
  <c r="G512" i="2"/>
  <c r="G505" i="2"/>
  <c r="M488" i="2"/>
  <c r="G467" i="2"/>
  <c r="M464" i="2"/>
  <c r="N464" i="2" s="1"/>
  <c r="O464" i="2" s="1"/>
  <c r="N445" i="2"/>
  <c r="O445" i="2" s="1"/>
  <c r="M440" i="2"/>
  <c r="N440" i="2" s="1"/>
  <c r="O440" i="2" s="1"/>
  <c r="G437" i="2"/>
  <c r="N437" i="2" s="1"/>
  <c r="O437" i="2" s="1"/>
  <c r="G431" i="2"/>
  <c r="N431" i="2" s="1"/>
  <c r="O431" i="2" s="1"/>
  <c r="M428" i="2"/>
  <c r="N428" i="2" s="1"/>
  <c r="O428" i="2" s="1"/>
  <c r="G405" i="2"/>
  <c r="N405" i="2" s="1"/>
  <c r="O405" i="2" s="1"/>
  <c r="N401" i="2"/>
  <c r="O401" i="2" s="1"/>
  <c r="G393" i="2"/>
  <c r="G387" i="2"/>
  <c r="G330" i="2"/>
  <c r="N330" i="2" s="1"/>
  <c r="O330" i="2" s="1"/>
  <c r="G539" i="2"/>
  <c r="G538" i="2"/>
  <c r="N538" i="2" s="1"/>
  <c r="O538" i="2" s="1"/>
  <c r="G532" i="2"/>
  <c r="G540" i="2"/>
  <c r="M536" i="2"/>
  <c r="G525" i="2"/>
  <c r="N521" i="2"/>
  <c r="O521" i="2" s="1"/>
  <c r="N509" i="2"/>
  <c r="O509" i="2" s="1"/>
  <c r="M499" i="2"/>
  <c r="N498" i="2"/>
  <c r="O498" i="2" s="1"/>
  <c r="G493" i="2"/>
  <c r="N490" i="2"/>
  <c r="O490" i="2" s="1"/>
  <c r="N489" i="2"/>
  <c r="O489" i="2" s="1"/>
  <c r="G486" i="2"/>
  <c r="N465" i="2"/>
  <c r="O465" i="2" s="1"/>
  <c r="M458" i="2"/>
  <c r="N458" i="2" s="1"/>
  <c r="O458" i="2" s="1"/>
  <c r="G455" i="2"/>
  <c r="M452" i="2"/>
  <c r="G449" i="2"/>
  <c r="N449" i="2" s="1"/>
  <c r="O449" i="2" s="1"/>
  <c r="M446" i="2"/>
  <c r="G443" i="2"/>
  <c r="G438" i="2"/>
  <c r="G421" i="2"/>
  <c r="N421" i="2" s="1"/>
  <c r="O421" i="2" s="1"/>
  <c r="G409" i="2"/>
  <c r="N409" i="2" s="1"/>
  <c r="O409" i="2" s="1"/>
  <c r="M402" i="2"/>
  <c r="N402" i="2" s="1"/>
  <c r="O402" i="2" s="1"/>
  <c r="M392" i="2"/>
  <c r="N392" i="2" s="1"/>
  <c r="O392" i="2" s="1"/>
  <c r="G389" i="2"/>
  <c r="N385" i="2"/>
  <c r="O385" i="2" s="1"/>
  <c r="G363" i="2"/>
  <c r="G357" i="2"/>
  <c r="N357" i="2" s="1"/>
  <c r="O357" i="2" s="1"/>
  <c r="N353" i="2"/>
  <c r="O353" i="2" s="1"/>
  <c r="G350" i="2"/>
  <c r="O324" i="2"/>
  <c r="G304" i="2"/>
  <c r="N304" i="2" s="1"/>
  <c r="O304" i="2" s="1"/>
  <c r="G298" i="2"/>
  <c r="O271" i="2"/>
  <c r="G268" i="2"/>
  <c r="N268" i="2" s="1"/>
  <c r="O268" i="2" s="1"/>
  <c r="G252" i="2"/>
  <c r="G246" i="2"/>
  <c r="N246" i="2" s="1"/>
  <c r="O246" i="2" s="1"/>
  <c r="G223" i="2"/>
  <c r="G201" i="2"/>
  <c r="N201" i="2" s="1"/>
  <c r="O201" i="2" s="1"/>
  <c r="G194" i="2"/>
  <c r="G187" i="2"/>
  <c r="N187" i="2" s="1"/>
  <c r="O187" i="2" s="1"/>
  <c r="G168" i="2"/>
  <c r="N168" i="2" s="1"/>
  <c r="O168" i="2" s="1"/>
  <c r="G112" i="2"/>
  <c r="M75" i="2"/>
  <c r="M39" i="2"/>
  <c r="M33" i="2"/>
  <c r="M27" i="2"/>
  <c r="N27" i="2" s="1"/>
  <c r="O27" i="2" s="1"/>
  <c r="O273" i="2"/>
  <c r="O178" i="2"/>
  <c r="O144" i="2"/>
  <c r="M83" i="2"/>
  <c r="N83" i="2" s="1"/>
  <c r="O83" i="2" s="1"/>
  <c r="M47" i="2"/>
  <c r="N47" i="2" s="1"/>
  <c r="O47" i="2" s="1"/>
  <c r="O214" i="2"/>
  <c r="O166" i="2"/>
  <c r="O91" i="2"/>
  <c r="G24" i="2"/>
  <c r="G311" i="2"/>
  <c r="G306" i="2"/>
  <c r="G293" i="2"/>
  <c r="G283" i="2"/>
  <c r="G282" i="2"/>
  <c r="G270" i="2"/>
  <c r="G262" i="2"/>
  <c r="G256" i="2"/>
  <c r="O251" i="2"/>
  <c r="G233" i="2"/>
  <c r="N233" i="2" s="1"/>
  <c r="O233" i="2" s="1"/>
  <c r="O228" i="2"/>
  <c r="G225" i="2"/>
  <c r="O222" i="2"/>
  <c r="O220" i="2"/>
  <c r="G212" i="2"/>
  <c r="G211" i="2"/>
  <c r="N211" i="2" s="1"/>
  <c r="G183" i="2"/>
  <c r="N183" i="2" s="1"/>
  <c r="G163" i="2"/>
  <c r="G130" i="2"/>
  <c r="G122" i="2"/>
  <c r="G114" i="2"/>
  <c r="G109" i="2"/>
  <c r="G95" i="2"/>
  <c r="N95" i="2" s="1"/>
  <c r="M77" i="2"/>
  <c r="M63" i="2"/>
  <c r="G61" i="2"/>
  <c r="G46" i="2"/>
  <c r="N46" i="2" s="1"/>
  <c r="O46" i="2" s="1"/>
  <c r="M43" i="2"/>
  <c r="N43" i="2" s="1"/>
  <c r="O43" i="2" s="1"/>
  <c r="G39" i="2"/>
  <c r="G32" i="2"/>
  <c r="G338" i="2"/>
  <c r="O336" i="2"/>
  <c r="G323" i="2"/>
  <c r="G300" i="2"/>
  <c r="O280" i="2"/>
  <c r="G264" i="2"/>
  <c r="N264" i="2" s="1"/>
  <c r="G242" i="2"/>
  <c r="N242" i="2" s="1"/>
  <c r="O242" i="2" s="1"/>
  <c r="G218" i="2"/>
  <c r="O208" i="2"/>
  <c r="G197" i="2"/>
  <c r="G190" i="2"/>
  <c r="G184" i="2"/>
  <c r="N184" i="2" s="1"/>
  <c r="G171" i="2"/>
  <c r="O167" i="2"/>
  <c r="G164" i="2"/>
  <c r="G157" i="2"/>
  <c r="N157" i="2" s="1"/>
  <c r="O157" i="2" s="1"/>
  <c r="G156" i="2"/>
  <c r="O152" i="2"/>
  <c r="G141" i="2"/>
  <c r="N141" i="2" s="1"/>
  <c r="G102" i="2"/>
  <c r="G88" i="2"/>
  <c r="G82" i="2"/>
  <c r="G74" i="2"/>
  <c r="N74" i="2" s="1"/>
  <c r="O74" i="2" s="1"/>
  <c r="G68" i="2"/>
  <c r="M57" i="2"/>
  <c r="N57" i="2" s="1"/>
  <c r="O57" i="2" s="1"/>
  <c r="G54" i="2"/>
  <c r="M51" i="2"/>
  <c r="N51" i="2" s="1"/>
  <c r="O51" i="2" s="1"/>
  <c r="G26" i="2"/>
  <c r="N26" i="2" s="1"/>
  <c r="O26" i="2" s="1"/>
  <c r="M364" i="2"/>
  <c r="N352" i="2"/>
  <c r="O352" i="2" s="1"/>
  <c r="G331" i="2"/>
  <c r="G314" i="2"/>
  <c r="G301" i="2"/>
  <c r="G285" i="2"/>
  <c r="G284" i="2"/>
  <c r="G272" i="2"/>
  <c r="G250" i="2"/>
  <c r="O247" i="2"/>
  <c r="O241" i="2"/>
  <c r="G234" i="2"/>
  <c r="G226" i="2"/>
  <c r="O216" i="2"/>
  <c r="G213" i="2"/>
  <c r="G206" i="2"/>
  <c r="G172" i="2"/>
  <c r="N172" i="2" s="1"/>
  <c r="G165" i="2"/>
  <c r="G149" i="2"/>
  <c r="G110" i="2"/>
  <c r="N110" i="2" s="1"/>
  <c r="O110" i="2" s="1"/>
  <c r="G103" i="2"/>
  <c r="G96" i="2"/>
  <c r="N96" i="2" s="1"/>
  <c r="O96" i="2" s="1"/>
  <c r="N78" i="2"/>
  <c r="O78" i="2" s="1"/>
  <c r="G76" i="2"/>
  <c r="N76" i="2" s="1"/>
  <c r="O76" i="2" s="1"/>
  <c r="M71" i="2"/>
  <c r="N71" i="2" s="1"/>
  <c r="O71" i="2" s="1"/>
  <c r="G69" i="2"/>
  <c r="M65" i="2"/>
  <c r="G62" i="2"/>
  <c r="N62" i="2" s="1"/>
  <c r="O62" i="2" s="1"/>
  <c r="M59" i="2"/>
  <c r="N59" i="2" s="1"/>
  <c r="O59" i="2" s="1"/>
  <c r="G55" i="2"/>
  <c r="N55" i="2" s="1"/>
  <c r="O55" i="2" s="1"/>
  <c r="G48" i="2"/>
  <c r="N48" i="2" s="1"/>
  <c r="O48" i="2" s="1"/>
  <c r="N44" i="2"/>
  <c r="O44" i="2" s="1"/>
  <c r="G40" i="2"/>
  <c r="G34" i="2"/>
  <c r="N34" i="2" s="1"/>
  <c r="O34" i="2" s="1"/>
  <c r="M23" i="2"/>
  <c r="N23" i="2" s="1"/>
  <c r="O23" i="2" s="1"/>
  <c r="N366" i="2"/>
  <c r="O366" i="2" s="1"/>
  <c r="G355" i="2"/>
  <c r="G347" i="2"/>
  <c r="G339" i="2"/>
  <c r="O269" i="2"/>
  <c r="G243" i="2"/>
  <c r="O175" i="2"/>
  <c r="O162" i="2"/>
  <c r="O129" i="2"/>
  <c r="O113" i="2"/>
  <c r="M79" i="2"/>
  <c r="N79" i="2" s="1"/>
  <c r="O79" i="2" s="1"/>
  <c r="G77" i="2"/>
  <c r="G63" i="2"/>
  <c r="M45" i="2"/>
  <c r="N45" i="2" s="1"/>
  <c r="O45" i="2" s="1"/>
  <c r="M31" i="2"/>
  <c r="N31" i="2" s="1"/>
  <c r="O31" i="2" s="1"/>
  <c r="G29" i="2"/>
  <c r="M391" i="2"/>
  <c r="G382" i="2"/>
  <c r="G381" i="2"/>
  <c r="G370" i="2"/>
  <c r="N370" i="2" s="1"/>
  <c r="O370" i="2" s="1"/>
  <c r="G349" i="2"/>
  <c r="N349" i="2" s="1"/>
  <c r="O349" i="2" s="1"/>
  <c r="N345" i="2"/>
  <c r="O345" i="2" s="1"/>
  <c r="O343" i="2"/>
  <c r="G342" i="2"/>
  <c r="G341" i="2"/>
  <c r="G334" i="2"/>
  <c r="N334" i="2" s="1"/>
  <c r="O334" i="2" s="1"/>
  <c r="G333" i="2"/>
  <c r="N333" i="2" s="1"/>
  <c r="O333" i="2" s="1"/>
  <c r="G325" i="2"/>
  <c r="N325" i="2" s="1"/>
  <c r="O325" i="2" s="1"/>
  <c r="G317" i="2"/>
  <c r="G309" i="2"/>
  <c r="G303" i="2"/>
  <c r="G288" i="2"/>
  <c r="N288" i="2" s="1"/>
  <c r="G286" i="2"/>
  <c r="G275" i="2"/>
  <c r="G267" i="2"/>
  <c r="N267" i="2" s="1"/>
  <c r="G259" i="2"/>
  <c r="N259" i="2" s="1"/>
  <c r="O259" i="2" s="1"/>
  <c r="G244" i="2"/>
  <c r="G230" i="2"/>
  <c r="O217" i="2"/>
  <c r="G180" i="2"/>
  <c r="N180" i="2" s="1"/>
  <c r="G160" i="2"/>
  <c r="G135" i="2"/>
  <c r="G127" i="2"/>
  <c r="G119" i="2"/>
  <c r="N119" i="2" s="1"/>
  <c r="O119" i="2" s="1"/>
  <c r="O108" i="2"/>
  <c r="G85" i="2"/>
  <c r="M81" i="2"/>
  <c r="M73" i="2"/>
  <c r="G70" i="2"/>
  <c r="N70" i="2" s="1"/>
  <c r="O70" i="2" s="1"/>
  <c r="M67" i="2"/>
  <c r="G56" i="2"/>
  <c r="M53" i="2"/>
  <c r="N53" i="2" s="1"/>
  <c r="O53" i="2" s="1"/>
  <c r="G50" i="2"/>
  <c r="N50" i="2" s="1"/>
  <c r="O50" i="2" s="1"/>
  <c r="G42" i="2"/>
  <c r="N42" i="2" s="1"/>
  <c r="O42" i="2" s="1"/>
  <c r="G36" i="2"/>
  <c r="M25" i="2"/>
  <c r="N25" i="2" s="1"/>
  <c r="O25" i="2" s="1"/>
  <c r="G22" i="2"/>
  <c r="N22" i="2" s="1"/>
  <c r="O22" i="2" s="1"/>
  <c r="M518" i="2"/>
  <c r="N513" i="2"/>
  <c r="O513" i="2" s="1"/>
  <c r="N540" i="2"/>
  <c r="O540" i="2" s="1"/>
  <c r="N525" i="2"/>
  <c r="O525" i="2" s="1"/>
  <c r="M514" i="2"/>
  <c r="N514" i="2" s="1"/>
  <c r="O514" i="2" s="1"/>
  <c r="M502" i="2"/>
  <c r="N502" i="2" s="1"/>
  <c r="O502" i="2" s="1"/>
  <c r="N469" i="2"/>
  <c r="O469" i="2" s="1"/>
  <c r="M539" i="2"/>
  <c r="N491" i="2"/>
  <c r="O491" i="2" s="1"/>
  <c r="G519" i="2"/>
  <c r="M512" i="2"/>
  <c r="M492" i="2"/>
  <c r="N492" i="2" s="1"/>
  <c r="O492" i="2" s="1"/>
  <c r="M480" i="2"/>
  <c r="G466" i="2"/>
  <c r="N466" i="2" s="1"/>
  <c r="O466" i="2" s="1"/>
  <c r="G463" i="2"/>
  <c r="G462" i="2"/>
  <c r="N462" i="2" s="1"/>
  <c r="O462" i="2" s="1"/>
  <c r="M456" i="2"/>
  <c r="N456" i="2" s="1"/>
  <c r="O456" i="2" s="1"/>
  <c r="M455" i="2"/>
  <c r="G450" i="2"/>
  <c r="N450" i="2" s="1"/>
  <c r="O450" i="2" s="1"/>
  <c r="M438" i="2"/>
  <c r="G434" i="2"/>
  <c r="M424" i="2"/>
  <c r="N424" i="2" s="1"/>
  <c r="O424" i="2" s="1"/>
  <c r="M423" i="2"/>
  <c r="N423" i="2" s="1"/>
  <c r="O423" i="2" s="1"/>
  <c r="G527" i="2"/>
  <c r="N527" i="2" s="1"/>
  <c r="O527" i="2" s="1"/>
  <c r="G494" i="2"/>
  <c r="N494" i="2" s="1"/>
  <c r="O494" i="2" s="1"/>
  <c r="M476" i="2"/>
  <c r="M447" i="2"/>
  <c r="N447" i="2" s="1"/>
  <c r="O447" i="2" s="1"/>
  <c r="N420" i="2"/>
  <c r="O420" i="2" s="1"/>
  <c r="G414" i="2"/>
  <c r="N393" i="2"/>
  <c r="O393" i="2" s="1"/>
  <c r="M520" i="2"/>
  <c r="G531" i="2"/>
  <c r="M524" i="2"/>
  <c r="N524" i="2" s="1"/>
  <c r="O524" i="2" s="1"/>
  <c r="G499" i="2"/>
  <c r="G483" i="2"/>
  <c r="G482" i="2"/>
  <c r="N482" i="2" s="1"/>
  <c r="O482" i="2" s="1"/>
  <c r="M475" i="2"/>
  <c r="M460" i="2"/>
  <c r="M459" i="2"/>
  <c r="G454" i="2"/>
  <c r="N454" i="2" s="1"/>
  <c r="O454" i="2" s="1"/>
  <c r="M426" i="2"/>
  <c r="M419" i="2"/>
  <c r="N419" i="2" s="1"/>
  <c r="O419" i="2" s="1"/>
  <c r="N517" i="2"/>
  <c r="O517" i="2" s="1"/>
  <c r="N493" i="2"/>
  <c r="O493" i="2" s="1"/>
  <c r="N481" i="2"/>
  <c r="O481" i="2" s="1"/>
  <c r="N463" i="2"/>
  <c r="O463" i="2" s="1"/>
  <c r="M434" i="2"/>
  <c r="N434" i="2" s="1"/>
  <c r="O434" i="2" s="1"/>
  <c r="M427" i="2"/>
  <c r="M413" i="2"/>
  <c r="N413" i="2" s="1"/>
  <c r="O413" i="2" s="1"/>
  <c r="M532" i="2"/>
  <c r="N532" i="2" s="1"/>
  <c r="O532" i="2" s="1"/>
  <c r="G507" i="2"/>
  <c r="M500" i="2"/>
  <c r="N500" i="2" s="1"/>
  <c r="O500" i="2" s="1"/>
  <c r="M495" i="2"/>
  <c r="M487" i="2"/>
  <c r="N487" i="2" s="1"/>
  <c r="O487" i="2" s="1"/>
  <c r="G479" i="2"/>
  <c r="N479" i="2" s="1"/>
  <c r="O479" i="2" s="1"/>
  <c r="G478" i="2"/>
  <c r="M471" i="2"/>
  <c r="N471" i="2" s="1"/>
  <c r="O471" i="2" s="1"/>
  <c r="M467" i="2"/>
  <c r="N467" i="2" s="1"/>
  <c r="O467" i="2" s="1"/>
  <c r="M451" i="2"/>
  <c r="N451" i="2" s="1"/>
  <c r="O451" i="2" s="1"/>
  <c r="G446" i="2"/>
  <c r="N446" i="2" s="1"/>
  <c r="O446" i="2" s="1"/>
  <c r="M442" i="2"/>
  <c r="N442" i="2" s="1"/>
  <c r="O442" i="2" s="1"/>
  <c r="M435" i="2"/>
  <c r="N435" i="2" s="1"/>
  <c r="O435" i="2" s="1"/>
  <c r="G511" i="2"/>
  <c r="N511" i="2" s="1"/>
  <c r="O511" i="2" s="1"/>
  <c r="M504" i="2"/>
  <c r="N504" i="2" s="1"/>
  <c r="O504" i="2" s="1"/>
  <c r="G491" i="2"/>
  <c r="M484" i="2"/>
  <c r="N484" i="2" s="1"/>
  <c r="O484" i="2" s="1"/>
  <c r="N390" i="2"/>
  <c r="O390" i="2" s="1"/>
  <c r="G515" i="2"/>
  <c r="N515" i="2" s="1"/>
  <c r="O515" i="2" s="1"/>
  <c r="M508" i="2"/>
  <c r="N508" i="2" s="1"/>
  <c r="O508" i="2" s="1"/>
  <c r="M483" i="2"/>
  <c r="N483" i="2" s="1"/>
  <c r="O483" i="2" s="1"/>
  <c r="G475" i="2"/>
  <c r="G474" i="2"/>
  <c r="N474" i="2" s="1"/>
  <c r="O474" i="2" s="1"/>
  <c r="G459" i="2"/>
  <c r="G426" i="2"/>
  <c r="N397" i="2"/>
  <c r="O397" i="2" s="1"/>
  <c r="M403" i="2"/>
  <c r="N403" i="2" s="1"/>
  <c r="O403" i="2" s="1"/>
  <c r="M400" i="2"/>
  <c r="N400" i="2" s="1"/>
  <c r="O400" i="2" s="1"/>
  <c r="G351" i="2"/>
  <c r="N351" i="2" s="1"/>
  <c r="O351" i="2" s="1"/>
  <c r="G346" i="2"/>
  <c r="N346" i="2" s="1"/>
  <c r="O346" i="2" s="1"/>
  <c r="N387" i="2"/>
  <c r="O387" i="2" s="1"/>
  <c r="M359" i="2"/>
  <c r="N359" i="2" s="1"/>
  <c r="O359" i="2" s="1"/>
  <c r="N373" i="2"/>
  <c r="O373" i="2" s="1"/>
  <c r="N364" i="2"/>
  <c r="O364" i="2" s="1"/>
  <c r="M363" i="2"/>
  <c r="N363" i="2" s="1"/>
  <c r="O363" i="2" s="1"/>
  <c r="G354" i="2"/>
  <c r="N354" i="2" s="1"/>
  <c r="O354" i="2" s="1"/>
  <c r="O295" i="2"/>
  <c r="G418" i="2"/>
  <c r="N418" i="2" s="1"/>
  <c r="O418" i="2" s="1"/>
  <c r="M411" i="2"/>
  <c r="N411" i="2" s="1"/>
  <c r="O411" i="2" s="1"/>
  <c r="G407" i="2"/>
  <c r="N407" i="2" s="1"/>
  <c r="O407" i="2" s="1"/>
  <c r="G378" i="2"/>
  <c r="N378" i="2" s="1"/>
  <c r="O378" i="2" s="1"/>
  <c r="M376" i="2"/>
  <c r="N369" i="2"/>
  <c r="O369" i="2" s="1"/>
  <c r="M367" i="2"/>
  <c r="N367" i="2" s="1"/>
  <c r="O367" i="2" s="1"/>
  <c r="M350" i="2"/>
  <c r="N350" i="2" s="1"/>
  <c r="O350" i="2" s="1"/>
  <c r="M347" i="2"/>
  <c r="N347" i="2" s="1"/>
  <c r="O347" i="2" s="1"/>
  <c r="N404" i="2"/>
  <c r="O404" i="2" s="1"/>
  <c r="G399" i="2"/>
  <c r="N399" i="2" s="1"/>
  <c r="O399" i="2" s="1"/>
  <c r="G394" i="2"/>
  <c r="G386" i="2"/>
  <c r="N386" i="2" s="1"/>
  <c r="O386" i="2" s="1"/>
  <c r="G362" i="2"/>
  <c r="N362" i="2" s="1"/>
  <c r="O362" i="2" s="1"/>
  <c r="O332" i="2"/>
  <c r="G391" i="2"/>
  <c r="N382" i="2"/>
  <c r="O382" i="2" s="1"/>
  <c r="N380" i="2"/>
  <c r="O380" i="2" s="1"/>
  <c r="M379" i="2"/>
  <c r="N379" i="2" s="1"/>
  <c r="O379" i="2" s="1"/>
  <c r="N365" i="2"/>
  <c r="O365" i="2" s="1"/>
  <c r="N356" i="2"/>
  <c r="O356" i="2" s="1"/>
  <c r="M355" i="2"/>
  <c r="G322" i="2"/>
  <c r="G316" i="2"/>
  <c r="N316" i="2" s="1"/>
  <c r="O316" i="2" s="1"/>
  <c r="G296" i="2"/>
  <c r="O287" i="2"/>
  <c r="O279" i="2"/>
  <c r="O253" i="2"/>
  <c r="G308" i="2"/>
  <c r="G305" i="2"/>
  <c r="O245" i="2"/>
  <c r="O235" i="2"/>
  <c r="G292" i="2"/>
  <c r="G289" i="2"/>
  <c r="G281" i="2"/>
  <c r="O238" i="2"/>
  <c r="O188" i="2"/>
  <c r="G312" i="2"/>
  <c r="G290" i="2"/>
  <c r="N290" i="2" s="1"/>
  <c r="G274" i="2"/>
  <c r="N274" i="2" s="1"/>
  <c r="O307" i="2"/>
  <c r="G239" i="2"/>
  <c r="G205" i="2"/>
  <c r="G189" i="2"/>
  <c r="O236" i="2"/>
  <c r="G203" i="2"/>
  <c r="G173" i="2"/>
  <c r="G161" i="2"/>
  <c r="G215" i="2"/>
  <c r="O158" i="2"/>
  <c r="G219" i="2"/>
  <c r="G199" i="2"/>
  <c r="O186" i="2"/>
  <c r="G177" i="2"/>
  <c r="N177" i="2" s="1"/>
  <c r="O177" i="2" s="1"/>
  <c r="O174" i="2"/>
  <c r="G231" i="2"/>
  <c r="O224" i="2"/>
  <c r="G209" i="2"/>
  <c r="G193" i="2"/>
  <c r="G148" i="2"/>
  <c r="O145" i="2"/>
  <c r="G146" i="2"/>
  <c r="N146" i="2" s="1"/>
  <c r="O133" i="2"/>
  <c r="G126" i="2"/>
  <c r="O117" i="2"/>
  <c r="O100" i="2"/>
  <c r="N73" i="2"/>
  <c r="O73" i="2" s="1"/>
  <c r="M72" i="2"/>
  <c r="N72" i="2" s="1"/>
  <c r="O72" i="2" s="1"/>
  <c r="G60" i="2"/>
  <c r="N60" i="2" s="1"/>
  <c r="O60" i="2" s="1"/>
  <c r="N54" i="2"/>
  <c r="O54" i="2" s="1"/>
  <c r="M37" i="2"/>
  <c r="N37" i="2" s="1"/>
  <c r="O37" i="2" s="1"/>
  <c r="N36" i="2"/>
  <c r="O36" i="2" s="1"/>
  <c r="G140" i="2"/>
  <c r="O131" i="2"/>
  <c r="G124" i="2"/>
  <c r="O115" i="2"/>
  <c r="O111" i="2"/>
  <c r="N65" i="2"/>
  <c r="O65" i="2" s="1"/>
  <c r="M64" i="2"/>
  <c r="N64" i="2" s="1"/>
  <c r="O64" i="2" s="1"/>
  <c r="N58" i="2"/>
  <c r="O58" i="2" s="1"/>
  <c r="G52" i="2"/>
  <c r="M29" i="2"/>
  <c r="N56" i="2"/>
  <c r="O56" i="2" s="1"/>
  <c r="G134" i="2"/>
  <c r="G118" i="2"/>
  <c r="G92" i="2"/>
  <c r="N92" i="2" s="1"/>
  <c r="M69" i="2"/>
  <c r="N69" i="2" s="1"/>
  <c r="O69" i="2" s="1"/>
  <c r="N68" i="2"/>
  <c r="O68" i="2" s="1"/>
  <c r="N41" i="2"/>
  <c r="O41" i="2" s="1"/>
  <c r="M40" i="2"/>
  <c r="G28" i="2"/>
  <c r="N28" i="2" s="1"/>
  <c r="O28" i="2" s="1"/>
  <c r="O136" i="2"/>
  <c r="G132" i="2"/>
  <c r="N132" i="2" s="1"/>
  <c r="O123" i="2"/>
  <c r="G116" i="2"/>
  <c r="O97" i="2"/>
  <c r="O90" i="2"/>
  <c r="G84" i="2"/>
  <c r="M61" i="2"/>
  <c r="N61" i="2" s="1"/>
  <c r="O61" i="2" s="1"/>
  <c r="N33" i="2"/>
  <c r="O33" i="2" s="1"/>
  <c r="M32" i="2"/>
  <c r="N32" i="2" s="1"/>
  <c r="O32" i="2" s="1"/>
  <c r="G21" i="2"/>
  <c r="G12" i="2"/>
  <c r="M15" i="2"/>
  <c r="N15" i="2" s="1"/>
  <c r="O15" i="2" s="1"/>
  <c r="M20" i="2"/>
  <c r="N20" i="2" s="1"/>
  <c r="O20" i="2" s="1"/>
  <c r="G13" i="2"/>
  <c r="G17" i="2"/>
  <c r="G18" i="2"/>
  <c r="M16" i="2"/>
  <c r="N16" i="2" s="1"/>
  <c r="O16" i="2" s="1"/>
  <c r="G14" i="2"/>
  <c r="N14" i="2" s="1"/>
  <c r="O14" i="2" s="1"/>
  <c r="M12" i="2"/>
  <c r="N12" i="2" s="1"/>
  <c r="O12" i="2" s="1"/>
  <c r="G10" i="2"/>
  <c r="M19" i="2"/>
  <c r="N19" i="2" s="1"/>
  <c r="O19" i="2" s="1"/>
  <c r="M11" i="2"/>
  <c r="N11" i="2" s="1"/>
  <c r="O11" i="2" s="1"/>
  <c r="M18" i="2"/>
  <c r="M21" i="2"/>
  <c r="N21" i="2" s="1"/>
  <c r="O21" i="2" s="1"/>
  <c r="M10" i="2"/>
  <c r="M17" i="2"/>
  <c r="M13" i="2"/>
  <c r="M8" i="2"/>
  <c r="M7" i="2"/>
  <c r="M6" i="2"/>
  <c r="M5" i="2"/>
  <c r="N5" i="2" s="1"/>
  <c r="O5" i="2" s="1"/>
  <c r="G7" i="2"/>
  <c r="G9" i="2"/>
  <c r="N9" i="2" s="1"/>
  <c r="O9" i="2" s="1"/>
  <c r="G8" i="2"/>
  <c r="G6" i="2"/>
  <c r="Y54" i="4"/>
  <c r="Y53" i="4"/>
  <c r="AJ30" i="4"/>
  <c r="AF30" i="4"/>
  <c r="AU57" i="4"/>
  <c r="AT57" i="4"/>
  <c r="AB47" i="7" l="1"/>
  <c r="AA47" i="7"/>
  <c r="AF47" i="7" s="1" a="1"/>
  <c r="AB48" i="7"/>
  <c r="AB50" i="7" s="1"/>
  <c r="AP49" i="7" s="1"/>
  <c r="AA48" i="7"/>
  <c r="N7" i="2"/>
  <c r="O7" i="2" s="1"/>
  <c r="N507" i="2"/>
  <c r="O507" i="2" s="1"/>
  <c r="N480" i="2"/>
  <c r="O480" i="2" s="1"/>
  <c r="N523" i="2"/>
  <c r="O523" i="2" s="1"/>
  <c r="N105" i="2"/>
  <c r="O105" i="2" s="1"/>
  <c r="N276" i="2"/>
  <c r="O276" i="2" s="1"/>
  <c r="N328" i="2"/>
  <c r="O328" i="2" s="1"/>
  <c r="N198" i="2"/>
  <c r="O198" i="2" s="1"/>
  <c r="N81" i="2"/>
  <c r="O81" i="2" s="1"/>
  <c r="N323" i="2"/>
  <c r="O323" i="2" s="1"/>
  <c r="N121" i="2"/>
  <c r="O121" i="2" s="1"/>
  <c r="N314" i="2"/>
  <c r="N262" i="2"/>
  <c r="O262" i="2" s="1"/>
  <c r="N358" i="2"/>
  <c r="O358" i="2" s="1"/>
  <c r="N106" i="2"/>
  <c r="O106" i="2" s="1"/>
  <c r="N185" i="2"/>
  <c r="O185" i="2" s="1"/>
  <c r="N433" i="2"/>
  <c r="O433" i="2" s="1"/>
  <c r="N391" i="2"/>
  <c r="O391" i="2" s="1"/>
  <c r="N512" i="2"/>
  <c r="O512" i="2" s="1"/>
  <c r="N309" i="2"/>
  <c r="O309" i="2" s="1"/>
  <c r="N256" i="2"/>
  <c r="O256" i="2" s="1"/>
  <c r="N406" i="2"/>
  <c r="O406" i="2" s="1"/>
  <c r="N170" i="2"/>
  <c r="O170" i="2" s="1"/>
  <c r="N40" i="2"/>
  <c r="O40" i="2" s="1"/>
  <c r="N478" i="2"/>
  <c r="O478" i="2" s="1"/>
  <c r="N427" i="2"/>
  <c r="O427" i="2" s="1"/>
  <c r="N531" i="2"/>
  <c r="O531" i="2" s="1"/>
  <c r="N24" i="2"/>
  <c r="O24" i="2" s="1"/>
  <c r="N477" i="2"/>
  <c r="O477" i="2" s="1"/>
  <c r="N472" i="2"/>
  <c r="O472" i="2" s="1"/>
  <c r="N294" i="2"/>
  <c r="O294" i="2" s="1"/>
  <c r="N179" i="2"/>
  <c r="O179" i="2" s="1"/>
  <c r="N327" i="2"/>
  <c r="O327" i="2" s="1"/>
  <c r="N425" i="2"/>
  <c r="O425" i="2" s="1"/>
  <c r="N368" i="2"/>
  <c r="O368" i="2" s="1"/>
  <c r="N457" i="2"/>
  <c r="O457" i="2" s="1"/>
  <c r="N355" i="2"/>
  <c r="O355" i="2" s="1"/>
  <c r="N140" i="2"/>
  <c r="N226" i="2"/>
  <c r="N303" i="2"/>
  <c r="O303" i="2" s="1"/>
  <c r="N109" i="2"/>
  <c r="N89" i="2"/>
  <c r="O89" i="2" s="1"/>
  <c r="N291" i="2"/>
  <c r="O291" i="2" s="1"/>
  <c r="N460" i="2"/>
  <c r="O460" i="2" s="1"/>
  <c r="N82" i="2"/>
  <c r="O82" i="2" s="1"/>
  <c r="N114" i="2"/>
  <c r="O114" i="2" s="1"/>
  <c r="N414" i="2"/>
  <c r="O414" i="2" s="1"/>
  <c r="N124" i="2"/>
  <c r="O124" i="2" s="1"/>
  <c r="N376" i="2"/>
  <c r="O376" i="2" s="1"/>
  <c r="N342" i="2"/>
  <c r="O342" i="2" s="1"/>
  <c r="N8" i="2"/>
  <c r="O8" i="2" s="1"/>
  <c r="N520" i="2"/>
  <c r="O520" i="2" s="1"/>
  <c r="N476" i="2"/>
  <c r="O476" i="2" s="1"/>
  <c r="N455" i="2"/>
  <c r="O455" i="2" s="1"/>
  <c r="N519" i="2"/>
  <c r="O519" i="2" s="1"/>
  <c r="O149" i="2"/>
  <c r="N372" i="2"/>
  <c r="O372" i="2" s="1"/>
  <c r="N298" i="2"/>
  <c r="O298" i="2" s="1"/>
  <c r="N344" i="2"/>
  <c r="O344" i="2" s="1"/>
  <c r="N85" i="2"/>
  <c r="O85" i="2" s="1"/>
  <c r="N126" i="2"/>
  <c r="N156" i="2"/>
  <c r="O156" i="2" s="1"/>
  <c r="N160" i="2"/>
  <c r="O160" i="2" s="1"/>
  <c r="N300" i="2"/>
  <c r="O300" i="2" s="1"/>
  <c r="N189" i="2"/>
  <c r="O189" i="2" s="1"/>
  <c r="N206" i="2"/>
  <c r="O206" i="2" s="1"/>
  <c r="N248" i="2"/>
  <c r="O248" i="2" s="1"/>
  <c r="N112" i="2"/>
  <c r="O112" i="2" s="1"/>
  <c r="O126" i="2"/>
  <c r="N495" i="2"/>
  <c r="O495" i="2" s="1"/>
  <c r="N395" i="2"/>
  <c r="O395" i="2" s="1"/>
  <c r="N148" i="2"/>
  <c r="N205" i="2"/>
  <c r="O205" i="2" s="1"/>
  <c r="N230" i="2"/>
  <c r="N118" i="2"/>
  <c r="O118" i="2" s="1"/>
  <c r="N225" i="2"/>
  <c r="O225" i="2" s="1"/>
  <c r="N164" i="2"/>
  <c r="O164" i="2" s="1"/>
  <c r="N190" i="2"/>
  <c r="O190" i="2" s="1"/>
  <c r="N266" i="2"/>
  <c r="O266" i="2" s="1"/>
  <c r="N305" i="2"/>
  <c r="N215" i="2"/>
  <c r="O215" i="2" s="1"/>
  <c r="N282" i="2"/>
  <c r="O282" i="2" s="1"/>
  <c r="O226" i="2"/>
  <c r="O272" i="2"/>
  <c r="N234" i="2"/>
  <c r="N272" i="2"/>
  <c r="N130" i="2"/>
  <c r="O130" i="2" s="1"/>
  <c r="N161" i="2"/>
  <c r="O161" i="2" s="1"/>
  <c r="N232" i="2"/>
  <c r="O232" i="2" s="1"/>
  <c r="N275" i="2"/>
  <c r="O275" i="2" s="1"/>
  <c r="N331" i="2"/>
  <c r="O331" i="2" s="1"/>
  <c r="N94" i="2"/>
  <c r="O94" i="2" s="1"/>
  <c r="N194" i="2"/>
  <c r="O194" i="2" s="1"/>
  <c r="N254" i="2"/>
  <c r="O254" i="2" s="1"/>
  <c r="N270" i="2"/>
  <c r="O270" i="2" s="1"/>
  <c r="N318" i="2"/>
  <c r="O318" i="2" s="1"/>
  <c r="N128" i="2"/>
  <c r="O128" i="2" s="1"/>
  <c r="N252" i="2"/>
  <c r="O252" i="2" s="1"/>
  <c r="N286" i="2"/>
  <c r="O286" i="2" s="1"/>
  <c r="N163" i="2"/>
  <c r="O163" i="2" s="1"/>
  <c r="N29" i="2"/>
  <c r="O29" i="2" s="1"/>
  <c r="N539" i="2"/>
  <c r="O539" i="2" s="1"/>
  <c r="O234" i="2"/>
  <c r="N77" i="2"/>
  <c r="O77" i="2" s="1"/>
  <c r="O183" i="2"/>
  <c r="N536" i="2"/>
  <c r="O536" i="2" s="1"/>
  <c r="N239" i="2"/>
  <c r="O239" i="2" s="1"/>
  <c r="N86" i="2"/>
  <c r="O86" i="2" s="1"/>
  <c r="N122" i="2"/>
  <c r="O122" i="2" s="1"/>
  <c r="N99" i="2"/>
  <c r="O99" i="2" s="1"/>
  <c r="N135" i="2"/>
  <c r="N165" i="2"/>
  <c r="O165" i="2" s="1"/>
  <c r="N297" i="2"/>
  <c r="O297" i="2" s="1"/>
  <c r="N335" i="2"/>
  <c r="O335" i="2" s="1"/>
  <c r="N169" i="2"/>
  <c r="O169" i="2" s="1"/>
  <c r="N203" i="2"/>
  <c r="O203" i="2" s="1"/>
  <c r="N155" i="2"/>
  <c r="O155" i="2" s="1"/>
  <c r="N193" i="2"/>
  <c r="O193" i="2" s="1"/>
  <c r="N219" i="2"/>
  <c r="O219" i="2" s="1"/>
  <c r="N308" i="2"/>
  <c r="O92" i="2"/>
  <c r="O134" i="2"/>
  <c r="O274" i="2"/>
  <c r="N381" i="2"/>
  <c r="O381" i="2" s="1"/>
  <c r="O285" i="2"/>
  <c r="N218" i="2"/>
  <c r="O218" i="2" s="1"/>
  <c r="N243" i="2"/>
  <c r="O243" i="2" s="1"/>
  <c r="N281" i="2"/>
  <c r="O281" i="2" s="1"/>
  <c r="N127" i="2"/>
  <c r="O127" i="2" s="1"/>
  <c r="N204" i="2"/>
  <c r="O204" i="2" s="1"/>
  <c r="N284" i="2"/>
  <c r="O284" i="2" s="1"/>
  <c r="N311" i="2"/>
  <c r="O311" i="2" s="1"/>
  <c r="N292" i="2"/>
  <c r="O292" i="2" s="1"/>
  <c r="N103" i="2"/>
  <c r="N139" i="2"/>
  <c r="O139" i="2" s="1"/>
  <c r="N301" i="2"/>
  <c r="O301" i="2" s="1"/>
  <c r="N339" i="2"/>
  <c r="O339" i="2" s="1"/>
  <c r="N120" i="2"/>
  <c r="O120" i="2" s="1"/>
  <c r="N173" i="2"/>
  <c r="O173" i="2" s="1"/>
  <c r="N207" i="2"/>
  <c r="O207" i="2" s="1"/>
  <c r="N258" i="2"/>
  <c r="O258" i="2" s="1"/>
  <c r="N84" i="2"/>
  <c r="N176" i="2"/>
  <c r="O176" i="2" s="1"/>
  <c r="N223" i="2"/>
  <c r="O223" i="2" s="1"/>
  <c r="N257" i="2"/>
  <c r="O257" i="2" s="1"/>
  <c r="N312" i="2"/>
  <c r="O312" i="2" s="1"/>
  <c r="O132" i="2"/>
  <c r="N394" i="2"/>
  <c r="O394" i="2" s="1"/>
  <c r="N499" i="2"/>
  <c r="O499" i="2" s="1"/>
  <c r="N518" i="2"/>
  <c r="O518" i="2" s="1"/>
  <c r="O141" i="2"/>
  <c r="O264" i="2"/>
  <c r="O211" i="2"/>
  <c r="N389" i="2"/>
  <c r="O389" i="2" s="1"/>
  <c r="N285" i="2"/>
  <c r="N209" i="2"/>
  <c r="O209" i="2" s="1"/>
  <c r="N289" i="2"/>
  <c r="O289" i="2" s="1"/>
  <c r="N116" i="2"/>
  <c r="O116" i="2" s="1"/>
  <c r="N143" i="2"/>
  <c r="O143" i="2" s="1"/>
  <c r="N199" i="2"/>
  <c r="O199" i="2" s="1"/>
  <c r="N283" i="2"/>
  <c r="O283" i="2" s="1"/>
  <c r="N322" i="2"/>
  <c r="O322" i="2" s="1"/>
  <c r="N88" i="2"/>
  <c r="O88" i="2" s="1"/>
  <c r="N197" i="2"/>
  <c r="O197" i="2" s="1"/>
  <c r="N261" i="2"/>
  <c r="O261" i="2" s="1"/>
  <c r="N317" i="2"/>
  <c r="O317" i="2" s="1"/>
  <c r="N383" i="2"/>
  <c r="O383" i="2" s="1"/>
  <c r="N134" i="2"/>
  <c r="N338" i="2"/>
  <c r="O338" i="2" s="1"/>
  <c r="O288" i="2"/>
  <c r="N250" i="2"/>
  <c r="O250" i="2" s="1"/>
  <c r="N6" i="2"/>
  <c r="O6" i="2" s="1"/>
  <c r="O84" i="2"/>
  <c r="O140" i="2"/>
  <c r="O148" i="2"/>
  <c r="O308" i="2"/>
  <c r="N438" i="2"/>
  <c r="O438" i="2" s="1"/>
  <c r="N67" i="2"/>
  <c r="O67" i="2" s="1"/>
  <c r="O314" i="2"/>
  <c r="N75" i="2"/>
  <c r="O75" i="2" s="1"/>
  <c r="N452" i="2"/>
  <c r="O452" i="2" s="1"/>
  <c r="N488" i="2"/>
  <c r="O488" i="2" s="1"/>
  <c r="M54" i="6"/>
  <c r="M50" i="6"/>
  <c r="AP46" i="6" s="1"/>
  <c r="N171" i="2"/>
  <c r="O171" i="2" s="1"/>
  <c r="N341" i="2"/>
  <c r="O341" i="2" s="1"/>
  <c r="N213" i="2"/>
  <c r="O213" i="2" s="1"/>
  <c r="N293" i="2"/>
  <c r="O293" i="2" s="1"/>
  <c r="N212" i="2"/>
  <c r="O212" i="2" s="1"/>
  <c r="N306" i="2"/>
  <c r="O306" i="2" s="1"/>
  <c r="N147" i="2"/>
  <c r="O147" i="2" s="1"/>
  <c r="N296" i="2"/>
  <c r="O296" i="2" s="1"/>
  <c r="N93" i="2"/>
  <c r="O93" i="2" s="1"/>
  <c r="N181" i="2"/>
  <c r="O181" i="2" s="1"/>
  <c r="N231" i="2"/>
  <c r="O231" i="2" s="1"/>
  <c r="N265" i="2"/>
  <c r="O265" i="2" s="1"/>
  <c r="N321" i="2"/>
  <c r="O321" i="2" s="1"/>
  <c r="M53" i="6"/>
  <c r="L53" i="6"/>
  <c r="Q47" i="6" a="1"/>
  <c r="O305" i="2"/>
  <c r="O95" i="2"/>
  <c r="O103" i="2"/>
  <c r="O109" i="2"/>
  <c r="N426" i="2"/>
  <c r="O426" i="2" s="1"/>
  <c r="O267" i="2"/>
  <c r="O135" i="2"/>
  <c r="O172" i="2"/>
  <c r="O184" i="2"/>
  <c r="N39" i="2"/>
  <c r="O39" i="2" s="1"/>
  <c r="O230" i="2"/>
  <c r="N486" i="2"/>
  <c r="O486" i="2" s="1"/>
  <c r="N63" i="2"/>
  <c r="O63" i="2" s="1"/>
  <c r="N522" i="2"/>
  <c r="O522" i="2" s="1"/>
  <c r="O180" i="2"/>
  <c r="N443" i="2"/>
  <c r="O443" i="2" s="1"/>
  <c r="O146" i="2"/>
  <c r="O290" i="2"/>
  <c r="N459" i="2"/>
  <c r="O459" i="2" s="1"/>
  <c r="N475" i="2"/>
  <c r="O475" i="2" s="1"/>
  <c r="N18" i="2"/>
  <c r="O18" i="2" s="1"/>
  <c r="N13" i="2"/>
  <c r="O13" i="2" s="1"/>
  <c r="N17" i="2"/>
  <c r="O17" i="2" s="1"/>
  <c r="N10" i="2"/>
  <c r="O10" i="2" s="1"/>
  <c r="Y55" i="4"/>
  <c r="AC57" i="4" s="1"/>
  <c r="AV57" i="4"/>
  <c r="AG47" i="7" l="1"/>
  <c r="AF47" i="7"/>
  <c r="AK47" i="7" s="1" a="1"/>
  <c r="AG48" i="7"/>
  <c r="AG50" i="7" s="1"/>
  <c r="AP50" i="7" s="1"/>
  <c r="AF48" i="7"/>
  <c r="R48" i="6"/>
  <c r="Q48" i="6"/>
  <c r="Q54" i="6" s="1"/>
  <c r="R47" i="6"/>
  <c r="Q47" i="6"/>
  <c r="AL48" i="7" l="1"/>
  <c r="AK48" i="7"/>
  <c r="AL47" i="7"/>
  <c r="AK47" i="7"/>
  <c r="R54" i="6"/>
  <c r="R50" i="6"/>
  <c r="AP47" i="6" s="1"/>
  <c r="R53" i="6"/>
  <c r="Q53" i="6"/>
  <c r="V47" i="6" a="1"/>
  <c r="AL50" i="7" l="1"/>
  <c r="AP51" i="7" s="1"/>
  <c r="V48" i="6"/>
  <c r="W48" i="6"/>
  <c r="W47" i="6"/>
  <c r="V47" i="6"/>
  <c r="W50" i="6" l="1"/>
  <c r="AP48" i="6" s="1"/>
  <c r="AA47" i="6" a="1"/>
  <c r="AA47" i="6" l="1"/>
  <c r="AB47" i="6"/>
  <c r="AA48" i="6"/>
  <c r="AB48" i="6"/>
  <c r="AB50" i="6" s="1"/>
  <c r="AP49" i="6" s="1"/>
  <c r="AF47" i="6" l="1" a="1"/>
  <c r="AG47" i="6" s="1"/>
  <c r="AG48" i="6" l="1"/>
  <c r="AG50" i="6" s="1"/>
  <c r="AP50" i="6" s="1"/>
  <c r="AF47" i="6"/>
  <c r="AK47" i="6" s="1" a="1"/>
  <c r="AF48" i="6"/>
  <c r="AL48" i="6" l="1"/>
  <c r="AK47" i="6"/>
  <c r="AL47" i="6"/>
  <c r="AK48" i="6"/>
  <c r="AL50" i="6" l="1"/>
  <c r="AP51" i="6" s="1"/>
</calcChain>
</file>

<file path=xl/sharedStrings.xml><?xml version="1.0" encoding="utf-8"?>
<sst xmlns="http://schemas.openxmlformats.org/spreadsheetml/2006/main" count="1055" uniqueCount="894">
  <si>
    <t>Average =</t>
  </si>
  <si>
    <t>Num Dimensions</t>
  </si>
  <si>
    <t>Max</t>
  </si>
  <si>
    <t>Ratio</t>
  </si>
  <si>
    <t>Min</t>
  </si>
  <si>
    <t>Y</t>
  </si>
  <si>
    <t>Dimension 1</t>
  </si>
  <si>
    <t>Dimension 2</t>
  </si>
  <si>
    <t>Dimension 3</t>
  </si>
  <si>
    <t>Dimension 4</t>
  </si>
  <si>
    <t>Dimension 5</t>
  </si>
  <si>
    <t>Dimension 6</t>
  </si>
  <si>
    <t>Dimension 7</t>
  </si>
  <si>
    <t>Dimension 8</t>
  </si>
  <si>
    <t>Dimension 9</t>
  </si>
  <si>
    <t>Dimension 10</t>
  </si>
  <si>
    <t>Dimension 11</t>
  </si>
  <si>
    <t>Dimension 12</t>
  </si>
  <si>
    <t>Dimension 13</t>
  </si>
  <si>
    <t>Dimension 14</t>
  </si>
  <si>
    <t>Dimension 15</t>
  </si>
  <si>
    <t>Dimension 16</t>
  </si>
  <si>
    <t>Dimension 17</t>
  </si>
  <si>
    <t>Dimension 18</t>
  </si>
  <si>
    <t>Dimension 19</t>
  </si>
  <si>
    <t>Dimension 20</t>
  </si>
  <si>
    <t>Dimension 21</t>
  </si>
  <si>
    <t>Dimension 22</t>
  </si>
  <si>
    <t>Dimension 23</t>
  </si>
  <si>
    <t>Dimension 24</t>
  </si>
  <si>
    <t>Dimension 25</t>
  </si>
  <si>
    <t>Dimension 26</t>
  </si>
  <si>
    <t>Dimension 27</t>
  </si>
  <si>
    <t>Dimension 28</t>
  </si>
  <si>
    <t>Dimension 29</t>
  </si>
  <si>
    <t>Dimension 30</t>
  </si>
  <si>
    <t>Dimension 31</t>
  </si>
  <si>
    <t>Dimension 32</t>
  </si>
  <si>
    <t>Dimension 33</t>
  </si>
  <si>
    <t>Dimension 34</t>
  </si>
  <si>
    <t>Dimension 35</t>
  </si>
  <si>
    <t>Dimension 36</t>
  </si>
  <si>
    <t>Dimension 37</t>
  </si>
  <si>
    <t>Dimension 38</t>
  </si>
  <si>
    <t>Dimension 39</t>
  </si>
  <si>
    <t>Dimension 40</t>
  </si>
  <si>
    <t>Dimension 41</t>
  </si>
  <si>
    <t>Dimension 42</t>
  </si>
  <si>
    <t>Dimension 43</t>
  </si>
  <si>
    <t>Dimension 44</t>
  </si>
  <si>
    <t>Dimension 45</t>
  </si>
  <si>
    <t>Dimension 46</t>
  </si>
  <si>
    <t>Dimension 47</t>
  </si>
  <si>
    <t>Dimension 48</t>
  </si>
  <si>
    <t>Dimension 49</t>
  </si>
  <si>
    <t>Dimension 50</t>
  </si>
  <si>
    <t>Dimension 51</t>
  </si>
  <si>
    <t>Dimension 52</t>
  </si>
  <si>
    <t>Dimension 53</t>
  </si>
  <si>
    <t>Dimension 54</t>
  </si>
  <si>
    <t>Dimension 55</t>
  </si>
  <si>
    <t>Dimension 56</t>
  </si>
  <si>
    <t>Dimension 57</t>
  </si>
  <si>
    <t>Dimension 58</t>
  </si>
  <si>
    <t>Dimension 59</t>
  </si>
  <si>
    <t>Dimension 60</t>
  </si>
  <si>
    <t>Dimension 61</t>
  </si>
  <si>
    <t>Dimension 62</t>
  </si>
  <si>
    <t>Dimension 63</t>
  </si>
  <si>
    <t>Dimension 64</t>
  </si>
  <si>
    <t>Dimension 65</t>
  </si>
  <si>
    <t>Dimension 66</t>
  </si>
  <si>
    <t>Dimension 67</t>
  </si>
  <si>
    <t>Dimension 68</t>
  </si>
  <si>
    <t>Dimension 69</t>
  </si>
  <si>
    <t>Dimension 70</t>
  </si>
  <si>
    <t>Dimension 71</t>
  </si>
  <si>
    <t>Dimension 72</t>
  </si>
  <si>
    <t>Dimension 73</t>
  </si>
  <si>
    <t>Dimension 74</t>
  </si>
  <si>
    <t>Dimension 75</t>
  </si>
  <si>
    <t>Dimension 76</t>
  </si>
  <si>
    <t>Dimension 77</t>
  </si>
  <si>
    <t>Dimension 78</t>
  </si>
  <si>
    <t>Dimension 79</t>
  </si>
  <si>
    <t>Dimension 80</t>
  </si>
  <si>
    <t>Dimension 81</t>
  </si>
  <si>
    <t>Dimension 82</t>
  </si>
  <si>
    <t>Dimension 83</t>
  </si>
  <si>
    <t>Dimension 84</t>
  </si>
  <si>
    <t>Dimension 85</t>
  </si>
  <si>
    <t>Dimension 86</t>
  </si>
  <si>
    <t>Dimension 87</t>
  </si>
  <si>
    <t>Dimension 88</t>
  </si>
  <si>
    <t>Dimension 89</t>
  </si>
  <si>
    <t>Dimension 90</t>
  </si>
  <si>
    <t>Dimension 91</t>
  </si>
  <si>
    <t>Dimension 92</t>
  </si>
  <si>
    <t>Dimension 93</t>
  </si>
  <si>
    <t>Dimension 94</t>
  </si>
  <si>
    <t>Dimension 95</t>
  </si>
  <si>
    <t>Dimension 96</t>
  </si>
  <si>
    <t>Dimension 97</t>
  </si>
  <si>
    <t>Dimension 98</t>
  </si>
  <si>
    <t>Dimension 99</t>
  </si>
  <si>
    <t>Dimension 100</t>
  </si>
  <si>
    <t>Dimension 101</t>
  </si>
  <si>
    <t>Dimension 102</t>
  </si>
  <si>
    <t>Dimension 103</t>
  </si>
  <si>
    <t>Dimension 104</t>
  </si>
  <si>
    <t>Dimension 105</t>
  </si>
  <si>
    <t>Dimension 106</t>
  </si>
  <si>
    <t>Dimension 107</t>
  </si>
  <si>
    <t>Dimension 108</t>
  </si>
  <si>
    <t>Dimension 109</t>
  </si>
  <si>
    <t>Dimension 110</t>
  </si>
  <si>
    <t>Dimension 111</t>
  </si>
  <si>
    <t>Dimension 112</t>
  </si>
  <si>
    <t>Dimension 113</t>
  </si>
  <si>
    <t>Dimension 114</t>
  </si>
  <si>
    <t>Dimension 115</t>
  </si>
  <si>
    <t>Dimension 116</t>
  </si>
  <si>
    <t>Dimension 117</t>
  </si>
  <si>
    <t>Dimension 118</t>
  </si>
  <si>
    <t>Dimension 119</t>
  </si>
  <si>
    <t>Dimension 120</t>
  </si>
  <si>
    <t>Dimension 121</t>
  </si>
  <si>
    <t>Dimension 122</t>
  </si>
  <si>
    <t>Dimension 123</t>
  </si>
  <si>
    <t>Dimension 124</t>
  </si>
  <si>
    <t>Dimension 125</t>
  </si>
  <si>
    <t>Dimension 126</t>
  </si>
  <si>
    <t>Dimension 127</t>
  </si>
  <si>
    <t>Dimension 128</t>
  </si>
  <si>
    <t>Dimension 129</t>
  </si>
  <si>
    <t>Dimension 130</t>
  </si>
  <si>
    <t>Dimension 131</t>
  </si>
  <si>
    <t>Dimension 132</t>
  </si>
  <si>
    <t>Dimension 133</t>
  </si>
  <si>
    <t>Dimension 134</t>
  </si>
  <si>
    <t>Dimension 135</t>
  </si>
  <si>
    <t>Dimension 136</t>
  </si>
  <si>
    <t>Dimension 137</t>
  </si>
  <si>
    <t>Dimension 138</t>
  </si>
  <si>
    <t>Dimension 139</t>
  </si>
  <si>
    <t>Dimension 140</t>
  </si>
  <si>
    <t>Dimension 141</t>
  </si>
  <si>
    <t>Dimension 142</t>
  </si>
  <si>
    <t>Dimension 143</t>
  </si>
  <si>
    <t>Dimension 144</t>
  </si>
  <si>
    <t>Dimension 145</t>
  </si>
  <si>
    <t>Dimension 146</t>
  </si>
  <si>
    <t>Dimension 147</t>
  </si>
  <si>
    <t>Dimension 148</t>
  </si>
  <si>
    <t>Dimension 149</t>
  </si>
  <si>
    <t>Dimension 150</t>
  </si>
  <si>
    <t>Dimension 151</t>
  </si>
  <si>
    <t>Dimension 152</t>
  </si>
  <si>
    <t>Dimension 153</t>
  </si>
  <si>
    <t>Dimension 154</t>
  </si>
  <si>
    <t>Dimension 155</t>
  </si>
  <si>
    <t>Dimension 156</t>
  </si>
  <si>
    <t>Dimension 157</t>
  </si>
  <si>
    <t>Dimension 158</t>
  </si>
  <si>
    <t>Dimension 159</t>
  </si>
  <si>
    <t>Dimension 160</t>
  </si>
  <si>
    <t>Dimension 161</t>
  </si>
  <si>
    <t>Dimension 162</t>
  </si>
  <si>
    <t>Dimension 163</t>
  </si>
  <si>
    <t>Dimension 164</t>
  </si>
  <si>
    <t>Dimension 165</t>
  </si>
  <si>
    <t>Dimension 166</t>
  </si>
  <si>
    <t>Dimension 167</t>
  </si>
  <si>
    <t>Dimension 168</t>
  </si>
  <si>
    <t>Dimension 169</t>
  </si>
  <si>
    <t>Dimension 170</t>
  </si>
  <si>
    <t>Dimension 171</t>
  </si>
  <si>
    <t>Dimension 172</t>
  </si>
  <si>
    <t>Dimension 173</t>
  </si>
  <si>
    <t>Dimension 174</t>
  </si>
  <si>
    <t>Dimension 175</t>
  </si>
  <si>
    <t>Dimension 176</t>
  </si>
  <si>
    <t>Dimension 177</t>
  </si>
  <si>
    <t>Dimension 178</t>
  </si>
  <si>
    <t>Dimension 179</t>
  </si>
  <si>
    <t>Dimension 180</t>
  </si>
  <si>
    <t>Dimension 181</t>
  </si>
  <si>
    <t>Dimension 182</t>
  </si>
  <si>
    <t>Dimension 183</t>
  </si>
  <si>
    <t>Dimension 184</t>
  </si>
  <si>
    <t>Dimension 185</t>
  </si>
  <si>
    <t>Dimension 186</t>
  </si>
  <si>
    <t>Dimension 187</t>
  </si>
  <si>
    <t>Dimension 188</t>
  </si>
  <si>
    <t>Dimension 189</t>
  </si>
  <si>
    <t>Dimension 190</t>
  </si>
  <si>
    <t>Dimension 191</t>
  </si>
  <si>
    <t>Dimension 192</t>
  </si>
  <si>
    <t>Dimension 193</t>
  </si>
  <si>
    <t>Dimension 194</t>
  </si>
  <si>
    <t>Dimension 195</t>
  </si>
  <si>
    <t>Dimension 196</t>
  </si>
  <si>
    <t>Dimension 197</t>
  </si>
  <si>
    <t>Dimension 198</t>
  </si>
  <si>
    <t>Dimension 199</t>
  </si>
  <si>
    <t>Dimension 200</t>
  </si>
  <si>
    <t>Dimension 201</t>
  </si>
  <si>
    <t>Dimension 202</t>
  </si>
  <si>
    <t>Dimension 203</t>
  </si>
  <si>
    <t>Dimension 204</t>
  </si>
  <si>
    <t>Dimension 205</t>
  </si>
  <si>
    <t>Dimension 206</t>
  </si>
  <si>
    <t>Dimension 207</t>
  </si>
  <si>
    <t>Dimension 208</t>
  </si>
  <si>
    <t>Dimension 209</t>
  </si>
  <si>
    <t>Dimension 210</t>
  </si>
  <si>
    <t>Dimension 211</t>
  </si>
  <si>
    <t>Dimension 212</t>
  </si>
  <si>
    <t>Dimension 213</t>
  </si>
  <si>
    <t>Dimension 214</t>
  </si>
  <si>
    <t>Dimension 215</t>
  </si>
  <si>
    <t>Dimension 216</t>
  </si>
  <si>
    <t>Dimension 217</t>
  </si>
  <si>
    <t>Dimension 218</t>
  </si>
  <si>
    <t>Dimension 219</t>
  </si>
  <si>
    <t>Dimension 220</t>
  </si>
  <si>
    <t>Dimension 221</t>
  </si>
  <si>
    <t>Dimension 222</t>
  </si>
  <si>
    <t>Dimension 223</t>
  </si>
  <si>
    <t>Dimension 224</t>
  </si>
  <si>
    <t>Dimension 225</t>
  </si>
  <si>
    <t>Dimension 226</t>
  </si>
  <si>
    <t>Dimension 227</t>
  </si>
  <si>
    <t>Dimension 228</t>
  </si>
  <si>
    <t>Dimension 229</t>
  </si>
  <si>
    <t>Dimension 230</t>
  </si>
  <si>
    <t>Dimension 231</t>
  </si>
  <si>
    <t>Dimension 232</t>
  </si>
  <si>
    <t>Dimension 233</t>
  </si>
  <si>
    <t>Dimension 234</t>
  </si>
  <si>
    <t>Dimension 235</t>
  </si>
  <si>
    <t>Dimension 236</t>
  </si>
  <si>
    <t>Dimension 237</t>
  </si>
  <si>
    <t>Dimension 238</t>
  </si>
  <si>
    <t>Dimension 239</t>
  </si>
  <si>
    <t>Dimension 240</t>
  </si>
  <si>
    <t>Dimension 241</t>
  </si>
  <si>
    <t>Dimension 242</t>
  </si>
  <si>
    <t>Dimension 243</t>
  </si>
  <si>
    <t>Dimension 244</t>
  </si>
  <si>
    <t>Dimension 245</t>
  </si>
  <si>
    <t>Dimension 246</t>
  </si>
  <si>
    <t>Dimension 247</t>
  </si>
  <si>
    <t>Dimension 248</t>
  </si>
  <si>
    <t>Dimension 249</t>
  </si>
  <si>
    <t>Dimension 250</t>
  </si>
  <si>
    <t>Dimension 251</t>
  </si>
  <si>
    <t>Dimension 252</t>
  </si>
  <si>
    <t>Dimension 253</t>
  </si>
  <si>
    <t>Dimension 254</t>
  </si>
  <si>
    <t>Dimension 255</t>
  </si>
  <si>
    <t>Dimension 256</t>
  </si>
  <si>
    <t>Dimension 257</t>
  </si>
  <si>
    <t>Dimension 258</t>
  </si>
  <si>
    <t>Dimension 259</t>
  </si>
  <si>
    <t>Dimension 260</t>
  </si>
  <si>
    <t>Dimension 261</t>
  </si>
  <si>
    <t>Dimension 262</t>
  </si>
  <si>
    <t>Dimension 263</t>
  </si>
  <si>
    <t>Dimension 264</t>
  </si>
  <si>
    <t>Dimension 265</t>
  </si>
  <si>
    <t>Dimension 266</t>
  </si>
  <si>
    <t>Dimension 267</t>
  </si>
  <si>
    <t>Dimension 268</t>
  </si>
  <si>
    <t>Dimension 269</t>
  </si>
  <si>
    <t>Dimension 270</t>
  </si>
  <si>
    <t>Dimension 271</t>
  </si>
  <si>
    <t>Dimension 272</t>
  </si>
  <si>
    <t>Dimension 273</t>
  </si>
  <si>
    <t>Dimension 274</t>
  </si>
  <si>
    <t>Dimension 275</t>
  </si>
  <si>
    <t>Dimension 276</t>
  </si>
  <si>
    <t>Dimension 277</t>
  </si>
  <si>
    <t>Dimension 278</t>
  </si>
  <si>
    <t>Dimension 279</t>
  </si>
  <si>
    <t>Dimension 280</t>
  </si>
  <si>
    <t>Dimension 281</t>
  </si>
  <si>
    <t>Dimension 282</t>
  </si>
  <si>
    <t>Dimension 283</t>
  </si>
  <si>
    <t>Dimension 284</t>
  </si>
  <si>
    <t>Dimension 285</t>
  </si>
  <si>
    <t>Dimension 286</t>
  </si>
  <si>
    <t>Dimension 287</t>
  </si>
  <si>
    <t>Dimension 288</t>
  </si>
  <si>
    <t>Dimension 289</t>
  </si>
  <si>
    <t>Dimension 290</t>
  </si>
  <si>
    <t>Dimension 291</t>
  </si>
  <si>
    <t>Dimension 292</t>
  </si>
  <si>
    <t>Dimension 293</t>
  </si>
  <si>
    <t>Dimension 294</t>
  </si>
  <si>
    <t>Dimension 295</t>
  </si>
  <si>
    <t>Dimension 296</t>
  </si>
  <si>
    <t>Dimension 297</t>
  </si>
  <si>
    <t>Dimension 298</t>
  </si>
  <si>
    <t>Dimension 299</t>
  </si>
  <si>
    <t>Dimension 300</t>
  </si>
  <si>
    <t>Dimension 301</t>
  </si>
  <si>
    <t>Dimension 302</t>
  </si>
  <si>
    <t>Dimension 303</t>
  </si>
  <si>
    <t>Dimension 304</t>
  </si>
  <si>
    <t>Dimension 305</t>
  </si>
  <si>
    <t>Dimension 306</t>
  </si>
  <si>
    <t>Dimension 307</t>
  </si>
  <si>
    <t>Dimension 308</t>
  </si>
  <si>
    <t>Dimension 309</t>
  </si>
  <si>
    <t>Dimension 310</t>
  </si>
  <si>
    <t>Dimension 311</t>
  </si>
  <si>
    <t>Dimension 312</t>
  </si>
  <si>
    <t>Dimension 313</t>
  </si>
  <si>
    <t>Dimension 314</t>
  </si>
  <si>
    <t>Dimension 315</t>
  </si>
  <si>
    <t>Dimension 316</t>
  </si>
  <si>
    <t>Dimension 317</t>
  </si>
  <si>
    <t>Dimension 318</t>
  </si>
  <si>
    <t>Dimension 319</t>
  </si>
  <si>
    <t>Dimension 320</t>
  </si>
  <si>
    <t>Dimension 321</t>
  </si>
  <si>
    <t>Dimension 322</t>
  </si>
  <si>
    <t>Dimension 323</t>
  </si>
  <si>
    <t>Dimension 324</t>
  </si>
  <si>
    <t>Dimension 325</t>
  </si>
  <si>
    <t>Dimension 326</t>
  </si>
  <si>
    <t>Dimension 327</t>
  </si>
  <si>
    <t>Dimension 328</t>
  </si>
  <si>
    <t>Dimension 329</t>
  </si>
  <si>
    <t>Dimension 330</t>
  </si>
  <si>
    <t>Dimension 331</t>
  </si>
  <si>
    <t>Dimension 332</t>
  </si>
  <si>
    <t>Dimension 333</t>
  </si>
  <si>
    <t>Dimension 334</t>
  </si>
  <si>
    <t>Dimension 335</t>
  </si>
  <si>
    <t>Dimension 336</t>
  </si>
  <si>
    <t>Dimension 337</t>
  </si>
  <si>
    <t>Dimension 338</t>
  </si>
  <si>
    <t>Dimension 339</t>
  </si>
  <si>
    <t>Dimension 340</t>
  </si>
  <si>
    <t>Dimension 341</t>
  </si>
  <si>
    <t>Dimension 342</t>
  </si>
  <si>
    <t>Dimension 343</t>
  </si>
  <si>
    <t>Dimension 344</t>
  </si>
  <si>
    <t>Dimension 345</t>
  </si>
  <si>
    <t>Dimension 346</t>
  </si>
  <si>
    <t>Dimension 347</t>
  </si>
  <si>
    <t>Dimension 348</t>
  </si>
  <si>
    <t>Dimension 349</t>
  </si>
  <si>
    <t>Dimension 350</t>
  </si>
  <si>
    <t>Dimension 351</t>
  </si>
  <si>
    <t>Dimension 352</t>
  </si>
  <si>
    <t>Dimension 353</t>
  </si>
  <si>
    <t>Dimension 354</t>
  </si>
  <si>
    <t>Dimension 355</t>
  </si>
  <si>
    <t>Dimension 356</t>
  </si>
  <si>
    <t>Dimension 357</t>
  </si>
  <si>
    <t>Dimension 358</t>
  </si>
  <si>
    <t>Dimension 359</t>
  </si>
  <si>
    <t>Dimension 360</t>
  </si>
  <si>
    <t>Dimension 361</t>
  </si>
  <si>
    <t>Dimension 362</t>
  </si>
  <si>
    <t>Dimension 363</t>
  </si>
  <si>
    <t>Dimension 364</t>
  </si>
  <si>
    <t>Dimension 365</t>
  </si>
  <si>
    <t>Dimension 366</t>
  </si>
  <si>
    <t>Dimension 367</t>
  </si>
  <si>
    <t>Dimension 368</t>
  </si>
  <si>
    <t>Dimension 369</t>
  </si>
  <si>
    <t>Dimension 370</t>
  </si>
  <si>
    <t>Dimension 371</t>
  </si>
  <si>
    <t>Dimension 372</t>
  </si>
  <si>
    <t>Dimension 373</t>
  </si>
  <si>
    <t>Dimension 374</t>
  </si>
  <si>
    <t>Dimension 375</t>
  </si>
  <si>
    <t>Dimension 376</t>
  </si>
  <si>
    <t>Dimension 377</t>
  </si>
  <si>
    <t>Dimension 378</t>
  </si>
  <si>
    <t>Dimension 379</t>
  </si>
  <si>
    <t>Dimension 380</t>
  </si>
  <si>
    <t>Dimension 381</t>
  </si>
  <si>
    <t>Dimension 382</t>
  </si>
  <si>
    <t>Dimension 383</t>
  </si>
  <si>
    <t>Dimension 384</t>
  </si>
  <si>
    <t>Dimension 385</t>
  </si>
  <si>
    <t>Dimension 386</t>
  </si>
  <si>
    <t>Dimension 387</t>
  </si>
  <si>
    <t>Dimension 388</t>
  </si>
  <si>
    <t>Dimension 389</t>
  </si>
  <si>
    <t>Dimension 390</t>
  </si>
  <si>
    <t>Dimension 391</t>
  </si>
  <si>
    <t>Dimension 392</t>
  </si>
  <si>
    <t>Dimension 393</t>
  </si>
  <si>
    <t>Dimension 394</t>
  </si>
  <si>
    <t>Dimension 395</t>
  </si>
  <si>
    <t>Dimension 396</t>
  </si>
  <si>
    <t>Dimension 397</t>
  </si>
  <si>
    <t>Dimension 398</t>
  </si>
  <si>
    <t>Dimension 399</t>
  </si>
  <si>
    <r>
      <t>x</t>
    </r>
    <r>
      <rPr>
        <b/>
        <vertAlign val="subscript"/>
        <sz val="18"/>
        <color theme="1"/>
        <rFont val="Calibri"/>
        <family val="2"/>
        <scheme val="minor"/>
      </rPr>
      <t>1</t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</si>
  <si>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</si>
  <si>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</si>
  <si>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</si>
  <si>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</si>
  <si>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</si>
  <si>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</si>
  <si>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</si>
  <si>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9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</si>
  <si>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10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</si>
  <si>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11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</si>
  <si>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12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</si>
  <si>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13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</si>
  <si>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14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</si>
  <si>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15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</si>
  <si>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16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</si>
  <si>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17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</si>
  <si>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18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</si>
  <si>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19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</si>
  <si>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8"/>
        <color theme="1"/>
        <rFont val="Calibri"/>
        <family val="2"/>
        <scheme val="minor"/>
      </rPr>
      <t>20</t>
    </r>
    <r>
      <rPr>
        <sz val="11"/>
        <color theme="1"/>
        <rFont val="Calibri"/>
        <family val="2"/>
        <scheme val="minor"/>
      </rPr>
      <t/>
    </r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</si>
  <si>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</si>
  <si>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</si>
  <si>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</si>
  <si>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</si>
  <si>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</si>
  <si>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</si>
  <si>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</si>
  <si>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</si>
  <si>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</si>
  <si>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</si>
  <si>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</si>
  <si>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</si>
  <si>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</si>
  <si>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</si>
  <si>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</si>
  <si>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</si>
  <si>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</si>
  <si>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</si>
  <si>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</si>
  <si>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</si>
  <si>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</si>
  <si>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</si>
  <si>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</si>
  <si>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</si>
  <si>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</si>
  <si>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</si>
  <si>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</si>
  <si>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</si>
  <si>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</si>
  <si>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</si>
  <si>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</si>
  <si>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</si>
  <si>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</si>
  <si>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</si>
  <si>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</si>
  <si>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</si>
  <si>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</si>
  <si>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</si>
  <si>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</si>
  <si>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</si>
  <si>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</si>
  <si>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</si>
  <si>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</si>
  <si>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</si>
  <si>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</si>
  <si>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</si>
  <si>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</si>
  <si>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</si>
  <si>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</si>
  <si>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</si>
  <si>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</si>
  <si>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</si>
  <si>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</si>
  <si>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</si>
  <si>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</si>
  <si>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</si>
  <si>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</si>
  <si>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</si>
  <si>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</si>
  <si>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</si>
  <si>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D61</t>
  </si>
  <si>
    <t>D62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</si>
  <si>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</si>
  <si>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</si>
  <si>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</si>
  <si>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</si>
  <si>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</si>
  <si>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</si>
  <si>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</si>
  <si>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</si>
  <si>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</si>
  <si>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</si>
  <si>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</si>
  <si>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</si>
  <si>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</si>
  <si>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</si>
  <si>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</si>
  <si>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</si>
  <si>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</si>
  <si>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D80</t>
  </si>
  <si>
    <t>D81</t>
  </si>
  <si>
    <t>D82</t>
  </si>
  <si>
    <t>D83</t>
  </si>
  <si>
    <t>D84</t>
  </si>
  <si>
    <t>D85</t>
  </si>
  <si>
    <t>D86</t>
  </si>
  <si>
    <t>D87</t>
  </si>
  <si>
    <t>D88</t>
  </si>
  <si>
    <t>D89</t>
  </si>
  <si>
    <t>D90</t>
  </si>
  <si>
    <t>D91</t>
  </si>
  <si>
    <t>D92</t>
  </si>
  <si>
    <t>D93</t>
  </si>
  <si>
    <t>D94</t>
  </si>
  <si>
    <t>D95</t>
  </si>
  <si>
    <t>D96</t>
  </si>
  <si>
    <t>D97</t>
  </si>
  <si>
    <t>D98</t>
  </si>
  <si>
    <t>D99</t>
  </si>
  <si>
    <t>D100</t>
  </si>
  <si>
    <t>D101</t>
  </si>
  <si>
    <t>D102</t>
  </si>
  <si>
    <t>D103</t>
  </si>
  <si>
    <t>D104</t>
  </si>
  <si>
    <t>D105</t>
  </si>
  <si>
    <t>D106</t>
  </si>
  <si>
    <t>D107</t>
  </si>
  <si>
    <t>D108</t>
  </si>
  <si>
    <t>D109</t>
  </si>
  <si>
    <t>D110</t>
  </si>
  <si>
    <t>D111</t>
  </si>
  <si>
    <t>D112</t>
  </si>
  <si>
    <t>D113</t>
  </si>
  <si>
    <t>D114</t>
  </si>
  <si>
    <t>D115</t>
  </si>
  <si>
    <t>D116</t>
  </si>
  <si>
    <t>D117</t>
  </si>
  <si>
    <t>D118</t>
  </si>
  <si>
    <t>D119</t>
  </si>
  <si>
    <t>D120</t>
  </si>
  <si>
    <t>D121</t>
  </si>
  <si>
    <t>D122</t>
  </si>
  <si>
    <t>D123</t>
  </si>
  <si>
    <t>D124</t>
  </si>
  <si>
    <t>D125</t>
  </si>
  <si>
    <t>D126</t>
  </si>
  <si>
    <t>D127</t>
  </si>
  <si>
    <t>D128</t>
  </si>
  <si>
    <t>D129</t>
  </si>
  <si>
    <t>D130</t>
  </si>
  <si>
    <t>D131</t>
  </si>
  <si>
    <t>D132</t>
  </si>
  <si>
    <t>D133</t>
  </si>
  <si>
    <t>D134</t>
  </si>
  <si>
    <t>D135</t>
  </si>
  <si>
    <t>D136</t>
  </si>
  <si>
    <t>D137</t>
  </si>
  <si>
    <t>D138</t>
  </si>
  <si>
    <t>D139</t>
  </si>
  <si>
    <t>D140</t>
  </si>
  <si>
    <t>D141</t>
  </si>
  <si>
    <t>D142</t>
  </si>
  <si>
    <t>D143</t>
  </si>
  <si>
    <t>D144</t>
  </si>
  <si>
    <t>D145</t>
  </si>
  <si>
    <t>D146</t>
  </si>
  <si>
    <t>D147</t>
  </si>
  <si>
    <t>D148</t>
  </si>
  <si>
    <t>D149</t>
  </si>
  <si>
    <t>D150</t>
  </si>
  <si>
    <t>D151</t>
  </si>
  <si>
    <t>D152</t>
  </si>
  <si>
    <t>D153</t>
  </si>
  <si>
    <t>D154</t>
  </si>
  <si>
    <t>D155</t>
  </si>
  <si>
    <t>D156</t>
  </si>
  <si>
    <t>D157</t>
  </si>
  <si>
    <t>D158</t>
  </si>
  <si>
    <t>D159</t>
  </si>
  <si>
    <t>D160</t>
  </si>
  <si>
    <t>D161</t>
  </si>
  <si>
    <t>D162</t>
  </si>
  <si>
    <t>D163</t>
  </si>
  <si>
    <t>D164</t>
  </si>
  <si>
    <t>D165</t>
  </si>
  <si>
    <t>D166</t>
  </si>
  <si>
    <t>D167</t>
  </si>
  <si>
    <t>D168</t>
  </si>
  <si>
    <t>D169</t>
  </si>
  <si>
    <t>D170</t>
  </si>
  <si>
    <t>D171</t>
  </si>
  <si>
    <t>D172</t>
  </si>
  <si>
    <t>D173</t>
  </si>
  <si>
    <t>D174</t>
  </si>
  <si>
    <t>D175</t>
  </si>
  <si>
    <t>D176</t>
  </si>
  <si>
    <t>D177</t>
  </si>
  <si>
    <t>D178</t>
  </si>
  <si>
    <t>D179</t>
  </si>
  <si>
    <t>D180</t>
  </si>
  <si>
    <t>D181</t>
  </si>
  <si>
    <t>D182</t>
  </si>
  <si>
    <t>D183</t>
  </si>
  <si>
    <t>D184</t>
  </si>
  <si>
    <t>D185</t>
  </si>
  <si>
    <t>D186</t>
  </si>
  <si>
    <t>D187</t>
  </si>
  <si>
    <t>D188</t>
  </si>
  <si>
    <t>D189</t>
  </si>
  <si>
    <t>D190</t>
  </si>
  <si>
    <t>D191</t>
  </si>
  <si>
    <t>D192</t>
  </si>
  <si>
    <t>D193</t>
  </si>
  <si>
    <t>D194</t>
  </si>
  <si>
    <t>D195</t>
  </si>
  <si>
    <t>D196</t>
  </si>
  <si>
    <t>D197</t>
  </si>
  <si>
    <t>D198</t>
  </si>
  <si>
    <t>D199</t>
  </si>
  <si>
    <t>D200</t>
  </si>
  <si>
    <t>D201</t>
  </si>
  <si>
    <t>D202</t>
  </si>
  <si>
    <t>D203</t>
  </si>
  <si>
    <t>D204</t>
  </si>
  <si>
    <t>D205</t>
  </si>
  <si>
    <t>D206</t>
  </si>
  <si>
    <t>D207</t>
  </si>
  <si>
    <t>D208</t>
  </si>
  <si>
    <t>D209</t>
  </si>
  <si>
    <t>D210</t>
  </si>
  <si>
    <t>D211</t>
  </si>
  <si>
    <t>D212</t>
  </si>
  <si>
    <t>D213</t>
  </si>
  <si>
    <t>D214</t>
  </si>
  <si>
    <t>D215</t>
  </si>
  <si>
    <t>D216</t>
  </si>
  <si>
    <t>D217</t>
  </si>
  <si>
    <t>D218</t>
  </si>
  <si>
    <t>D219</t>
  </si>
  <si>
    <t>D220</t>
  </si>
  <si>
    <t>D221</t>
  </si>
  <si>
    <t>D222</t>
  </si>
  <si>
    <t>D223</t>
  </si>
  <si>
    <t>D224</t>
  </si>
  <si>
    <t>D225</t>
  </si>
  <si>
    <t>D226</t>
  </si>
  <si>
    <t>D227</t>
  </si>
  <si>
    <t>D228</t>
  </si>
  <si>
    <t>D229</t>
  </si>
  <si>
    <t>D230</t>
  </si>
  <si>
    <t>D231</t>
  </si>
  <si>
    <t>D232</t>
  </si>
  <si>
    <t>D233</t>
  </si>
  <si>
    <t>D234</t>
  </si>
  <si>
    <t>D235</t>
  </si>
  <si>
    <t>D236</t>
  </si>
  <si>
    <t>D237</t>
  </si>
  <si>
    <t>D238</t>
  </si>
  <si>
    <t>D239</t>
  </si>
  <si>
    <t>D240</t>
  </si>
  <si>
    <t>D241</t>
  </si>
  <si>
    <t>D242</t>
  </si>
  <si>
    <t>D243</t>
  </si>
  <si>
    <t>D244</t>
  </si>
  <si>
    <t>D245</t>
  </si>
  <si>
    <t>D246</t>
  </si>
  <si>
    <t>D247</t>
  </si>
  <si>
    <t>D248</t>
  </si>
  <si>
    <t>D249</t>
  </si>
  <si>
    <t>D250</t>
  </si>
  <si>
    <t>D251</t>
  </si>
  <si>
    <t>D252</t>
  </si>
  <si>
    <t>D253</t>
  </si>
  <si>
    <t>D254</t>
  </si>
  <si>
    <t>D255</t>
  </si>
  <si>
    <t>D256</t>
  </si>
  <si>
    <t>D257</t>
  </si>
  <si>
    <t>D258</t>
  </si>
  <si>
    <t>D259</t>
  </si>
  <si>
    <t>D260</t>
  </si>
  <si>
    <t>D261</t>
  </si>
  <si>
    <t>D262</t>
  </si>
  <si>
    <t>D263</t>
  </si>
  <si>
    <t>D264</t>
  </si>
  <si>
    <t>D265</t>
  </si>
  <si>
    <t>D266</t>
  </si>
  <si>
    <t>D267</t>
  </si>
  <si>
    <t>D268</t>
  </si>
  <si>
    <t>D269</t>
  </si>
  <si>
    <t>D270</t>
  </si>
  <si>
    <t>D271</t>
  </si>
  <si>
    <t>D272</t>
  </si>
  <si>
    <t>D273</t>
  </si>
  <si>
    <t>D274</t>
  </si>
  <si>
    <t>D275</t>
  </si>
  <si>
    <t>D276</t>
  </si>
  <si>
    <t>D277</t>
  </si>
  <si>
    <t>D278</t>
  </si>
  <si>
    <t>D279</t>
  </si>
  <si>
    <t>D280</t>
  </si>
  <si>
    <t>D281</t>
  </si>
  <si>
    <t>D282</t>
  </si>
  <si>
    <t>D283</t>
  </si>
  <si>
    <t>D284</t>
  </si>
  <si>
    <t>D285</t>
  </si>
  <si>
    <t>D286</t>
  </si>
  <si>
    <t>D287</t>
  </si>
  <si>
    <t>D288</t>
  </si>
  <si>
    <t>D289</t>
  </si>
  <si>
    <t>D290</t>
  </si>
  <si>
    <t>D291</t>
  </si>
  <si>
    <t>D292</t>
  </si>
  <si>
    <t>D293</t>
  </si>
  <si>
    <t>D294</t>
  </si>
  <si>
    <t>D295</t>
  </si>
  <si>
    <t>D296</t>
  </si>
  <si>
    <t>D297</t>
  </si>
  <si>
    <t>D298</t>
  </si>
  <si>
    <t>D299</t>
  </si>
  <si>
    <t>D300</t>
  </si>
  <si>
    <t>D301</t>
  </si>
  <si>
    <t>D302</t>
  </si>
  <si>
    <t>D303</t>
  </si>
  <si>
    <t>D304</t>
  </si>
  <si>
    <t>D305</t>
  </si>
  <si>
    <t>D306</t>
  </si>
  <si>
    <t>D307</t>
  </si>
  <si>
    <t>D308</t>
  </si>
  <si>
    <t>D309</t>
  </si>
  <si>
    <t>D310</t>
  </si>
  <si>
    <t>D311</t>
  </si>
  <si>
    <t>D312</t>
  </si>
  <si>
    <t>D313</t>
  </si>
  <si>
    <t>D314</t>
  </si>
  <si>
    <t>D315</t>
  </si>
  <si>
    <t>D316</t>
  </si>
  <si>
    <t>D317</t>
  </si>
  <si>
    <t>D318</t>
  </si>
  <si>
    <t>D319</t>
  </si>
  <si>
    <t>D320</t>
  </si>
  <si>
    <t>D321</t>
  </si>
  <si>
    <t>D322</t>
  </si>
  <si>
    <t>D323</t>
  </si>
  <si>
    <t>D324</t>
  </si>
  <si>
    <t>D325</t>
  </si>
  <si>
    <t>D326</t>
  </si>
  <si>
    <t>D327</t>
  </si>
  <si>
    <t>D328</t>
  </si>
  <si>
    <t>D329</t>
  </si>
  <si>
    <t>D330</t>
  </si>
  <si>
    <t>D331</t>
  </si>
  <si>
    <t>D332</t>
  </si>
  <si>
    <t>D333</t>
  </si>
  <si>
    <t>D334</t>
  </si>
  <si>
    <t>D335</t>
  </si>
  <si>
    <t>D336</t>
  </si>
  <si>
    <t>D337</t>
  </si>
  <si>
    <t>D338</t>
  </si>
  <si>
    <t>D339</t>
  </si>
  <si>
    <t>D340</t>
  </si>
  <si>
    <t>D341</t>
  </si>
  <si>
    <t>D342</t>
  </si>
  <si>
    <t>D343</t>
  </si>
  <si>
    <t>D344</t>
  </si>
  <si>
    <t>D345</t>
  </si>
  <si>
    <t>D346</t>
  </si>
  <si>
    <t>D347</t>
  </si>
  <si>
    <t>D348</t>
  </si>
  <si>
    <t>D349</t>
  </si>
  <si>
    <t>D350</t>
  </si>
  <si>
    <t>D351</t>
  </si>
  <si>
    <t>D352</t>
  </si>
  <si>
    <t>D353</t>
  </si>
  <si>
    <t>D354</t>
  </si>
  <si>
    <t>D355</t>
  </si>
  <si>
    <t>D356</t>
  </si>
  <si>
    <t>D357</t>
  </si>
  <si>
    <t>D358</t>
  </si>
  <si>
    <t>D359</t>
  </si>
  <si>
    <t>D360</t>
  </si>
  <si>
    <t>D361</t>
  </si>
  <si>
    <t>D362</t>
  </si>
  <si>
    <t>D363</t>
  </si>
  <si>
    <t>D364</t>
  </si>
  <si>
    <t>D365</t>
  </si>
  <si>
    <t>D366</t>
  </si>
  <si>
    <t>D367</t>
  </si>
  <si>
    <t>D368</t>
  </si>
  <si>
    <t>D369</t>
  </si>
  <si>
    <t>D370</t>
  </si>
  <si>
    <t>D371</t>
  </si>
  <si>
    <t>D372</t>
  </si>
  <si>
    <t>D373</t>
  </si>
  <si>
    <t>D374</t>
  </si>
  <si>
    <t>D375</t>
  </si>
  <si>
    <t>D376</t>
  </si>
  <si>
    <t>D377</t>
  </si>
  <si>
    <t>D378</t>
  </si>
  <si>
    <t>D379</t>
  </si>
  <si>
    <t>D380</t>
  </si>
  <si>
    <t>D381</t>
  </si>
  <si>
    <t>D382</t>
  </si>
  <si>
    <t>D383</t>
  </si>
  <si>
    <t>D384</t>
  </si>
  <si>
    <t>D385</t>
  </si>
  <si>
    <t>D386</t>
  </si>
  <si>
    <t>D387</t>
  </si>
  <si>
    <t>D388</t>
  </si>
  <si>
    <t>D389</t>
  </si>
  <si>
    <t>D390</t>
  </si>
  <si>
    <t>D391</t>
  </si>
  <si>
    <t>D392</t>
  </si>
  <si>
    <t>D393</t>
  </si>
  <si>
    <t>D394</t>
  </si>
  <si>
    <t>D395</t>
  </si>
  <si>
    <t>D396</t>
  </si>
  <si>
    <t>D397</t>
  </si>
  <si>
    <t>D398</t>
  </si>
  <si>
    <t>D399</t>
  </si>
  <si>
    <t>Number of dimensions</t>
  </si>
  <si>
    <t>Dimensions</t>
  </si>
  <si>
    <t>Radius</t>
  </si>
  <si>
    <t>Volume</t>
  </si>
  <si>
    <t>pi^(n/2)</t>
  </si>
  <si>
    <t>Gamma</t>
  </si>
  <si>
    <t>%Thickness skin</t>
  </si>
  <si>
    <t>Radius + Skin</t>
  </si>
  <si>
    <t>R^n</t>
  </si>
  <si>
    <t>Volume Apple + skin</t>
  </si>
  <si>
    <t>Volume of Skin</t>
  </si>
  <si>
    <t>Ratio of skin to apple</t>
  </si>
  <si>
    <t>Number of cells</t>
  </si>
  <si>
    <t>Number of combinations</t>
  </si>
  <si>
    <t>MNIST</t>
  </si>
  <si>
    <t>fraction</t>
  </si>
  <si>
    <t>X</t>
  </si>
  <si>
    <t>A</t>
  </si>
  <si>
    <t>M</t>
  </si>
  <si>
    <t>SD</t>
  </si>
  <si>
    <t>X'</t>
  </si>
  <si>
    <t>axis rotation = pi/2</t>
  </si>
  <si>
    <t>RAND</t>
  </si>
  <si>
    <t>Fixed</t>
  </si>
  <si>
    <t>Data Generation</t>
  </si>
  <si>
    <t>Max variation vector (Green dotted line on graph)</t>
  </si>
  <si>
    <t>Shift so that mean is at the centre</t>
  </si>
  <si>
    <t>Mean at centre</t>
  </si>
  <si>
    <t>Mean</t>
  </si>
  <si>
    <t>Scale by</t>
  </si>
  <si>
    <r>
      <t>Arbitrary Vector (V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)</t>
    </r>
  </si>
  <si>
    <t>Covariance Matrix (Cv)</t>
  </si>
  <si>
    <r>
      <t>Cv.V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</si>
  <si>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Cv.V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(Scaled)</t>
    </r>
  </si>
  <si>
    <t>Y'</t>
  </si>
  <si>
    <r>
      <t>Cv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.V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</si>
  <si>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Cv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.V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(Scaled)</t>
    </r>
  </si>
  <si>
    <t>Gradient</t>
  </si>
  <si>
    <t>Eigen Values</t>
  </si>
  <si>
    <t>Slope</t>
  </si>
  <si>
    <t>Scale for Graph</t>
  </si>
  <si>
    <t>For scaled plotting</t>
  </si>
  <si>
    <t>For non-scaled plotting</t>
  </si>
  <si>
    <t>e1</t>
  </si>
  <si>
    <t>Eigen Vector 1</t>
  </si>
  <si>
    <t>Eigen Vector 2</t>
  </si>
  <si>
    <t>Projecting the data into the new coordinate system</t>
  </si>
  <si>
    <t>e2</t>
  </si>
  <si>
    <t>VAR.P(C29:C40)</t>
  </si>
  <si>
    <t>COVARIANCE.P($C$29:$C$40,$D$29:$D$40)</t>
  </si>
  <si>
    <t>VAR.P(D29:D40)</t>
  </si>
  <si>
    <r>
      <t>Cv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.V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</si>
  <si>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Cv</t>
    </r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>.V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</si>
  <si>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Cv</t>
    </r>
    <r>
      <rPr>
        <b/>
        <vertAlign val="superscript"/>
        <sz val="11"/>
        <color theme="1"/>
        <rFont val="Calibri"/>
        <family val="2"/>
        <scheme val="minor"/>
      </rPr>
      <t>5</t>
    </r>
    <r>
      <rPr>
        <b/>
        <sz val="11"/>
        <color theme="1"/>
        <rFont val="Calibri"/>
        <family val="2"/>
        <scheme val="minor"/>
      </rPr>
      <t>.V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</si>
  <si>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Cv</t>
    </r>
    <r>
      <rPr>
        <b/>
        <vertAlign val="superscript"/>
        <sz val="11"/>
        <color theme="1"/>
        <rFont val="Calibri"/>
        <family val="2"/>
        <scheme val="minor"/>
      </rPr>
      <t>6</t>
    </r>
    <r>
      <rPr>
        <b/>
        <sz val="11"/>
        <color theme="1"/>
        <rFont val="Calibri"/>
        <family val="2"/>
        <scheme val="minor"/>
      </rPr>
      <t>.V</t>
    </r>
    <r>
      <rPr>
        <b/>
        <vertAlign val="subscript"/>
        <sz val="11"/>
        <color theme="1"/>
        <rFont val="Calibri"/>
        <family val="2"/>
        <scheme val="minor"/>
      </rPr>
      <t>1</t>
    </r>
  </si>
  <si>
    <t>Scaled Eigenvectors</t>
  </si>
  <si>
    <t>```</t>
  </si>
  <si>
    <t>Max / Min distance ratio</t>
  </si>
  <si>
    <t>2-D apple</t>
  </si>
  <si>
    <t>3D apple</t>
  </si>
  <si>
    <t>R</t>
  </si>
  <si>
    <t>V apple</t>
  </si>
  <si>
    <t>v skin</t>
  </si>
  <si>
    <t>v (apple + skin)</t>
  </si>
  <si>
    <t>ratio</t>
  </si>
  <si>
    <t>Row 1 of Image</t>
  </si>
  <si>
    <t>Row 2 of Image</t>
  </si>
  <si>
    <t>Row 3 of Image</t>
  </si>
  <si>
    <t>Row 4 of Image</t>
  </si>
  <si>
    <t>Eigenvectors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</si>
</sst>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0"/>
    <numFmt numFmtId="166" formatCode="0.000"/>
    <numFmt numFmtId="167" formatCode="0.0E+00"/>
    <numFmt numFmtId="168" formatCode="0.0%"/>
    <numFmt numFmtId="169" formatCode="0.000000"/>
    <numFmt numFmtId="170" formatCode="0.0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vertAlign val="subscript"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1" fontId="7" fillId="0" borderId="9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2" fillId="0" borderId="23" xfId="0" applyFont="1" applyBorder="1"/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1" fontId="7" fillId="2" borderId="1" xfId="0" applyNumberFormat="1" applyFont="1" applyFill="1" applyBorder="1" applyAlignment="1"/>
    <xf numFmtId="1" fontId="7" fillId="0" borderId="5" xfId="0" applyNumberFormat="1" applyFont="1" applyBorder="1" applyAlignment="1">
      <alignment horizontal="center"/>
    </xf>
    <xf numFmtId="1" fontId="7" fillId="2" borderId="6" xfId="0" applyNumberFormat="1" applyFont="1" applyFill="1" applyBorder="1" applyAlignment="1"/>
    <xf numFmtId="1" fontId="7" fillId="0" borderId="7" xfId="0" applyNumberFormat="1" applyFon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1" fontId="7" fillId="0" borderId="2" xfId="0" applyNumberFormat="1" applyFont="1" applyBorder="1" applyAlignment="1">
      <alignment horizontal="center"/>
    </xf>
    <xf numFmtId="1" fontId="7" fillId="2" borderId="4" xfId="0" applyNumberFormat="1" applyFont="1" applyFill="1" applyBorder="1" applyAlignment="1"/>
    <xf numFmtId="1" fontId="0" fillId="0" borderId="28" xfId="0" applyNumberForma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0" fillId="0" borderId="0" xfId="0" applyBorder="1" applyAlignment="1"/>
    <xf numFmtId="0" fontId="5" fillId="0" borderId="3" xfId="0" applyFont="1" applyBorder="1" applyAlignment="1">
      <alignment horizontal="center"/>
    </xf>
    <xf numFmtId="1" fontId="7" fillId="0" borderId="8" xfId="0" applyNumberFormat="1" applyFont="1" applyBorder="1" applyAlignment="1">
      <alignment horizontal="center"/>
    </xf>
    <xf numFmtId="1" fontId="7" fillId="2" borderId="3" xfId="0" applyNumberFormat="1" applyFont="1" applyFill="1" applyBorder="1" applyAlignment="1"/>
    <xf numFmtId="0" fontId="4" fillId="0" borderId="30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0" fillId="0" borderId="32" xfId="0" applyBorder="1" applyAlignment="1">
      <alignment vertical="center"/>
    </xf>
    <xf numFmtId="1" fontId="3" fillId="3" borderId="32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9" fontId="0" fillId="0" borderId="0" xfId="1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0" fontId="0" fillId="4" borderId="0" xfId="0" applyFill="1"/>
    <xf numFmtId="0" fontId="0" fillId="3" borderId="1" xfId="0" applyFill="1" applyBorder="1" applyAlignment="1">
      <alignment horizontal="center" vertical="center"/>
    </xf>
    <xf numFmtId="0" fontId="0" fillId="0" borderId="1" xfId="0" applyFill="1" applyBorder="1"/>
    <xf numFmtId="0" fontId="0" fillId="5" borderId="1" xfId="0" applyFill="1" applyBorder="1"/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2" fillId="0" borderId="0" xfId="0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8" fillId="0" borderId="34" xfId="0" applyFon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4" fontId="0" fillId="0" borderId="33" xfId="0" applyNumberForma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9" fillId="0" borderId="3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70" fontId="0" fillId="0" borderId="0" xfId="0" applyNumberFormat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70" fontId="2" fillId="0" borderId="0" xfId="0" applyNumberFormat="1" applyFont="1" applyAlignment="1">
      <alignment vertical="center"/>
    </xf>
    <xf numFmtId="170" fontId="2" fillId="0" borderId="0" xfId="0" applyNumberFormat="1" applyFont="1"/>
    <xf numFmtId="170" fontId="0" fillId="0" borderId="0" xfId="0" applyNumberFormat="1"/>
    <xf numFmtId="166" fontId="0" fillId="0" borderId="0" xfId="0" applyNumberFormat="1" applyAlignment="1">
      <alignment horizontal="center"/>
    </xf>
    <xf numFmtId="0" fontId="0" fillId="0" borderId="41" xfId="0" applyBorder="1"/>
    <xf numFmtId="0" fontId="0" fillId="0" borderId="42" xfId="0" applyBorder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3" fillId="6" borderId="5" xfId="0" applyFont="1" applyFill="1" applyBorder="1" applyAlignment="1">
      <alignment horizontal="center"/>
    </xf>
    <xf numFmtId="2" fontId="3" fillId="6" borderId="6" xfId="0" applyNumberFormat="1" applyFont="1" applyFill="1" applyBorder="1" applyAlignment="1">
      <alignment horizontal="center"/>
    </xf>
    <xf numFmtId="0" fontId="3" fillId="7" borderId="7" xfId="0" applyFont="1" applyFill="1" applyBorder="1" applyAlignment="1">
      <alignment horizontal="center"/>
    </xf>
    <xf numFmtId="2" fontId="3" fillId="7" borderId="9" xfId="0" applyNumberFormat="1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2" fontId="2" fillId="0" borderId="0" xfId="0" applyNumberFormat="1" applyFont="1" applyBorder="1" applyAlignment="1">
      <alignment horizontal="right"/>
    </xf>
    <xf numFmtId="0" fontId="0" fillId="0" borderId="0" xfId="0" applyAlignment="1">
      <alignment horizontal="center" vertical="center" wrapText="1"/>
    </xf>
    <xf numFmtId="0" fontId="12" fillId="0" borderId="0" xfId="0" applyFont="1" applyAlignment="1">
      <alignment vertical="center"/>
    </xf>
    <xf numFmtId="2" fontId="12" fillId="0" borderId="0" xfId="0" applyNumberFormat="1" applyFont="1" applyAlignment="1">
      <alignment horizontal="center" vertical="center"/>
    </xf>
    <xf numFmtId="0" fontId="12" fillId="0" borderId="37" xfId="0" applyFont="1" applyBorder="1"/>
    <xf numFmtId="169" fontId="12" fillId="0" borderId="0" xfId="0" applyNumberFormat="1" applyFont="1" applyFill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0" xfId="0" applyFont="1"/>
    <xf numFmtId="165" fontId="12" fillId="0" borderId="0" xfId="0" applyNumberFormat="1" applyFont="1" applyAlignment="1">
      <alignment horizontal="center" vertical="center"/>
    </xf>
    <xf numFmtId="0" fontId="12" fillId="0" borderId="38" xfId="0" applyFont="1" applyBorder="1"/>
    <xf numFmtId="0" fontId="12" fillId="0" borderId="40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9" fontId="12" fillId="0" borderId="0" xfId="0" applyNumberFormat="1" applyFont="1"/>
    <xf numFmtId="0" fontId="4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164" fontId="7" fillId="0" borderId="4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164" fontId="7" fillId="0" borderId="6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64" fontId="7" fillId="0" borderId="9" xfId="0" applyNumberFormat="1" applyFont="1" applyBorder="1" applyAlignment="1">
      <alignment horizontal="center" vertical="center"/>
    </xf>
    <xf numFmtId="10" fontId="0" fillId="0" borderId="0" xfId="1" applyNumberFormat="1" applyFont="1"/>
    <xf numFmtId="166" fontId="0" fillId="0" borderId="0" xfId="0" applyNumberFormat="1"/>
    <xf numFmtId="0" fontId="0" fillId="0" borderId="1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13" fillId="0" borderId="0" xfId="0" applyFont="1"/>
    <xf numFmtId="0" fontId="0" fillId="0" borderId="45" xfId="0" applyFill="1" applyBorder="1" applyAlignment="1">
      <alignment horizontal="center" vertical="center"/>
    </xf>
    <xf numFmtId="0" fontId="0" fillId="3" borderId="0" xfId="0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1" xfId="0" applyFill="1" applyBorder="1"/>
    <xf numFmtId="0" fontId="0" fillId="3" borderId="6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166" fontId="4" fillId="0" borderId="0" xfId="0" applyNumberFormat="1" applyFont="1" applyAlignment="1">
      <alignment horizontal="center" vertical="center"/>
    </xf>
    <xf numFmtId="0" fontId="13" fillId="0" borderId="46" xfId="0" applyFont="1" applyBorder="1" applyAlignment="1">
      <alignment horizontal="center" vertical="center"/>
    </xf>
    <xf numFmtId="0" fontId="13" fillId="0" borderId="47" xfId="0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"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Distance!$Y$2</c:f>
              <c:strCache>
                <c:ptCount val="1"/>
                <c:pt idx="0">
                  <c:v>D1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</c:marker>
          <c:xVal>
            <c:numRef>
              <c:f>Distance!$Y$3:$Y$22</c:f>
              <c:numCache>
                <c:formatCode>General</c:formatCode>
                <c:ptCount val="20"/>
                <c:pt idx="0">
                  <c:v>528</c:v>
                </c:pt>
                <c:pt idx="1">
                  <c:v>7298</c:v>
                </c:pt>
                <c:pt idx="2">
                  <c:v>9502</c:v>
                </c:pt>
                <c:pt idx="3">
                  <c:v>604</c:v>
                </c:pt>
                <c:pt idx="4">
                  <c:v>2875</c:v>
                </c:pt>
                <c:pt idx="5">
                  <c:v>7136</c:v>
                </c:pt>
                <c:pt idx="6">
                  <c:v>1805</c:v>
                </c:pt>
                <c:pt idx="7">
                  <c:v>938</c:v>
                </c:pt>
                <c:pt idx="8">
                  <c:v>1102</c:v>
                </c:pt>
                <c:pt idx="9">
                  <c:v>861</c:v>
                </c:pt>
                <c:pt idx="10">
                  <c:v>1430</c:v>
                </c:pt>
                <c:pt idx="11">
                  <c:v>7964</c:v>
                </c:pt>
                <c:pt idx="12">
                  <c:v>1309</c:v>
                </c:pt>
                <c:pt idx="13">
                  <c:v>5244</c:v>
                </c:pt>
                <c:pt idx="14">
                  <c:v>6801</c:v>
                </c:pt>
                <c:pt idx="15">
                  <c:v>7771</c:v>
                </c:pt>
                <c:pt idx="16">
                  <c:v>5010</c:v>
                </c:pt>
                <c:pt idx="17">
                  <c:v>4566</c:v>
                </c:pt>
                <c:pt idx="18">
                  <c:v>1794</c:v>
                </c:pt>
                <c:pt idx="19">
                  <c:v>5712</c:v>
                </c:pt>
              </c:numCache>
            </c:numRef>
          </c:xVal>
          <c:yVal>
            <c:numRef>
              <c:f>Distance!$W$3:$W$22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934912"/>
        <c:axId val="304936448"/>
      </c:scatterChart>
      <c:valAx>
        <c:axId val="304934912"/>
        <c:scaling>
          <c:orientation val="minMax"/>
          <c:max val="1000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304936448"/>
        <c:crosses val="autoZero"/>
        <c:crossBetween val="midCat"/>
      </c:valAx>
      <c:valAx>
        <c:axId val="304936448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30493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How does the spread of distances between points change with increasing dimensions?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Distance!$AC$59:$AC$117</c:f>
              <c:numCache>
                <c:formatCode>0.0</c:formatCode>
                <c:ptCount val="59"/>
                <c:pt idx="0">
                  <c:v>21.015532492491474</c:v>
                </c:pt>
                <c:pt idx="1">
                  <c:v>21.222462155674453</c:v>
                </c:pt>
                <c:pt idx="2">
                  <c:v>8.926122570730934</c:v>
                </c:pt>
                <c:pt idx="3">
                  <c:v>5.1074525621724556</c:v>
                </c:pt>
                <c:pt idx="4">
                  <c:v>4.0124500549819855</c:v>
                </c:pt>
                <c:pt idx="5">
                  <c:v>3.4450185259839197</c:v>
                </c:pt>
                <c:pt idx="6">
                  <c:v>3.0069769314811987</c:v>
                </c:pt>
                <c:pt idx="7">
                  <c:v>2.8344442230215172</c:v>
                </c:pt>
                <c:pt idx="8">
                  <c:v>2.8625566949441623</c:v>
                </c:pt>
                <c:pt idx="9">
                  <c:v>2.5358506359230124</c:v>
                </c:pt>
                <c:pt idx="10">
                  <c:v>2.4754692746723448</c:v>
                </c:pt>
                <c:pt idx="11">
                  <c:v>2.5683570918970973</c:v>
                </c:pt>
                <c:pt idx="12">
                  <c:v>2.2683212956362051</c:v>
                </c:pt>
                <c:pt idx="13">
                  <c:v>2.409934567372304</c:v>
                </c:pt>
                <c:pt idx="14">
                  <c:v>2.4148566921845926</c:v>
                </c:pt>
                <c:pt idx="15">
                  <c:v>2.5063981801263897</c:v>
                </c:pt>
                <c:pt idx="16">
                  <c:v>2.0977564717874086</c:v>
                </c:pt>
                <c:pt idx="17">
                  <c:v>2.189915988729271</c:v>
                </c:pt>
                <c:pt idx="18">
                  <c:v>2.1957856136377072</c:v>
                </c:pt>
                <c:pt idx="19">
                  <c:v>2.165271538091794</c:v>
                </c:pt>
                <c:pt idx="20">
                  <c:v>2.2617657334548147</c:v>
                </c:pt>
                <c:pt idx="21">
                  <c:v>2.1676657019555603</c:v>
                </c:pt>
                <c:pt idx="22">
                  <c:v>2.1356360907661935</c:v>
                </c:pt>
                <c:pt idx="23">
                  <c:v>2.1414903648181114</c:v>
                </c:pt>
                <c:pt idx="24">
                  <c:v>2.111257982574505</c:v>
                </c:pt>
                <c:pt idx="25">
                  <c:v>2.0300843823306924</c:v>
                </c:pt>
                <c:pt idx="26">
                  <c:v>2.0041968045895335</c:v>
                </c:pt>
                <c:pt idx="27">
                  <c:v>1.9128232356857688</c:v>
                </c:pt>
                <c:pt idx="28">
                  <c:v>1.8654077762425305</c:v>
                </c:pt>
                <c:pt idx="29">
                  <c:v>1.8774766267875782</c:v>
                </c:pt>
                <c:pt idx="30">
                  <c:v>1.8461478654878822</c:v>
                </c:pt>
                <c:pt idx="31">
                  <c:v>1.771859819099564</c:v>
                </c:pt>
                <c:pt idx="32">
                  <c:v>1.7726550128471199</c:v>
                </c:pt>
                <c:pt idx="33">
                  <c:v>1.7738752706690366</c:v>
                </c:pt>
                <c:pt idx="34">
                  <c:v>1.7030370052323185</c:v>
                </c:pt>
                <c:pt idx="35">
                  <c:v>1.7164896321708423</c:v>
                </c:pt>
                <c:pt idx="36">
                  <c:v>1.7135992807135647</c:v>
                </c:pt>
                <c:pt idx="37">
                  <c:v>1.719473096357462</c:v>
                </c:pt>
                <c:pt idx="38">
                  <c:v>1.7228328794670034</c:v>
                </c:pt>
                <c:pt idx="39">
                  <c:v>1.7713625498816368</c:v>
                </c:pt>
                <c:pt idx="40">
                  <c:v>1.7614771574035326</c:v>
                </c:pt>
                <c:pt idx="41">
                  <c:v>1.7613265078019373</c:v>
                </c:pt>
                <c:pt idx="42">
                  <c:v>1.7861446689125033</c:v>
                </c:pt>
                <c:pt idx="43">
                  <c:v>1.7877517195291155</c:v>
                </c:pt>
                <c:pt idx="44">
                  <c:v>1.8033765844683807</c:v>
                </c:pt>
                <c:pt idx="45">
                  <c:v>1.79694693421747</c:v>
                </c:pt>
                <c:pt idx="46">
                  <c:v>1.7942023771053333</c:v>
                </c:pt>
                <c:pt idx="47">
                  <c:v>1.7989363448643061</c:v>
                </c:pt>
                <c:pt idx="48">
                  <c:v>1.6771138980165479</c:v>
                </c:pt>
                <c:pt idx="49">
                  <c:v>1.6494125710026946</c:v>
                </c:pt>
                <c:pt idx="50">
                  <c:v>1.6415540190708422</c:v>
                </c:pt>
                <c:pt idx="51">
                  <c:v>1.5968479652870282</c:v>
                </c:pt>
                <c:pt idx="52">
                  <c:v>1.6089821660468016</c:v>
                </c:pt>
                <c:pt idx="53">
                  <c:v>1.5447583627831314</c:v>
                </c:pt>
                <c:pt idx="54">
                  <c:v>1.5442354698667202</c:v>
                </c:pt>
                <c:pt idx="55">
                  <c:v>1.5245160668920308</c:v>
                </c:pt>
                <c:pt idx="56">
                  <c:v>1.5250467057726975</c:v>
                </c:pt>
                <c:pt idx="57">
                  <c:v>1.5387943254895589</c:v>
                </c:pt>
                <c:pt idx="58">
                  <c:v>1.5315618859296791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423488"/>
        <c:axId val="305425408"/>
      </c:lineChart>
      <c:catAx>
        <c:axId val="305423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Dimensions</a:t>
                </a:r>
              </a:p>
            </c:rich>
          </c:tx>
          <c:overlay val="0"/>
        </c:title>
        <c:majorTickMark val="out"/>
        <c:minorTickMark val="none"/>
        <c:tickLblPos val="nextTo"/>
        <c:crossAx val="305425408"/>
        <c:crosses val="autoZero"/>
        <c:auto val="1"/>
        <c:lblAlgn val="ctr"/>
        <c:lblOffset val="100"/>
        <c:noMultiLvlLbl val="0"/>
      </c:catAx>
      <c:valAx>
        <c:axId val="305425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Ratio between furthest and closest point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3054234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Ratio of skin to apple with</a:t>
            </a:r>
            <a:br>
              <a:rPr lang="en-US"/>
            </a:br>
            <a:r>
              <a:rPr lang="en-US"/>
              <a:t>increasing dimensions</a:t>
            </a:r>
          </a:p>
        </c:rich>
      </c:tx>
      <c:layout>
        <c:manualLayout>
          <c:xMode val="edge"/>
          <c:yMode val="edge"/>
          <c:x val="0.27477077865266841"/>
          <c:y val="2.447980416156670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'Hyper-sphere'!$O$4</c:f>
              <c:strCache>
                <c:ptCount val="1"/>
                <c:pt idx="0">
                  <c:v>Ratio of skin to apple</c:v>
                </c:pt>
              </c:strCache>
            </c:strRef>
          </c:tx>
          <c:spPr>
            <a:ln w="47625">
              <a:solidFill>
                <a:schemeClr val="accent5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'Hyper-sphere'!$B$5:$B$540</c:f>
              <c:numCache>
                <c:formatCode>General</c:formatCode>
                <c:ptCount val="53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  <c:pt idx="299">
                  <c:v>301</c:v>
                </c:pt>
                <c:pt idx="300">
                  <c:v>302</c:v>
                </c:pt>
                <c:pt idx="301">
                  <c:v>303</c:v>
                </c:pt>
                <c:pt idx="302">
                  <c:v>304</c:v>
                </c:pt>
                <c:pt idx="303">
                  <c:v>305</c:v>
                </c:pt>
                <c:pt idx="304">
                  <c:v>306</c:v>
                </c:pt>
                <c:pt idx="305">
                  <c:v>307</c:v>
                </c:pt>
                <c:pt idx="306">
                  <c:v>308</c:v>
                </c:pt>
                <c:pt idx="307">
                  <c:v>309</c:v>
                </c:pt>
                <c:pt idx="308">
                  <c:v>310</c:v>
                </c:pt>
                <c:pt idx="309">
                  <c:v>311</c:v>
                </c:pt>
                <c:pt idx="310">
                  <c:v>312</c:v>
                </c:pt>
                <c:pt idx="311">
                  <c:v>313</c:v>
                </c:pt>
                <c:pt idx="312">
                  <c:v>314</c:v>
                </c:pt>
                <c:pt idx="313">
                  <c:v>315</c:v>
                </c:pt>
                <c:pt idx="314">
                  <c:v>316</c:v>
                </c:pt>
                <c:pt idx="315">
                  <c:v>317</c:v>
                </c:pt>
                <c:pt idx="316">
                  <c:v>318</c:v>
                </c:pt>
                <c:pt idx="317">
                  <c:v>319</c:v>
                </c:pt>
                <c:pt idx="318">
                  <c:v>320</c:v>
                </c:pt>
                <c:pt idx="319">
                  <c:v>321</c:v>
                </c:pt>
                <c:pt idx="320">
                  <c:v>322</c:v>
                </c:pt>
                <c:pt idx="321">
                  <c:v>323</c:v>
                </c:pt>
                <c:pt idx="322">
                  <c:v>324</c:v>
                </c:pt>
                <c:pt idx="323">
                  <c:v>325</c:v>
                </c:pt>
                <c:pt idx="324">
                  <c:v>326</c:v>
                </c:pt>
                <c:pt idx="325">
                  <c:v>327</c:v>
                </c:pt>
                <c:pt idx="326">
                  <c:v>328</c:v>
                </c:pt>
                <c:pt idx="327">
                  <c:v>329</c:v>
                </c:pt>
                <c:pt idx="328">
                  <c:v>330</c:v>
                </c:pt>
                <c:pt idx="329">
                  <c:v>331</c:v>
                </c:pt>
                <c:pt idx="330">
                  <c:v>332</c:v>
                </c:pt>
                <c:pt idx="331">
                  <c:v>333</c:v>
                </c:pt>
                <c:pt idx="332">
                  <c:v>334</c:v>
                </c:pt>
                <c:pt idx="333">
                  <c:v>335</c:v>
                </c:pt>
                <c:pt idx="334">
                  <c:v>336</c:v>
                </c:pt>
                <c:pt idx="335">
                  <c:v>337</c:v>
                </c:pt>
                <c:pt idx="336">
                  <c:v>338</c:v>
                </c:pt>
                <c:pt idx="337">
                  <c:v>339</c:v>
                </c:pt>
                <c:pt idx="338">
                  <c:v>340</c:v>
                </c:pt>
                <c:pt idx="339">
                  <c:v>341</c:v>
                </c:pt>
                <c:pt idx="340">
                  <c:v>342</c:v>
                </c:pt>
                <c:pt idx="341">
                  <c:v>343</c:v>
                </c:pt>
                <c:pt idx="342">
                  <c:v>344</c:v>
                </c:pt>
                <c:pt idx="343">
                  <c:v>345</c:v>
                </c:pt>
                <c:pt idx="344">
                  <c:v>346</c:v>
                </c:pt>
                <c:pt idx="345">
                  <c:v>347</c:v>
                </c:pt>
                <c:pt idx="346">
                  <c:v>348</c:v>
                </c:pt>
                <c:pt idx="347">
                  <c:v>349</c:v>
                </c:pt>
                <c:pt idx="348">
                  <c:v>350</c:v>
                </c:pt>
                <c:pt idx="349">
                  <c:v>351</c:v>
                </c:pt>
                <c:pt idx="350">
                  <c:v>352</c:v>
                </c:pt>
                <c:pt idx="351">
                  <c:v>353</c:v>
                </c:pt>
                <c:pt idx="352">
                  <c:v>354</c:v>
                </c:pt>
                <c:pt idx="353">
                  <c:v>355</c:v>
                </c:pt>
                <c:pt idx="354">
                  <c:v>356</c:v>
                </c:pt>
                <c:pt idx="355">
                  <c:v>357</c:v>
                </c:pt>
                <c:pt idx="356">
                  <c:v>358</c:v>
                </c:pt>
                <c:pt idx="357">
                  <c:v>359</c:v>
                </c:pt>
                <c:pt idx="358">
                  <c:v>360</c:v>
                </c:pt>
                <c:pt idx="359">
                  <c:v>361</c:v>
                </c:pt>
                <c:pt idx="360">
                  <c:v>362</c:v>
                </c:pt>
                <c:pt idx="361">
                  <c:v>363</c:v>
                </c:pt>
                <c:pt idx="362">
                  <c:v>364</c:v>
                </c:pt>
                <c:pt idx="363">
                  <c:v>365</c:v>
                </c:pt>
                <c:pt idx="364">
                  <c:v>366</c:v>
                </c:pt>
                <c:pt idx="365">
                  <c:v>367</c:v>
                </c:pt>
                <c:pt idx="366">
                  <c:v>368</c:v>
                </c:pt>
                <c:pt idx="367">
                  <c:v>369</c:v>
                </c:pt>
                <c:pt idx="368">
                  <c:v>370</c:v>
                </c:pt>
                <c:pt idx="369">
                  <c:v>371</c:v>
                </c:pt>
                <c:pt idx="370">
                  <c:v>372</c:v>
                </c:pt>
                <c:pt idx="371">
                  <c:v>373</c:v>
                </c:pt>
                <c:pt idx="372">
                  <c:v>374</c:v>
                </c:pt>
                <c:pt idx="373">
                  <c:v>375</c:v>
                </c:pt>
                <c:pt idx="374">
                  <c:v>376</c:v>
                </c:pt>
                <c:pt idx="375">
                  <c:v>377</c:v>
                </c:pt>
                <c:pt idx="376">
                  <c:v>378</c:v>
                </c:pt>
                <c:pt idx="377">
                  <c:v>379</c:v>
                </c:pt>
                <c:pt idx="378">
                  <c:v>380</c:v>
                </c:pt>
                <c:pt idx="379">
                  <c:v>381</c:v>
                </c:pt>
                <c:pt idx="380">
                  <c:v>382</c:v>
                </c:pt>
                <c:pt idx="381">
                  <c:v>383</c:v>
                </c:pt>
                <c:pt idx="382">
                  <c:v>384</c:v>
                </c:pt>
                <c:pt idx="383">
                  <c:v>385</c:v>
                </c:pt>
                <c:pt idx="384">
                  <c:v>386</c:v>
                </c:pt>
                <c:pt idx="385">
                  <c:v>387</c:v>
                </c:pt>
                <c:pt idx="386">
                  <c:v>388</c:v>
                </c:pt>
                <c:pt idx="387">
                  <c:v>389</c:v>
                </c:pt>
                <c:pt idx="388">
                  <c:v>390</c:v>
                </c:pt>
                <c:pt idx="389">
                  <c:v>391</c:v>
                </c:pt>
                <c:pt idx="390">
                  <c:v>392</c:v>
                </c:pt>
                <c:pt idx="391">
                  <c:v>393</c:v>
                </c:pt>
                <c:pt idx="392">
                  <c:v>394</c:v>
                </c:pt>
                <c:pt idx="393">
                  <c:v>395</c:v>
                </c:pt>
                <c:pt idx="394">
                  <c:v>396</c:v>
                </c:pt>
                <c:pt idx="395">
                  <c:v>397</c:v>
                </c:pt>
                <c:pt idx="396">
                  <c:v>398</c:v>
                </c:pt>
                <c:pt idx="397">
                  <c:v>399</c:v>
                </c:pt>
                <c:pt idx="398">
                  <c:v>400</c:v>
                </c:pt>
                <c:pt idx="399">
                  <c:v>401</c:v>
                </c:pt>
                <c:pt idx="400">
                  <c:v>402</c:v>
                </c:pt>
                <c:pt idx="401">
                  <c:v>403</c:v>
                </c:pt>
                <c:pt idx="402">
                  <c:v>404</c:v>
                </c:pt>
                <c:pt idx="403">
                  <c:v>405</c:v>
                </c:pt>
                <c:pt idx="404">
                  <c:v>406</c:v>
                </c:pt>
                <c:pt idx="405">
                  <c:v>407</c:v>
                </c:pt>
                <c:pt idx="406">
                  <c:v>408</c:v>
                </c:pt>
                <c:pt idx="407">
                  <c:v>409</c:v>
                </c:pt>
                <c:pt idx="408">
                  <c:v>410</c:v>
                </c:pt>
                <c:pt idx="409">
                  <c:v>411</c:v>
                </c:pt>
                <c:pt idx="410">
                  <c:v>412</c:v>
                </c:pt>
                <c:pt idx="411">
                  <c:v>413</c:v>
                </c:pt>
                <c:pt idx="412">
                  <c:v>414</c:v>
                </c:pt>
                <c:pt idx="413">
                  <c:v>415</c:v>
                </c:pt>
                <c:pt idx="414">
                  <c:v>416</c:v>
                </c:pt>
                <c:pt idx="415">
                  <c:v>417</c:v>
                </c:pt>
                <c:pt idx="416">
                  <c:v>418</c:v>
                </c:pt>
                <c:pt idx="417">
                  <c:v>419</c:v>
                </c:pt>
                <c:pt idx="418">
                  <c:v>420</c:v>
                </c:pt>
                <c:pt idx="419">
                  <c:v>421</c:v>
                </c:pt>
                <c:pt idx="420">
                  <c:v>422</c:v>
                </c:pt>
                <c:pt idx="421">
                  <c:v>423</c:v>
                </c:pt>
                <c:pt idx="422">
                  <c:v>424</c:v>
                </c:pt>
                <c:pt idx="423">
                  <c:v>425</c:v>
                </c:pt>
                <c:pt idx="424">
                  <c:v>426</c:v>
                </c:pt>
                <c:pt idx="425">
                  <c:v>427</c:v>
                </c:pt>
                <c:pt idx="426">
                  <c:v>428</c:v>
                </c:pt>
                <c:pt idx="427">
                  <c:v>429</c:v>
                </c:pt>
                <c:pt idx="428">
                  <c:v>430</c:v>
                </c:pt>
                <c:pt idx="429">
                  <c:v>431</c:v>
                </c:pt>
                <c:pt idx="430">
                  <c:v>432</c:v>
                </c:pt>
                <c:pt idx="431">
                  <c:v>433</c:v>
                </c:pt>
                <c:pt idx="432">
                  <c:v>434</c:v>
                </c:pt>
                <c:pt idx="433">
                  <c:v>435</c:v>
                </c:pt>
                <c:pt idx="434">
                  <c:v>436</c:v>
                </c:pt>
                <c:pt idx="435">
                  <c:v>437</c:v>
                </c:pt>
                <c:pt idx="436">
                  <c:v>438</c:v>
                </c:pt>
                <c:pt idx="437">
                  <c:v>439</c:v>
                </c:pt>
                <c:pt idx="438">
                  <c:v>440</c:v>
                </c:pt>
                <c:pt idx="439">
                  <c:v>441</c:v>
                </c:pt>
                <c:pt idx="440">
                  <c:v>442</c:v>
                </c:pt>
                <c:pt idx="441">
                  <c:v>443</c:v>
                </c:pt>
                <c:pt idx="442">
                  <c:v>444</c:v>
                </c:pt>
                <c:pt idx="443">
                  <c:v>445</c:v>
                </c:pt>
                <c:pt idx="444">
                  <c:v>446</c:v>
                </c:pt>
                <c:pt idx="445">
                  <c:v>447</c:v>
                </c:pt>
                <c:pt idx="446">
                  <c:v>448</c:v>
                </c:pt>
                <c:pt idx="447">
                  <c:v>449</c:v>
                </c:pt>
                <c:pt idx="448">
                  <c:v>450</c:v>
                </c:pt>
                <c:pt idx="449">
                  <c:v>451</c:v>
                </c:pt>
                <c:pt idx="450">
                  <c:v>452</c:v>
                </c:pt>
                <c:pt idx="451">
                  <c:v>453</c:v>
                </c:pt>
                <c:pt idx="452">
                  <c:v>454</c:v>
                </c:pt>
                <c:pt idx="453">
                  <c:v>455</c:v>
                </c:pt>
                <c:pt idx="454">
                  <c:v>456</c:v>
                </c:pt>
                <c:pt idx="455">
                  <c:v>457</c:v>
                </c:pt>
                <c:pt idx="456">
                  <c:v>458</c:v>
                </c:pt>
                <c:pt idx="457">
                  <c:v>459</c:v>
                </c:pt>
                <c:pt idx="458">
                  <c:v>460</c:v>
                </c:pt>
                <c:pt idx="459">
                  <c:v>461</c:v>
                </c:pt>
                <c:pt idx="460">
                  <c:v>462</c:v>
                </c:pt>
                <c:pt idx="461">
                  <c:v>463</c:v>
                </c:pt>
                <c:pt idx="462">
                  <c:v>464</c:v>
                </c:pt>
                <c:pt idx="463">
                  <c:v>465</c:v>
                </c:pt>
                <c:pt idx="464">
                  <c:v>466</c:v>
                </c:pt>
                <c:pt idx="465">
                  <c:v>467</c:v>
                </c:pt>
                <c:pt idx="466">
                  <c:v>468</c:v>
                </c:pt>
                <c:pt idx="467">
                  <c:v>469</c:v>
                </c:pt>
                <c:pt idx="468">
                  <c:v>470</c:v>
                </c:pt>
                <c:pt idx="469">
                  <c:v>471</c:v>
                </c:pt>
                <c:pt idx="470">
                  <c:v>472</c:v>
                </c:pt>
                <c:pt idx="471">
                  <c:v>473</c:v>
                </c:pt>
                <c:pt idx="472">
                  <c:v>474</c:v>
                </c:pt>
                <c:pt idx="473">
                  <c:v>475</c:v>
                </c:pt>
                <c:pt idx="474">
                  <c:v>476</c:v>
                </c:pt>
                <c:pt idx="475">
                  <c:v>477</c:v>
                </c:pt>
                <c:pt idx="476">
                  <c:v>478</c:v>
                </c:pt>
                <c:pt idx="477">
                  <c:v>479</c:v>
                </c:pt>
                <c:pt idx="478">
                  <c:v>480</c:v>
                </c:pt>
                <c:pt idx="479">
                  <c:v>481</c:v>
                </c:pt>
                <c:pt idx="480">
                  <c:v>482</c:v>
                </c:pt>
                <c:pt idx="481">
                  <c:v>483</c:v>
                </c:pt>
                <c:pt idx="482">
                  <c:v>484</c:v>
                </c:pt>
                <c:pt idx="483">
                  <c:v>485</c:v>
                </c:pt>
                <c:pt idx="484">
                  <c:v>486</c:v>
                </c:pt>
                <c:pt idx="485">
                  <c:v>487</c:v>
                </c:pt>
                <c:pt idx="486">
                  <c:v>488</c:v>
                </c:pt>
                <c:pt idx="487">
                  <c:v>489</c:v>
                </c:pt>
                <c:pt idx="488">
                  <c:v>490</c:v>
                </c:pt>
                <c:pt idx="489">
                  <c:v>491</c:v>
                </c:pt>
                <c:pt idx="490">
                  <c:v>492</c:v>
                </c:pt>
                <c:pt idx="491">
                  <c:v>493</c:v>
                </c:pt>
                <c:pt idx="492">
                  <c:v>494</c:v>
                </c:pt>
                <c:pt idx="493">
                  <c:v>495</c:v>
                </c:pt>
                <c:pt idx="494">
                  <c:v>496</c:v>
                </c:pt>
                <c:pt idx="495">
                  <c:v>497</c:v>
                </c:pt>
                <c:pt idx="496">
                  <c:v>498</c:v>
                </c:pt>
                <c:pt idx="497">
                  <c:v>499</c:v>
                </c:pt>
                <c:pt idx="498">
                  <c:v>500</c:v>
                </c:pt>
                <c:pt idx="499">
                  <c:v>501</c:v>
                </c:pt>
                <c:pt idx="500">
                  <c:v>502</c:v>
                </c:pt>
                <c:pt idx="501">
                  <c:v>503</c:v>
                </c:pt>
                <c:pt idx="502">
                  <c:v>504</c:v>
                </c:pt>
                <c:pt idx="503">
                  <c:v>505</c:v>
                </c:pt>
                <c:pt idx="504">
                  <c:v>506</c:v>
                </c:pt>
                <c:pt idx="505">
                  <c:v>507</c:v>
                </c:pt>
                <c:pt idx="506">
                  <c:v>508</c:v>
                </c:pt>
                <c:pt idx="507">
                  <c:v>509</c:v>
                </c:pt>
                <c:pt idx="508">
                  <c:v>510</c:v>
                </c:pt>
                <c:pt idx="509">
                  <c:v>511</c:v>
                </c:pt>
                <c:pt idx="510">
                  <c:v>512</c:v>
                </c:pt>
                <c:pt idx="511">
                  <c:v>513</c:v>
                </c:pt>
                <c:pt idx="512">
                  <c:v>514</c:v>
                </c:pt>
                <c:pt idx="513">
                  <c:v>515</c:v>
                </c:pt>
                <c:pt idx="514">
                  <c:v>516</c:v>
                </c:pt>
                <c:pt idx="515">
                  <c:v>517</c:v>
                </c:pt>
                <c:pt idx="516">
                  <c:v>518</c:v>
                </c:pt>
                <c:pt idx="517">
                  <c:v>519</c:v>
                </c:pt>
                <c:pt idx="518">
                  <c:v>520</c:v>
                </c:pt>
                <c:pt idx="519">
                  <c:v>521</c:v>
                </c:pt>
                <c:pt idx="520">
                  <c:v>522</c:v>
                </c:pt>
                <c:pt idx="521">
                  <c:v>523</c:v>
                </c:pt>
                <c:pt idx="522">
                  <c:v>524</c:v>
                </c:pt>
                <c:pt idx="523">
                  <c:v>525</c:v>
                </c:pt>
                <c:pt idx="524">
                  <c:v>526</c:v>
                </c:pt>
                <c:pt idx="525">
                  <c:v>527</c:v>
                </c:pt>
                <c:pt idx="526">
                  <c:v>528</c:v>
                </c:pt>
                <c:pt idx="527">
                  <c:v>529</c:v>
                </c:pt>
                <c:pt idx="528">
                  <c:v>530</c:v>
                </c:pt>
                <c:pt idx="529">
                  <c:v>531</c:v>
                </c:pt>
                <c:pt idx="530">
                  <c:v>532</c:v>
                </c:pt>
                <c:pt idx="531">
                  <c:v>533</c:v>
                </c:pt>
                <c:pt idx="532">
                  <c:v>534</c:v>
                </c:pt>
                <c:pt idx="533">
                  <c:v>535</c:v>
                </c:pt>
                <c:pt idx="534">
                  <c:v>536</c:v>
                </c:pt>
                <c:pt idx="535">
                  <c:v>537</c:v>
                </c:pt>
              </c:numCache>
            </c:numRef>
          </c:cat>
          <c:val>
            <c:numRef>
              <c:f>'Hyper-sphere'!$O$5:$O$344</c:f>
              <c:numCache>
                <c:formatCode>0.0%</c:formatCode>
                <c:ptCount val="340"/>
                <c:pt idx="0">
                  <c:v>1.9703950593079157E-2</c:v>
                </c:pt>
                <c:pt idx="1">
                  <c:v>2.9409852072355584E-2</c:v>
                </c:pt>
                <c:pt idx="2">
                  <c:v>3.9019655517183699E-2</c:v>
                </c:pt>
                <c:pt idx="3">
                  <c:v>4.8534312393251115E-2</c:v>
                </c:pt>
                <c:pt idx="4">
                  <c:v>5.7954764745793308E-2</c:v>
                </c:pt>
                <c:pt idx="5">
                  <c:v>6.7281945292864645E-2</c:v>
                </c:pt>
                <c:pt idx="6">
                  <c:v>7.6516777517687762E-2</c:v>
                </c:pt>
                <c:pt idx="7">
                  <c:v>8.5660175760087012E-2</c:v>
                </c:pt>
                <c:pt idx="8">
                  <c:v>9.4713045307017088E-2</c:v>
                </c:pt>
                <c:pt idx="9" formatCode="0%">
                  <c:v>0.10367628248219471</c:v>
                </c:pt>
                <c:pt idx="10" formatCode="0%">
                  <c:v>0.11255077473484637</c:v>
                </c:pt>
                <c:pt idx="11" formatCode="0%">
                  <c:v>0.12133740072757052</c:v>
                </c:pt>
                <c:pt idx="12" formatCode="0%">
                  <c:v>0.13003703042333747</c:v>
                </c:pt>
                <c:pt idx="13" formatCode="0%">
                  <c:v>0.13865052517162096</c:v>
                </c:pt>
                <c:pt idx="14" formatCode="0%">
                  <c:v>0.14717873779368451</c:v>
                </c:pt>
                <c:pt idx="15" formatCode="0%">
                  <c:v>0.15562251266701427</c:v>
                </c:pt>
                <c:pt idx="16" formatCode="0%">
                  <c:v>0.16398268580892505</c:v>
                </c:pt>
                <c:pt idx="17" formatCode="0%">
                  <c:v>0.17226008495933151</c:v>
                </c:pt>
                <c:pt idx="18" formatCode="0%">
                  <c:v>0.18045552966270439</c:v>
                </c:pt>
                <c:pt idx="19" formatCode="0%">
                  <c:v>0.18856983134921229</c:v>
                </c:pt>
                <c:pt idx="20" formatCode="0%">
                  <c:v>0.19660379341506187</c:v>
                </c:pt>
                <c:pt idx="21" formatCode="0%">
                  <c:v>0.20455821130204141</c:v>
                </c:pt>
                <c:pt idx="22" formatCode="0%">
                  <c:v>0.21243387257627883</c:v>
                </c:pt>
                <c:pt idx="23" formatCode="0%">
                  <c:v>0.2202315570062168</c:v>
                </c:pt>
                <c:pt idx="24" formatCode="0%">
                  <c:v>0.22795203663981858</c:v>
                </c:pt>
                <c:pt idx="25" formatCode="0%">
                  <c:v>0.23559607588100828</c:v>
                </c:pt>
                <c:pt idx="26" formatCode="0%">
                  <c:v>0.24316443156535467</c:v>
                </c:pt>
                <c:pt idx="27" formatCode="0%">
                  <c:v>0.25065785303500465</c:v>
                </c:pt>
                <c:pt idx="28" formatCode="0%">
                  <c:v>0.25807708221287612</c:v>
                </c:pt>
                <c:pt idx="29" formatCode="0%">
                  <c:v>0.26542285367611473</c:v>
                </c:pt>
                <c:pt idx="30" formatCode="0%">
                  <c:v>0.27269589472882655</c:v>
                </c:pt>
                <c:pt idx="31" formatCode="0%">
                  <c:v>0.27989692547408573</c:v>
                </c:pt>
                <c:pt idx="32" formatCode="0%">
                  <c:v>0.28702665888523349</c:v>
                </c:pt>
                <c:pt idx="33" formatCode="0%">
                  <c:v>0.29408580087646863</c:v>
                </c:pt>
                <c:pt idx="34" formatCode="0%">
                  <c:v>0.30107505037274118</c:v>
                </c:pt>
                <c:pt idx="35" formatCode="0%">
                  <c:v>0.3079950993789517</c:v>
                </c:pt>
                <c:pt idx="36" formatCode="0%">
                  <c:v>0.31484663304846722</c:v>
                </c:pt>
                <c:pt idx="37" formatCode="0%">
                  <c:v>0.3216303297509574</c:v>
                </c:pt>
                <c:pt idx="38" formatCode="0%">
                  <c:v>0.32834686113956191</c:v>
                </c:pt>
                <c:pt idx="39" formatCode="0%">
                  <c:v>0.33499689221738799</c:v>
                </c:pt>
                <c:pt idx="40" formatCode="0%">
                  <c:v>0.34158108140335469</c:v>
                </c:pt>
                <c:pt idx="41" formatCode="0%">
                  <c:v>0.34810008059738068</c:v>
                </c:pt>
                <c:pt idx="42" formatCode="0%">
                  <c:v>0.35455453524493136</c:v>
                </c:pt>
                <c:pt idx="43" formatCode="0%">
                  <c:v>0.36094508440092227</c:v>
                </c:pt>
                <c:pt idx="44" formatCode="0%">
                  <c:v>0.36727236079299225</c:v>
                </c:pt>
                <c:pt idx="45" formatCode="0%">
                  <c:v>0.37353699088415054</c:v>
                </c:pt>
                <c:pt idx="46" formatCode="0%">
                  <c:v>0.37973959493480286</c:v>
                </c:pt>
                <c:pt idx="47" formatCode="0%">
                  <c:v>0.38588078706416123</c:v>
                </c:pt>
                <c:pt idx="48" formatCode="0%">
                  <c:v>0.39196117531105074</c:v>
                </c:pt>
                <c:pt idx="49" formatCode="0%">
                  <c:v>0.39798136169410953</c:v>
                </c:pt>
                <c:pt idx="50" formatCode="0%">
                  <c:v>0.40394194227139557</c:v>
                </c:pt>
                <c:pt idx="51" formatCode="0%">
                  <c:v>0.4098435071994016</c:v>
                </c:pt>
                <c:pt idx="52" formatCode="0%">
                  <c:v>0.41568664079148687</c:v>
                </c:pt>
                <c:pt idx="53" formatCode="0%">
                  <c:v>0.42147192157572944</c:v>
                </c:pt>
                <c:pt idx="54" formatCode="0%">
                  <c:v>0.42719992235220755</c:v>
                </c:pt>
                <c:pt idx="55" formatCode="0%">
                  <c:v>0.43287121024971043</c:v>
                </c:pt>
                <c:pt idx="56" formatCode="0%">
                  <c:v>0.43848634678189158</c:v>
                </c:pt>
                <c:pt idx="57" formatCode="0%">
                  <c:v>0.4440458879028627</c:v>
                </c:pt>
                <c:pt idx="58" formatCode="0%">
                  <c:v>0.44955038406224029</c:v>
                </c:pt>
                <c:pt idx="59" formatCode="0%">
                  <c:v>0.4550003802596439</c:v>
                </c:pt>
                <c:pt idx="60" formatCode="0%">
                  <c:v>0.46039641609865756</c:v>
                </c:pt>
                <c:pt idx="61" formatCode="0%">
                  <c:v>0.46573902584025478</c:v>
                </c:pt>
                <c:pt idx="62" formatCode="0%">
                  <c:v>0.47102873845569798</c:v>
                </c:pt>
                <c:pt idx="63" formatCode="0%">
                  <c:v>0.47626607767890877</c:v>
                </c:pt>
                <c:pt idx="64" formatCode="0%">
                  <c:v>0.48145156205832557</c:v>
                </c:pt>
                <c:pt idx="65" formatCode="0%">
                  <c:v>0.48658570500824305</c:v>
                </c:pt>
                <c:pt idx="66" formatCode="0%">
                  <c:v>0.49166901485964665</c:v>
                </c:pt>
                <c:pt idx="67" formatCode="0%">
                  <c:v>0.49670199491054123</c:v>
                </c:pt>
                <c:pt idx="68" formatCode="0%">
                  <c:v>0.50168514347578341</c:v>
                </c:pt>
                <c:pt idx="69" formatCode="0%">
                  <c:v>0.50661895393641909</c:v>
                </c:pt>
                <c:pt idx="70" formatCode="0%">
                  <c:v>0.51150391478853396</c:v>
                </c:pt>
                <c:pt idx="71" formatCode="0%">
                  <c:v>0.51634050969161782</c:v>
                </c:pt>
                <c:pt idx="72" formatCode="0%">
                  <c:v>0.52112921751645325</c:v>
                </c:pt>
                <c:pt idx="73" formatCode="0%">
                  <c:v>0.52587051239252791</c:v>
                </c:pt>
                <c:pt idx="74" formatCode="0%">
                  <c:v>0.53056486375497802</c:v>
                </c:pt>
                <c:pt idx="75" formatCode="0%">
                  <c:v>0.53521273639106748</c:v>
                </c:pt>
                <c:pt idx="76" formatCode="0%">
                  <c:v>0.5398145904862055</c:v>
                </c:pt>
                <c:pt idx="77" formatCode="0%">
                  <c:v>0.5443708816695102</c:v>
                </c:pt>
                <c:pt idx="78" formatCode="0%">
                  <c:v>0.54888206105892112</c:v>
                </c:pt>
                <c:pt idx="79" formatCode="0%">
                  <c:v>0.55334857530586257</c:v>
                </c:pt>
                <c:pt idx="80" formatCode="0%">
                  <c:v>0.55777086663946795</c:v>
                </c:pt>
                <c:pt idx="81" formatCode="0%">
                  <c:v>0.56214937291036415</c:v>
                </c:pt>
                <c:pt idx="82" formatCode="0%">
                  <c:v>0.56648452763402402</c:v>
                </c:pt>
                <c:pt idx="83" formatCode="0%">
                  <c:v>0.57077676003368694</c:v>
                </c:pt>
                <c:pt idx="84" formatCode="0%">
                  <c:v>0.57502649508285852</c:v>
                </c:pt>
                <c:pt idx="85" formatCode="0%">
                  <c:v>0.57923415354738461</c:v>
                </c:pt>
                <c:pt idx="86" formatCode="0%">
                  <c:v>0.58340015202711348</c:v>
                </c:pt>
                <c:pt idx="87" formatCode="0%">
                  <c:v>0.58752490299714222</c:v>
                </c:pt>
                <c:pt idx="88" formatCode="0%">
                  <c:v>0.59160881484865568</c:v>
                </c:pt>
                <c:pt idx="89" formatCode="0%">
                  <c:v>0.59565229192936198</c:v>
                </c:pt>
                <c:pt idx="90" formatCode="0%">
                  <c:v>0.59965573458352661</c:v>
                </c:pt>
                <c:pt idx="91" formatCode="0%">
                  <c:v>0.6036195391916106</c:v>
                </c:pt>
                <c:pt idx="92" formatCode="0%">
                  <c:v>0.60754409820951549</c:v>
                </c:pt>
                <c:pt idx="93" formatCode="0%">
                  <c:v>0.61142980020744098</c:v>
                </c:pt>
                <c:pt idx="94" formatCode="0%">
                  <c:v>0.61527702990835753</c:v>
                </c:pt>
                <c:pt idx="95" formatCode="0%">
                  <c:v>0.61908616822609652</c:v>
                </c:pt>
                <c:pt idx="96" formatCode="0%">
                  <c:v>0.62285759230306592</c:v>
                </c:pt>
                <c:pt idx="97" formatCode="0%">
                  <c:v>0.62659167554758988</c:v>
                </c:pt>
                <c:pt idx="98" formatCode="0%">
                  <c:v>0.63028878767088115</c:v>
                </c:pt>
                <c:pt idx="99" formatCode="0%">
                  <c:v>0.6339492947236447</c:v>
                </c:pt>
                <c:pt idx="100" formatCode="0%">
                  <c:v>0.6375735591323215</c:v>
                </c:pt>
                <c:pt idx="101" formatCode="0%">
                  <c:v>0.6411619397349716</c:v>
                </c:pt>
                <c:pt idx="102" formatCode="0%">
                  <c:v>0.64471479181680369</c:v>
                </c:pt>
                <c:pt idx="103" formatCode="0%">
                  <c:v>0.64823246714535032</c:v>
                </c:pt>
                <c:pt idx="104" formatCode="0%">
                  <c:v>0.65171531400529736</c:v>
                </c:pt>
                <c:pt idx="105" formatCode="0%">
                  <c:v>0.65516367723296765</c:v>
                </c:pt>
                <c:pt idx="106" formatCode="0%">
                  <c:v>0.65857789825046287</c:v>
                </c:pt>
                <c:pt idx="107" formatCode="0%">
                  <c:v>0.66195831509946823</c:v>
                </c:pt>
                <c:pt idx="108" formatCode="0%">
                  <c:v>0.66530526247472122</c:v>
                </c:pt>
                <c:pt idx="109" formatCode="0%">
                  <c:v>0.66861907175714952</c:v>
                </c:pt>
                <c:pt idx="110" formatCode="0%">
                  <c:v>0.67190007104668281</c:v>
                </c:pt>
                <c:pt idx="111" formatCode="0%">
                  <c:v>0.67514858519473553</c:v>
                </c:pt>
                <c:pt idx="112" formatCode="0%">
                  <c:v>0.67836493583637181</c:v>
                </c:pt>
                <c:pt idx="113" formatCode="0%">
                  <c:v>0.68154944142215024</c:v>
                </c:pt>
                <c:pt idx="114" formatCode="0%">
                  <c:v>0.68470241724965375</c:v>
                </c:pt>
                <c:pt idx="115" formatCode="0%">
                  <c:v>0.68782417549470665</c:v>
                </c:pt>
                <c:pt idx="116" formatCode="0%">
                  <c:v>0.69091502524228376</c:v>
                </c:pt>
                <c:pt idx="117" formatCode="0%">
                  <c:v>0.69397527251711255</c:v>
                </c:pt>
                <c:pt idx="118" formatCode="0%">
                  <c:v>0.69700522031397283</c:v>
                </c:pt>
                <c:pt idx="119" formatCode="0%">
                  <c:v>0.70000516862769602</c:v>
                </c:pt>
                <c:pt idx="120" formatCode="0%">
                  <c:v>0.70297541448286727</c:v>
                </c:pt>
                <c:pt idx="121" formatCode="0%">
                  <c:v>0.70591625196323504</c:v>
                </c:pt>
                <c:pt idx="122" formatCode="0%">
                  <c:v>0.70882797224082672</c:v>
                </c:pt>
                <c:pt idx="123" formatCode="0%">
                  <c:v>0.71171086360477887</c:v>
                </c:pt>
                <c:pt idx="124" formatCode="0%">
                  <c:v>0.71456521148988006</c:v>
                </c:pt>
                <c:pt idx="125" formatCode="0%">
                  <c:v>0.71739129850483174</c:v>
                </c:pt>
                <c:pt idx="126" formatCode="0%">
                  <c:v>0.72018940446022961</c:v>
                </c:pt>
                <c:pt idx="127" formatCode="0%">
                  <c:v>0.72295980639626689</c:v>
                </c:pt>
                <c:pt idx="128" formatCode="0%">
                  <c:v>0.7257027786101653</c:v>
                </c:pt>
                <c:pt idx="129" formatCode="0%">
                  <c:v>0.72841859268333187</c:v>
                </c:pt>
                <c:pt idx="130" formatCode="0%">
                  <c:v>0.73110751750824932</c:v>
                </c:pt>
                <c:pt idx="131" formatCode="0%">
                  <c:v>0.73376981931509833</c:v>
                </c:pt>
                <c:pt idx="132" formatCode="0%">
                  <c:v>0.73640576169811722</c:v>
                </c:pt>
                <c:pt idx="133" formatCode="0%">
                  <c:v>0.73901560564170021</c:v>
                </c:pt>
                <c:pt idx="134" formatCode="0%">
                  <c:v>0.74159960954623783</c:v>
                </c:pt>
                <c:pt idx="135" formatCode="0%">
                  <c:v>0.74415802925370089</c:v>
                </c:pt>
                <c:pt idx="136" formatCode="0%">
                  <c:v>0.74669111807297117</c:v>
                </c:pt>
                <c:pt idx="137" formatCode="0%">
                  <c:v>0.74919912680492184</c:v>
                </c:pt>
                <c:pt idx="138" formatCode="0%">
                  <c:v>0.75168230376724943</c:v>
                </c:pt>
                <c:pt idx="139" formatCode="0%">
                  <c:v>0.75414089481905888</c:v>
                </c:pt>
                <c:pt idx="140" formatCode="0%">
                  <c:v>0.75657514338520682</c:v>
                </c:pt>
                <c:pt idx="141" formatCode="0%">
                  <c:v>0.75898529048040264</c:v>
                </c:pt>
                <c:pt idx="142" formatCode="0%">
                  <c:v>0.76137157473307204</c:v>
                </c:pt>
                <c:pt idx="143" formatCode="0%">
                  <c:v>0.76373423240898231</c:v>
                </c:pt>
                <c:pt idx="144" formatCode="0%">
                  <c:v>0.76607349743463593</c:v>
                </c:pt>
                <c:pt idx="145" formatCode="0%">
                  <c:v>0.76838960142043156</c:v>
                </c:pt>
                <c:pt idx="146" formatCode="0%">
                  <c:v>0.77068277368359561</c:v>
                </c:pt>
                <c:pt idx="147" formatCode="0%">
                  <c:v>0.77295324127088672</c:v>
                </c:pt>
                <c:pt idx="148" formatCode="0%">
                  <c:v>0.77520122898107602</c:v>
                </c:pt>
                <c:pt idx="149" formatCode="0%">
                  <c:v>0.77742695938720396</c:v>
                </c:pt>
                <c:pt idx="150" formatCode="0%">
                  <c:v>0.77963065285861777</c:v>
                </c:pt>
                <c:pt idx="151" formatCode="0%">
                  <c:v>0.78181252758278996</c:v>
                </c:pt>
                <c:pt idx="152" formatCode="0%">
                  <c:v>0.78397279958692079</c:v>
                </c:pt>
                <c:pt idx="153" formatCode="0%">
                  <c:v>0.7861116827593273</c:v>
                </c:pt>
                <c:pt idx="154" formatCode="0%">
                  <c:v>0.78822938887062122</c:v>
                </c:pt>
                <c:pt idx="155" formatCode="0%">
                  <c:v>0.79032612759467447</c:v>
                </c:pt>
                <c:pt idx="156" formatCode="0%">
                  <c:v>0.7924021065293807</c:v>
                </c:pt>
                <c:pt idx="157" formatCode="0%">
                  <c:v>0.79445753121720852</c:v>
                </c:pt>
                <c:pt idx="158" formatCode="0%">
                  <c:v>0.79649260516555298</c:v>
                </c:pt>
                <c:pt idx="159" formatCode="0%">
                  <c:v>0.79850752986688422</c:v>
                </c:pt>
                <c:pt idx="160" formatCode="0%">
                  <c:v>0.80050250481869722</c:v>
                </c:pt>
                <c:pt idx="161" formatCode="0%">
                  <c:v>0.80247772754326452</c:v>
                </c:pt>
                <c:pt idx="162" formatCode="0%">
                  <c:v>0.80443339360719268</c:v>
                </c:pt>
                <c:pt idx="163" formatCode="0%">
                  <c:v>0.80636969664078484</c:v>
                </c:pt>
                <c:pt idx="164" formatCode="0%">
                  <c:v>0.80828682835721277</c:v>
                </c:pt>
                <c:pt idx="165" formatCode="0%">
                  <c:v>0.81018497857149774</c:v>
                </c:pt>
                <c:pt idx="166" formatCode="0%">
                  <c:v>0.81206433521930466</c:v>
                </c:pt>
                <c:pt idx="167" formatCode="0%">
                  <c:v>0.81392508437554922</c:v>
                </c:pt>
                <c:pt idx="168" formatCode="0%">
                  <c:v>0.81576741027282107</c:v>
                </c:pt>
                <c:pt idx="169" formatCode="0%">
                  <c:v>0.81759149531962483</c:v>
                </c:pt>
                <c:pt idx="170" formatCode="0%">
                  <c:v>0.81939752011844025</c:v>
                </c:pt>
                <c:pt idx="171" formatCode="0%">
                  <c:v>0.82118566348360422</c:v>
                </c:pt>
                <c:pt idx="172" formatCode="0%">
                  <c:v>0.82295610245901418</c:v>
                </c:pt>
                <c:pt idx="173" formatCode="0%">
                  <c:v>0.82470901233565752</c:v>
                </c:pt>
                <c:pt idx="174" formatCode="0%">
                  <c:v>0.82644456666896804</c:v>
                </c:pt>
                <c:pt idx="175" formatCode="0%">
                  <c:v>0.82816293729600776</c:v>
                </c:pt>
                <c:pt idx="176" formatCode="0%">
                  <c:v>0.82986429435248299</c:v>
                </c:pt>
                <c:pt idx="177" formatCode="0%">
                  <c:v>0.83154880628958716</c:v>
                </c:pt>
                <c:pt idx="178" formatCode="0%">
                  <c:v>0.8332166398906804</c:v>
                </c:pt>
                <c:pt idx="179" formatCode="0%">
                  <c:v>0.8348679602878023</c:v>
                </c:pt>
                <c:pt idx="180" formatCode="0%">
                  <c:v>0.8365029309780222</c:v>
                </c:pt>
                <c:pt idx="181" formatCode="0%">
                  <c:v>0.83812171383962575</c:v>
                </c:pt>
                <c:pt idx="182" formatCode="0%">
                  <c:v>0.83972446914814447</c:v>
                </c:pt>
                <c:pt idx="183" formatCode="0%">
                  <c:v>0.84131135559222214</c:v>
                </c:pt>
                <c:pt idx="184" formatCode="0%">
                  <c:v>0.84288253028932891</c:v>
                </c:pt>
                <c:pt idx="185" formatCode="0%">
                  <c:v>0.84443814880131585</c:v>
                </c:pt>
                <c:pt idx="186" formatCode="0%">
                  <c:v>0.8459783651498175</c:v>
                </c:pt>
                <c:pt idx="187" formatCode="0%">
                  <c:v>0.8475033318315025</c:v>
                </c:pt>
                <c:pt idx="188" formatCode="0%">
                  <c:v>0.84901319983317081</c:v>
                </c:pt>
                <c:pt idx="189" formatCode="0%">
                  <c:v>0.85050811864670373</c:v>
                </c:pt>
                <c:pt idx="190" formatCode="0%">
                  <c:v>0.85198823628386522</c:v>
                </c:pt>
                <c:pt idx="191" formatCode="0%">
                  <c:v>0.8534536992909556</c:v>
                </c:pt>
                <c:pt idx="192" formatCode="0%">
                  <c:v>0.85490465276332239</c:v>
                </c:pt>
                <c:pt idx="193" formatCode="0%">
                  <c:v>0.85634124035972514</c:v>
                </c:pt>
                <c:pt idx="194" formatCode="0%">
                  <c:v>0.85776360431655951</c:v>
                </c:pt>
                <c:pt idx="195" formatCode="0%">
                  <c:v>0.85917188546194012</c:v>
                </c:pt>
                <c:pt idx="196" formatCode="0%">
                  <c:v>0.86056622322964371</c:v>
                </c:pt>
                <c:pt idx="197" formatCode="0%">
                  <c:v>0.86194675567291457</c:v>
                </c:pt>
                <c:pt idx="198" formatCode="0%">
                  <c:v>0.86331361947813323</c:v>
                </c:pt>
                <c:pt idx="199" formatCode="0%">
                  <c:v>0.8646669499783497</c:v>
                </c:pt>
                <c:pt idx="200" formatCode="0%">
                  <c:v>0.8660068811666829</c:v>
                </c:pt>
                <c:pt idx="201" formatCode="0%">
                  <c:v>0.86733354570958698</c:v>
                </c:pt>
                <c:pt idx="202" formatCode="0%">
                  <c:v>0.86864707495998716</c:v>
                </c:pt>
                <c:pt idx="203" formatCode="0%">
                  <c:v>0.86994759897028429</c:v>
                </c:pt>
                <c:pt idx="204" formatCode="0%">
                  <c:v>0.87123524650523199</c:v>
                </c:pt>
                <c:pt idx="205" formatCode="0%">
                  <c:v>0.87251014505468505</c:v>
                </c:pt>
                <c:pt idx="206" formatCode="0%">
                  <c:v>0.87377242084622297</c:v>
                </c:pt>
                <c:pt idx="207" formatCode="0%">
                  <c:v>0.87502219885764643</c:v>
                </c:pt>
                <c:pt idx="208" formatCode="0%">
                  <c:v>0.87625960282935289</c:v>
                </c:pt>
                <c:pt idx="209" formatCode="0%">
                  <c:v>0.87748475527658698</c:v>
                </c:pt>
                <c:pt idx="210" formatCode="0%">
                  <c:v>0.87869777750157141</c:v>
                </c:pt>
                <c:pt idx="211" formatCode="0%">
                  <c:v>0.87989878960551615</c:v>
                </c:pt>
                <c:pt idx="212" formatCode="0%">
                  <c:v>0.88108791050051105</c:v>
                </c:pt>
                <c:pt idx="213" formatCode="0%">
                  <c:v>0.88226525792129817</c:v>
                </c:pt>
                <c:pt idx="214" formatCode="0%">
                  <c:v>0.88343094843692882</c:v>
                </c:pt>
                <c:pt idx="215" formatCode="0%">
                  <c:v>0.88458509746230574</c:v>
                </c:pt>
                <c:pt idx="216" formatCode="0%">
                  <c:v>0.88572781926960964</c:v>
                </c:pt>
                <c:pt idx="217" formatCode="0%">
                  <c:v>0.8868592269996135</c:v>
                </c:pt>
                <c:pt idx="218" formatCode="0%">
                  <c:v>0.88797943267288471</c:v>
                </c:pt>
                <c:pt idx="219" formatCode="0%">
                  <c:v>0.88908854720087593</c:v>
                </c:pt>
                <c:pt idx="220" formatCode="0%">
                  <c:v>0.89018668039690685</c:v>
                </c:pt>
                <c:pt idx="221" formatCode="0%">
                  <c:v>0.89127394098703638</c:v>
                </c:pt>
                <c:pt idx="222" formatCode="0%">
                  <c:v>0.89235043662082825</c:v>
                </c:pt>
                <c:pt idx="223" formatCode="0%">
                  <c:v>0.89341627388200806</c:v>
                </c:pt>
                <c:pt idx="224" formatCode="0%">
                  <c:v>0.89447155829901792</c:v>
                </c:pt>
                <c:pt idx="225" formatCode="0%">
                  <c:v>0.89551639435546326</c:v>
                </c:pt>
                <c:pt idx="226" formatCode="0%">
                  <c:v>0.89655088550045869</c:v>
                </c:pt>
                <c:pt idx="227" formatCode="0%">
                  <c:v>0.89757513415887002</c:v>
                </c:pt>
                <c:pt idx="228" formatCode="0%">
                  <c:v>0.89858924174145549</c:v>
                </c:pt>
                <c:pt idx="229" formatCode="0%">
                  <c:v>0.89959330865490639</c:v>
                </c:pt>
                <c:pt idx="230" formatCode="0%">
                  <c:v>0.90058743431178856</c:v>
                </c:pt>
                <c:pt idx="231" formatCode="0%">
                  <c:v>0.90157171714038464</c:v>
                </c:pt>
                <c:pt idx="232" formatCode="0%">
                  <c:v>0.90254625459444027</c:v>
                </c:pt>
                <c:pt idx="233" formatCode="0%">
                  <c:v>0.90351114316281222</c:v>
                </c:pt>
                <c:pt idx="234" formatCode="0%">
                  <c:v>0.90446647837902194</c:v>
                </c:pt>
                <c:pt idx="235" formatCode="0%">
                  <c:v>0.90541235483071481</c:v>
                </c:pt>
                <c:pt idx="236" formatCode="0%">
                  <c:v>0.90634886616902455</c:v>
                </c:pt>
                <c:pt idx="237" formatCode="0%">
                  <c:v>0.90727610511784607</c:v>
                </c:pt>
                <c:pt idx="238" formatCode="0%">
                  <c:v>0.90819416348301585</c:v>
                </c:pt>
                <c:pt idx="239" formatCode="0%">
                  <c:v>0.90910313216140182</c:v>
                </c:pt>
                <c:pt idx="240" formatCode="0%">
                  <c:v>0.9100031011499029</c:v>
                </c:pt>
                <c:pt idx="241" formatCode="0%">
                  <c:v>0.91089415955435926</c:v>
                </c:pt>
                <c:pt idx="242" formatCode="0%">
                  <c:v>0.91177639559837553</c:v>
                </c:pt>
                <c:pt idx="243" formatCode="0%">
                  <c:v>0.91264989663205498</c:v>
                </c:pt>
                <c:pt idx="244" formatCode="0%">
                  <c:v>0.91351474914064845</c:v>
                </c:pt>
                <c:pt idx="245" formatCode="0%">
                  <c:v>0.91437103875311743</c:v>
                </c:pt>
                <c:pt idx="246" formatCode="0%">
                  <c:v>0.91521885025061123</c:v>
                </c:pt>
                <c:pt idx="247" formatCode="0%">
                  <c:v>0.91605826757486264</c:v>
                </c:pt>
                <c:pt idx="248" formatCode="0%">
                  <c:v>0.9168893738364976</c:v>
                </c:pt>
                <c:pt idx="249" formatCode="0%">
                  <c:v>0.91771225132326495</c:v>
                </c:pt>
                <c:pt idx="250" formatCode="0%">
                  <c:v>0.91852698150818313</c:v>
                </c:pt>
                <c:pt idx="251" formatCode="0%">
                  <c:v>0.91933364505760706</c:v>
                </c:pt>
                <c:pt idx="252" formatCode="0%">
                  <c:v>0.92013232183921501</c:v>
                </c:pt>
                <c:pt idx="253" formatCode="0%">
                  <c:v>0.92092309092991576</c:v>
                </c:pt>
                <c:pt idx="254" formatCode="0%">
                  <c:v>0.92170603062367895</c:v>
                </c:pt>
                <c:pt idx="255" formatCode="0%">
                  <c:v>0.92248121843928621</c:v>
                </c:pt>
                <c:pt idx="256" formatCode="0%">
                  <c:v>0.92324873112800598</c:v>
                </c:pt>
                <c:pt idx="257" formatCode="0%">
                  <c:v>0.92400864468119415</c:v>
                </c:pt>
                <c:pt idx="258" formatCode="0%">
                  <c:v>0.92476103433781598</c:v>
                </c:pt>
                <c:pt idx="259" formatCode="0%">
                  <c:v>0.92550597459189687</c:v>
                </c:pt>
                <c:pt idx="260" formatCode="0%">
                  <c:v>0.9262435391998981</c:v>
                </c:pt>
                <c:pt idx="261" formatCode="0%">
                  <c:v>0.92697380118801775</c:v>
                </c:pt>
                <c:pt idx="262" formatCode="0%">
                  <c:v>0.92769683285942361</c:v>
                </c:pt>
                <c:pt idx="263" formatCode="0%">
                  <c:v>0.92841270580140955</c:v>
                </c:pt>
                <c:pt idx="264" formatCode="0%">
                  <c:v>0.92912149089248464</c:v>
                </c:pt>
                <c:pt idx="265" formatCode="0%">
                  <c:v>0.92982325830939083</c:v>
                </c:pt>
                <c:pt idx="266" formatCode="0%">
                  <c:v>0.93051807753405025</c:v>
                </c:pt>
                <c:pt idx="267" formatCode="0%">
                  <c:v>0.93120601736044584</c:v>
                </c:pt>
                <c:pt idx="268" formatCode="0%">
                  <c:v>0.93188714590143151</c:v>
                </c:pt>
                <c:pt idx="269" formatCode="0%">
                  <c:v>0.93256153059547675</c:v>
                </c:pt>
                <c:pt idx="270" formatCode="0%">
                  <c:v>0.93322923821334325</c:v>
                </c:pt>
                <c:pt idx="271" formatCode="0%">
                  <c:v>0.9338903348646963</c:v>
                </c:pt>
                <c:pt idx="272" formatCode="0%">
                  <c:v>0.93454488600464991</c:v>
                </c:pt>
                <c:pt idx="273" formatCode="0%">
                  <c:v>0.93519295644024736</c:v>
                </c:pt>
                <c:pt idx="274" formatCode="0%">
                  <c:v>0.93583461033687854</c:v>
                </c:pt>
                <c:pt idx="275" formatCode="0%">
                  <c:v>0.93646991122463219</c:v>
                </c:pt>
                <c:pt idx="276" formatCode="0%">
                  <c:v>0.93709892200458644</c:v>
                </c:pt>
                <c:pt idx="277" formatCode="0%">
                  <c:v>0.93772170495503604</c:v>
                </c:pt>
                <c:pt idx="278" formatCode="0%">
                  <c:v>0.93833832173765941</c:v>
                </c:pt>
                <c:pt idx="279" formatCode="0%">
                  <c:v>0.93894883340362323</c:v>
                </c:pt>
                <c:pt idx="280" formatCode="0%">
                  <c:v>0.93955330039962692</c:v>
                </c:pt>
                <c:pt idx="281" formatCode="0%">
                  <c:v>0.94015178257388798</c:v>
                </c:pt>
                <c:pt idx="282" formatCode="0%">
                  <c:v>0.94074433918206746</c:v>
                </c:pt>
                <c:pt idx="283" formatCode="0%">
                  <c:v>0.94133102889313602</c:v>
                </c:pt>
                <c:pt idx="284" formatCode="0%">
                  <c:v>0.94191190979518424</c:v>
                </c:pt>
                <c:pt idx="285" formatCode="0%">
                  <c:v>0.9424870394011724</c:v>
                </c:pt>
                <c:pt idx="286" formatCode="0%">
                  <c:v>0.94305647465462628</c:v>
                </c:pt>
                <c:pt idx="287" formatCode="0%">
                  <c:v>0.94362027193527342</c:v>
                </c:pt>
                <c:pt idx="288" formatCode="0%">
                  <c:v>0.94417848706462715</c:v>
                </c:pt>
                <c:pt idx="289" formatCode="0%">
                  <c:v>0.94473117531151207</c:v>
                </c:pt>
                <c:pt idx="290" formatCode="0%">
                  <c:v>0.94527839139753678</c:v>
                </c:pt>
                <c:pt idx="291" formatCode="0%">
                  <c:v>0.94582018950251157</c:v>
                </c:pt>
                <c:pt idx="292" formatCode="0%">
                  <c:v>0.94635662326981351</c:v>
                </c:pt>
                <c:pt idx="293" formatCode="0%">
                  <c:v>0.94688774581169644</c:v>
                </c:pt>
                <c:pt idx="294" formatCode="0%">
                  <c:v>0.94741360971455091</c:v>
                </c:pt>
                <c:pt idx="295" formatCode="0%">
                  <c:v>0.94793426704410988</c:v>
                </c:pt>
                <c:pt idx="296" formatCode="0%">
                  <c:v>0.94844976935060377</c:v>
                </c:pt>
                <c:pt idx="297" formatCode="0%">
                  <c:v>0.94896016767386526</c:v>
                </c:pt>
                <c:pt idx="298" formatCode="0%">
                  <c:v>0.94946551254838141</c:v>
                </c:pt>
                <c:pt idx="299" formatCode="0%">
                  <c:v>0.94996585400829836</c:v>
                </c:pt>
                <c:pt idx="300" formatCode="0%">
                  <c:v>0.95046124159237455</c:v>
                </c:pt>
                <c:pt idx="301" formatCode="0%">
                  <c:v>0.95095172434888575</c:v>
                </c:pt>
                <c:pt idx="302" formatCode="0%">
                  <c:v>0.95143735084048098</c:v>
                </c:pt>
                <c:pt idx="303" formatCode="0%">
                  <c:v>0.95191816914899108</c:v>
                </c:pt>
                <c:pt idx="304" formatCode="0%">
                  <c:v>0.95239422688018915</c:v>
                </c:pt>
                <c:pt idx="305" formatCode="0%">
                  <c:v>0.95286557116850423</c:v>
                </c:pt>
                <c:pt idx="306" formatCode="0%">
                  <c:v>0.95333224868168731</c:v>
                </c:pt>
                <c:pt idx="307" formatCode="0%">
                  <c:v>0.95379430562543299</c:v>
                </c:pt>
                <c:pt idx="308" formatCode="0%">
                  <c:v>0.95425178774795349</c:v>
                </c:pt>
                <c:pt idx="309" formatCode="0%">
                  <c:v>0.95470474034450825</c:v>
                </c:pt>
                <c:pt idx="310" formatCode="0%">
                  <c:v>0.95515320826188943</c:v>
                </c:pt>
                <c:pt idx="311" formatCode="0%">
                  <c:v>0.95559723590286083</c:v>
                </c:pt>
                <c:pt idx="312" formatCode="0%">
                  <c:v>0.95603686723055537</c:v>
                </c:pt>
                <c:pt idx="313" formatCode="0%">
                  <c:v>0.95647214577282702</c:v>
                </c:pt>
                <c:pt idx="314" formatCode="0%">
                  <c:v>0.95690311462656141</c:v>
                </c:pt>
                <c:pt idx="315" formatCode="0%">
                  <c:v>0.95732981646194204</c:v>
                </c:pt>
                <c:pt idx="316" formatCode="0%">
                  <c:v>0.95775229352667524</c:v>
                </c:pt>
                <c:pt idx="317" formatCode="0%">
                  <c:v>0.95817058765017338</c:v>
                </c:pt>
                <c:pt idx="318" formatCode="0%">
                  <c:v>0.95858474024769658</c:v>
                </c:pt>
                <c:pt idx="319" formatCode="0%">
                  <c:v>0.95899479232445206</c:v>
                </c:pt>
                <c:pt idx="320" formatCode="0%">
                  <c:v>0.95940078447965549</c:v>
                </c:pt>
                <c:pt idx="321" formatCode="0%">
                  <c:v>0.95980275691055006</c:v>
                </c:pt>
                <c:pt idx="322" formatCode="0%">
                  <c:v>0.96020074941638611</c:v>
                </c:pt>
                <c:pt idx="323" formatCode="0%">
                  <c:v>0.96059480140236253</c:v>
                </c:pt>
                <c:pt idx="324" formatCode="0%">
                  <c:v>0.96098495188352717</c:v>
                </c:pt>
                <c:pt idx="325" formatCode="0%">
                  <c:v>0.96137123948864078</c:v>
                </c:pt>
                <c:pt idx="326" formatCode="0%">
                  <c:v>0.96175370246400071</c:v>
                </c:pt>
                <c:pt idx="327" formatCode="0%">
                  <c:v>0.96213237867722856</c:v>
                </c:pt>
                <c:pt idx="328" formatCode="0%">
                  <c:v>0.96250730562101838</c:v>
                </c:pt>
                <c:pt idx="329" formatCode="0%">
                  <c:v>0.96287852041684974</c:v>
                </c:pt>
                <c:pt idx="330" formatCode="0%">
                  <c:v>0.96324605981866318</c:v>
                </c:pt>
                <c:pt idx="331" formatCode="0%">
                  <c:v>0.96360996021649825</c:v>
                </c:pt>
                <c:pt idx="332" formatCode="0%">
                  <c:v>0.96397025764009725</c:v>
                </c:pt>
                <c:pt idx="333" formatCode="0%">
                  <c:v>0.9643269877624725</c:v>
                </c:pt>
                <c:pt idx="334" formatCode="0%">
                  <c:v>0.96468018590343807</c:v>
                </c:pt>
                <c:pt idx="335" formatCode="0%">
                  <c:v>0.96502988703310699</c:v>
                </c:pt>
                <c:pt idx="336" formatCode="0%">
                  <c:v>0.96537612577535348</c:v>
                </c:pt>
                <c:pt idx="337" formatCode="0%">
                  <c:v>0.96571893641124096</c:v>
                </c:pt>
                <c:pt idx="338" formatCode="0%">
                  <c:v>0.96605835288241704</c:v>
                </c:pt>
                <c:pt idx="339" formatCode="0%">
                  <c:v>0.96639440879447214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914240"/>
        <c:axId val="305916160"/>
      </c:lineChart>
      <c:catAx>
        <c:axId val="305914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Number of dimensions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05916160"/>
        <c:crosses val="autoZero"/>
        <c:auto val="1"/>
        <c:lblAlgn val="ctr"/>
        <c:lblOffset val="100"/>
        <c:noMultiLvlLbl val="0"/>
      </c:catAx>
      <c:valAx>
        <c:axId val="305916160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Ratio of skin to apple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05914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'Simple X-Y'!$D$8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xVal>
            <c:numRef>
              <c:f>'Simple X-Y'!$C$9:$C$20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'Simple X-Y'!$H$9:$H$20</c:f>
              <c:numCache>
                <c:formatCode>0.00</c:formatCode>
                <c:ptCount val="12"/>
                <c:pt idx="0">
                  <c:v>25.081201027583266</c:v>
                </c:pt>
                <c:pt idx="1">
                  <c:v>42.411057452072264</c:v>
                </c:pt>
                <c:pt idx="2">
                  <c:v>54.812809187212792</c:v>
                </c:pt>
                <c:pt idx="3">
                  <c:v>17.564385613495297</c:v>
                </c:pt>
                <c:pt idx="4">
                  <c:v>30.757488283685138</c:v>
                </c:pt>
                <c:pt idx="5">
                  <c:v>39.702229300354105</c:v>
                </c:pt>
                <c:pt idx="6">
                  <c:v>56.715567249383376</c:v>
                </c:pt>
                <c:pt idx="7">
                  <c:v>56.370961620515615</c:v>
                </c:pt>
                <c:pt idx="8">
                  <c:v>64.025456063135579</c:v>
                </c:pt>
                <c:pt idx="9">
                  <c:v>75.509494641714042</c:v>
                </c:pt>
                <c:pt idx="10">
                  <c:v>101.09427268621349</c:v>
                </c:pt>
                <c:pt idx="11">
                  <c:v>86.12135023140894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040832"/>
        <c:axId val="306042368"/>
      </c:scatterChart>
      <c:valAx>
        <c:axId val="306040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6042368"/>
        <c:crosses val="autoZero"/>
        <c:crossBetween val="midCat"/>
      </c:valAx>
      <c:valAx>
        <c:axId val="30604236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0604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'Simple X-Y'!$H$8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xVal>
            <c:numRef>
              <c:f>'Simple X-Y'!$C$9:$C$20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'Simple X-Y'!$H$9:$H$20</c:f>
              <c:numCache>
                <c:formatCode>0.00</c:formatCode>
                <c:ptCount val="12"/>
                <c:pt idx="0">
                  <c:v>25.081201027583266</c:v>
                </c:pt>
                <c:pt idx="1">
                  <c:v>42.411057452072264</c:v>
                </c:pt>
                <c:pt idx="2">
                  <c:v>54.812809187212792</c:v>
                </c:pt>
                <c:pt idx="3">
                  <c:v>17.564385613495297</c:v>
                </c:pt>
                <c:pt idx="4">
                  <c:v>30.757488283685138</c:v>
                </c:pt>
                <c:pt idx="5">
                  <c:v>39.702229300354105</c:v>
                </c:pt>
                <c:pt idx="6">
                  <c:v>56.715567249383376</c:v>
                </c:pt>
                <c:pt idx="7">
                  <c:v>56.370961620515615</c:v>
                </c:pt>
                <c:pt idx="8">
                  <c:v>64.025456063135579</c:v>
                </c:pt>
                <c:pt idx="9">
                  <c:v>75.509494641714042</c:v>
                </c:pt>
                <c:pt idx="10">
                  <c:v>101.09427268621349</c:v>
                </c:pt>
                <c:pt idx="11">
                  <c:v>86.12135023140894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X-Y'!$B$25</c:f>
              <c:strCache>
                <c:ptCount val="1"/>
                <c:pt idx="0">
                  <c:v>X'</c:v>
                </c:pt>
              </c:strCache>
            </c:strRef>
          </c:tx>
          <c:spPr>
            <a:ln w="34925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'Simple X-Y'!$C$25:$C$26</c:f>
              <c:numCache>
                <c:formatCode>General</c:formatCode>
                <c:ptCount val="2"/>
                <c:pt idx="0">
                  <c:v>1</c:v>
                </c:pt>
                <c:pt idx="1">
                  <c:v>14</c:v>
                </c:pt>
              </c:numCache>
            </c:numRef>
          </c:xVal>
          <c:yVal>
            <c:numRef>
              <c:f>'Simple X-Y'!$D$25:$D$26</c:f>
              <c:numCache>
                <c:formatCode>0.00</c:formatCode>
                <c:ptCount val="2"/>
                <c:pt idx="0">
                  <c:v>25</c:v>
                </c:pt>
                <c:pt idx="1">
                  <c:v>90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939968"/>
        <c:axId val="305941504"/>
      </c:scatterChart>
      <c:valAx>
        <c:axId val="305939968"/>
        <c:scaling>
          <c:orientation val="minMax"/>
          <c:max val="14"/>
        </c:scaling>
        <c:delete val="0"/>
        <c:axPos val="b"/>
        <c:numFmt formatCode="General" sourceLinked="1"/>
        <c:majorTickMark val="out"/>
        <c:minorTickMark val="none"/>
        <c:tickLblPos val="nextTo"/>
        <c:crossAx val="305941504"/>
        <c:crosses val="autoZero"/>
        <c:crossBetween val="midCat"/>
      </c:valAx>
      <c:valAx>
        <c:axId val="30594150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05939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Eigen!$D$8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xVal>
            <c:numRef>
              <c:f>Eigen!$C$29:$C$40</c:f>
              <c:numCache>
                <c:formatCode>General</c:formatCode>
                <c:ptCount val="12"/>
                <c:pt idx="0">
                  <c:v>-5.5</c:v>
                </c:pt>
                <c:pt idx="1">
                  <c:v>-4.5</c:v>
                </c:pt>
                <c:pt idx="2">
                  <c:v>-3.5</c:v>
                </c:pt>
                <c:pt idx="3">
                  <c:v>-2.5</c:v>
                </c:pt>
                <c:pt idx="4">
                  <c:v>-1.5</c:v>
                </c:pt>
                <c:pt idx="5">
                  <c:v>-0.5</c:v>
                </c:pt>
                <c:pt idx="6">
                  <c:v>0.5</c:v>
                </c:pt>
                <c:pt idx="7">
                  <c:v>1.5</c:v>
                </c:pt>
                <c:pt idx="8">
                  <c:v>2.5</c:v>
                </c:pt>
                <c:pt idx="9">
                  <c:v>3.5</c:v>
                </c:pt>
                <c:pt idx="10">
                  <c:v>4.5</c:v>
                </c:pt>
                <c:pt idx="11">
                  <c:v>5.5</c:v>
                </c:pt>
              </c:numCache>
            </c:numRef>
          </c:xVal>
          <c:yVal>
            <c:numRef>
              <c:f>Eigen!$D$29:$D$40</c:f>
              <c:numCache>
                <c:formatCode>0.00</c:formatCode>
                <c:ptCount val="12"/>
                <c:pt idx="0">
                  <c:v>-11.486936765510089</c:v>
                </c:pt>
                <c:pt idx="1">
                  <c:v>-5.5028447282102135</c:v>
                </c:pt>
                <c:pt idx="2">
                  <c:v>-2.4787505026593823</c:v>
                </c:pt>
                <c:pt idx="3">
                  <c:v>-1.7326442998180003</c:v>
                </c:pt>
                <c:pt idx="4">
                  <c:v>-4.6400926726284295</c:v>
                </c:pt>
                <c:pt idx="5">
                  <c:v>-1.5090490610351939</c:v>
                </c:pt>
                <c:pt idx="6">
                  <c:v>3.5115320701944093</c:v>
                </c:pt>
                <c:pt idx="7">
                  <c:v>9.6015737586201357</c:v>
                </c:pt>
                <c:pt idx="8">
                  <c:v>2.7400008862585583</c:v>
                </c:pt>
                <c:pt idx="9">
                  <c:v>3.3471519122045965</c:v>
                </c:pt>
                <c:pt idx="10">
                  <c:v>-1.3170205352811077</c:v>
                </c:pt>
                <c:pt idx="11">
                  <c:v>9.4670799378647157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711168"/>
        <c:axId val="306753920"/>
      </c:scatterChart>
      <c:valAx>
        <c:axId val="306711168"/>
        <c:scaling>
          <c:orientation val="minMax"/>
          <c:max val="15"/>
          <c:min val="-15"/>
        </c:scaling>
        <c:delete val="0"/>
        <c:axPos val="b"/>
        <c:numFmt formatCode="General" sourceLinked="1"/>
        <c:majorTickMark val="out"/>
        <c:minorTickMark val="none"/>
        <c:tickLblPos val="nextTo"/>
        <c:crossAx val="306753920"/>
        <c:crosses val="autoZero"/>
        <c:crossBetween val="midCat"/>
      </c:valAx>
      <c:valAx>
        <c:axId val="30675392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06711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Eigen!$D$28</c:f>
              <c:strCache>
                <c:ptCount val="1"/>
                <c:pt idx="0">
                  <c:v>Y'</c:v>
                </c:pt>
              </c:strCache>
            </c:strRef>
          </c:tx>
          <c:spPr>
            <a:ln w="28575">
              <a:noFill/>
            </a:ln>
          </c:spPr>
          <c:xVal>
            <c:numRef>
              <c:f>Eigen!$C$29:$C$40</c:f>
              <c:numCache>
                <c:formatCode>General</c:formatCode>
                <c:ptCount val="12"/>
                <c:pt idx="0">
                  <c:v>-5.5</c:v>
                </c:pt>
                <c:pt idx="1">
                  <c:v>-4.5</c:v>
                </c:pt>
                <c:pt idx="2">
                  <c:v>-3.5</c:v>
                </c:pt>
                <c:pt idx="3">
                  <c:v>-2.5</c:v>
                </c:pt>
                <c:pt idx="4">
                  <c:v>-1.5</c:v>
                </c:pt>
                <c:pt idx="5">
                  <c:v>-0.5</c:v>
                </c:pt>
                <c:pt idx="6">
                  <c:v>0.5</c:v>
                </c:pt>
                <c:pt idx="7">
                  <c:v>1.5</c:v>
                </c:pt>
                <c:pt idx="8">
                  <c:v>2.5</c:v>
                </c:pt>
                <c:pt idx="9">
                  <c:v>3.5</c:v>
                </c:pt>
                <c:pt idx="10">
                  <c:v>4.5</c:v>
                </c:pt>
                <c:pt idx="11">
                  <c:v>5.5</c:v>
                </c:pt>
              </c:numCache>
            </c:numRef>
          </c:xVal>
          <c:yVal>
            <c:numRef>
              <c:f>Eigen!$D$29:$D$40</c:f>
              <c:numCache>
                <c:formatCode>0.00</c:formatCode>
                <c:ptCount val="12"/>
                <c:pt idx="0">
                  <c:v>-11.486936765510089</c:v>
                </c:pt>
                <c:pt idx="1">
                  <c:v>-5.5028447282102135</c:v>
                </c:pt>
                <c:pt idx="2">
                  <c:v>-2.4787505026593823</c:v>
                </c:pt>
                <c:pt idx="3">
                  <c:v>-1.7326442998180003</c:v>
                </c:pt>
                <c:pt idx="4">
                  <c:v>-4.6400926726284295</c:v>
                </c:pt>
                <c:pt idx="5">
                  <c:v>-1.5090490610351939</c:v>
                </c:pt>
                <c:pt idx="6">
                  <c:v>3.5115320701944093</c:v>
                </c:pt>
                <c:pt idx="7">
                  <c:v>9.6015737586201357</c:v>
                </c:pt>
                <c:pt idx="8">
                  <c:v>2.7400008862585583</c:v>
                </c:pt>
                <c:pt idx="9">
                  <c:v>3.3471519122045965</c:v>
                </c:pt>
                <c:pt idx="10">
                  <c:v>-1.3170205352811077</c:v>
                </c:pt>
                <c:pt idx="11">
                  <c:v>9.4670799378647157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Eigen!$F$46</c:f>
              <c:strCache>
                <c:ptCount val="1"/>
                <c:pt idx="0">
                  <c:v>Arbitrary Vector (V1)</c:v>
                </c:pt>
              </c:strCache>
            </c:strRef>
          </c:tx>
          <c:spPr>
            <a:ln w="41275">
              <a:solidFill>
                <a:srgbClr val="FF0000"/>
              </a:solidFill>
              <a:tailEnd type="arrow" w="lg" len="lg"/>
            </a:ln>
          </c:spPr>
          <c:marker>
            <c:symbol val="none"/>
          </c:marker>
          <c:xVal>
            <c:numRef>
              <c:f>Eigen!$G$47:$H$47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xVal>
          <c:yVal>
            <c:numRef>
              <c:f>Eigen!$G$48:$H$48</c:f>
              <c:numCache>
                <c:formatCode>General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512256"/>
        <c:axId val="306513792"/>
      </c:scatterChart>
      <c:valAx>
        <c:axId val="306512256"/>
        <c:scaling>
          <c:orientation val="minMax"/>
          <c:max val="15"/>
          <c:min val="-15"/>
        </c:scaling>
        <c:delete val="0"/>
        <c:axPos val="b"/>
        <c:numFmt formatCode="General" sourceLinked="1"/>
        <c:majorTickMark val="out"/>
        <c:minorTickMark val="none"/>
        <c:tickLblPos val="nextTo"/>
        <c:crossAx val="306513792"/>
        <c:crosses val="autoZero"/>
        <c:crossBetween val="midCat"/>
      </c:valAx>
      <c:valAx>
        <c:axId val="306513792"/>
        <c:scaling>
          <c:orientation val="minMax"/>
          <c:max val="15"/>
          <c:min val="-15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0651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Eigen!$D$8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xVal>
            <c:numRef>
              <c:f>Eigen!$C$29:$C$40</c:f>
              <c:numCache>
                <c:formatCode>General</c:formatCode>
                <c:ptCount val="12"/>
                <c:pt idx="0">
                  <c:v>-5.5</c:v>
                </c:pt>
                <c:pt idx="1">
                  <c:v>-4.5</c:v>
                </c:pt>
                <c:pt idx="2">
                  <c:v>-3.5</c:v>
                </c:pt>
                <c:pt idx="3">
                  <c:v>-2.5</c:v>
                </c:pt>
                <c:pt idx="4">
                  <c:v>-1.5</c:v>
                </c:pt>
                <c:pt idx="5">
                  <c:v>-0.5</c:v>
                </c:pt>
                <c:pt idx="6">
                  <c:v>0.5</c:v>
                </c:pt>
                <c:pt idx="7">
                  <c:v>1.5</c:v>
                </c:pt>
                <c:pt idx="8">
                  <c:v>2.5</c:v>
                </c:pt>
                <c:pt idx="9">
                  <c:v>3.5</c:v>
                </c:pt>
                <c:pt idx="10">
                  <c:v>4.5</c:v>
                </c:pt>
                <c:pt idx="11">
                  <c:v>5.5</c:v>
                </c:pt>
              </c:numCache>
            </c:numRef>
          </c:xVal>
          <c:yVal>
            <c:numRef>
              <c:f>Eigen!$D$29:$D$40</c:f>
              <c:numCache>
                <c:formatCode>0.00</c:formatCode>
                <c:ptCount val="12"/>
                <c:pt idx="0">
                  <c:v>-11.486936765510089</c:v>
                </c:pt>
                <c:pt idx="1">
                  <c:v>-5.5028447282102135</c:v>
                </c:pt>
                <c:pt idx="2">
                  <c:v>-2.4787505026593823</c:v>
                </c:pt>
                <c:pt idx="3">
                  <c:v>-1.7326442998180003</c:v>
                </c:pt>
                <c:pt idx="4">
                  <c:v>-4.6400926726284295</c:v>
                </c:pt>
                <c:pt idx="5">
                  <c:v>-1.5090490610351939</c:v>
                </c:pt>
                <c:pt idx="6">
                  <c:v>3.5115320701944093</c:v>
                </c:pt>
                <c:pt idx="7">
                  <c:v>9.6015737586201357</c:v>
                </c:pt>
                <c:pt idx="8">
                  <c:v>2.7400008862585583</c:v>
                </c:pt>
                <c:pt idx="9">
                  <c:v>3.3471519122045965</c:v>
                </c:pt>
                <c:pt idx="10">
                  <c:v>-1.3170205352811077</c:v>
                </c:pt>
                <c:pt idx="11">
                  <c:v>9.4670799378647157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Eigen!$F$46</c:f>
              <c:strCache>
                <c:ptCount val="1"/>
                <c:pt idx="0">
                  <c:v>Arbitrary Vector (V1)</c:v>
                </c:pt>
              </c:strCache>
            </c:strRef>
          </c:tx>
          <c:spPr>
            <a:ln w="41275">
              <a:solidFill>
                <a:srgbClr val="FF0000"/>
              </a:solidFill>
              <a:tailEnd type="arrow" w="lg" len="lg"/>
            </a:ln>
          </c:spPr>
          <c:marker>
            <c:symbol val="none"/>
          </c:marker>
          <c:xVal>
            <c:numRef>
              <c:f>Eigen!$G$47:$H$47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xVal>
          <c:yVal>
            <c:numRef>
              <c:f>Eigen!$G$48:$H$48</c:f>
              <c:numCache>
                <c:formatCode>General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Eigen!$L$52</c:f>
              <c:strCache>
                <c:ptCount val="1"/>
                <c:pt idx="0">
                  <c:v>Cv.V1 (Scaled)</c:v>
                </c:pt>
              </c:strCache>
            </c:strRef>
          </c:tx>
          <c:spPr>
            <a:ln w="34925">
              <a:solidFill>
                <a:srgbClr val="00B0F0"/>
              </a:solidFill>
              <a:prstDash val="sysDash"/>
              <a:tailEnd type="arrow" w="lg" len="lg"/>
            </a:ln>
          </c:spPr>
          <c:marker>
            <c:symbol val="none"/>
          </c:marker>
          <c:xVal>
            <c:numRef>
              <c:f>Eigen!$L$53:$M$53</c:f>
              <c:numCache>
                <c:formatCode>0.0</c:formatCode>
                <c:ptCount val="2"/>
                <c:pt idx="0">
                  <c:v>0</c:v>
                </c:pt>
                <c:pt idx="1">
                  <c:v>4.9246069686387042</c:v>
                </c:pt>
              </c:numCache>
            </c:numRef>
          </c:xVal>
          <c:yVal>
            <c:numRef>
              <c:f>Eigen!$L$54:$M$54</c:f>
              <c:numCache>
                <c:formatCode>0.0</c:formatCode>
                <c:ptCount val="2"/>
                <c:pt idx="0">
                  <c:v>0</c:v>
                </c:pt>
                <c:pt idx="1">
                  <c:v>6.6590930941344366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538752"/>
        <c:axId val="306548736"/>
      </c:scatterChart>
      <c:valAx>
        <c:axId val="306538752"/>
        <c:scaling>
          <c:orientation val="minMax"/>
          <c:max val="15"/>
          <c:min val="-15"/>
        </c:scaling>
        <c:delete val="0"/>
        <c:axPos val="b"/>
        <c:numFmt formatCode="General" sourceLinked="1"/>
        <c:majorTickMark val="out"/>
        <c:minorTickMark val="none"/>
        <c:tickLblPos val="nextTo"/>
        <c:crossAx val="306548736"/>
        <c:crosses val="autoZero"/>
        <c:crossBetween val="midCat"/>
      </c:valAx>
      <c:valAx>
        <c:axId val="306548736"/>
        <c:scaling>
          <c:orientation val="minMax"/>
          <c:max val="15"/>
          <c:min val="-15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0653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Eigen!$D$8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xVal>
            <c:numRef>
              <c:f>Eigen!$C$29:$C$40</c:f>
              <c:numCache>
                <c:formatCode>General</c:formatCode>
                <c:ptCount val="12"/>
                <c:pt idx="0">
                  <c:v>-5.5</c:v>
                </c:pt>
                <c:pt idx="1">
                  <c:v>-4.5</c:v>
                </c:pt>
                <c:pt idx="2">
                  <c:v>-3.5</c:v>
                </c:pt>
                <c:pt idx="3">
                  <c:v>-2.5</c:v>
                </c:pt>
                <c:pt idx="4">
                  <c:v>-1.5</c:v>
                </c:pt>
                <c:pt idx="5">
                  <c:v>-0.5</c:v>
                </c:pt>
                <c:pt idx="6">
                  <c:v>0.5</c:v>
                </c:pt>
                <c:pt idx="7">
                  <c:v>1.5</c:v>
                </c:pt>
                <c:pt idx="8">
                  <c:v>2.5</c:v>
                </c:pt>
                <c:pt idx="9">
                  <c:v>3.5</c:v>
                </c:pt>
                <c:pt idx="10">
                  <c:v>4.5</c:v>
                </c:pt>
                <c:pt idx="11">
                  <c:v>5.5</c:v>
                </c:pt>
              </c:numCache>
            </c:numRef>
          </c:xVal>
          <c:yVal>
            <c:numRef>
              <c:f>Eigen!$D$29:$D$40</c:f>
              <c:numCache>
                <c:formatCode>0.00</c:formatCode>
                <c:ptCount val="12"/>
                <c:pt idx="0">
                  <c:v>-11.486936765510089</c:v>
                </c:pt>
                <c:pt idx="1">
                  <c:v>-5.5028447282102135</c:v>
                </c:pt>
                <c:pt idx="2">
                  <c:v>-2.4787505026593823</c:v>
                </c:pt>
                <c:pt idx="3">
                  <c:v>-1.7326442998180003</c:v>
                </c:pt>
                <c:pt idx="4">
                  <c:v>-4.6400926726284295</c:v>
                </c:pt>
                <c:pt idx="5">
                  <c:v>-1.5090490610351939</c:v>
                </c:pt>
                <c:pt idx="6">
                  <c:v>3.5115320701944093</c:v>
                </c:pt>
                <c:pt idx="7">
                  <c:v>9.6015737586201357</c:v>
                </c:pt>
                <c:pt idx="8">
                  <c:v>2.7400008862585583</c:v>
                </c:pt>
                <c:pt idx="9">
                  <c:v>3.3471519122045965</c:v>
                </c:pt>
                <c:pt idx="10">
                  <c:v>-1.3170205352811077</c:v>
                </c:pt>
                <c:pt idx="11">
                  <c:v>9.4670799378647157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Eigen!$F$46</c:f>
              <c:strCache>
                <c:ptCount val="1"/>
                <c:pt idx="0">
                  <c:v>Arbitrary Vector (V1)</c:v>
                </c:pt>
              </c:strCache>
            </c:strRef>
          </c:tx>
          <c:spPr>
            <a:ln w="41275">
              <a:solidFill>
                <a:srgbClr val="FF0000"/>
              </a:solidFill>
              <a:tailEnd type="arrow" w="lg" len="lg"/>
            </a:ln>
          </c:spPr>
          <c:marker>
            <c:symbol val="none"/>
          </c:marker>
          <c:xVal>
            <c:numRef>
              <c:f>Eigen!$G$47:$H$47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xVal>
          <c:yVal>
            <c:numRef>
              <c:f>Eigen!$G$48:$H$48</c:f>
              <c:numCache>
                <c:formatCode>General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Eigen!$L$52</c:f>
              <c:strCache>
                <c:ptCount val="1"/>
                <c:pt idx="0">
                  <c:v>Cv.V1 (Scaled)</c:v>
                </c:pt>
              </c:strCache>
            </c:strRef>
          </c:tx>
          <c:spPr>
            <a:ln w="38100">
              <a:solidFill>
                <a:srgbClr val="00B0F0"/>
              </a:solidFill>
              <a:prstDash val="sysDash"/>
              <a:tailEnd type="arrow" w="lg" len="lg"/>
            </a:ln>
          </c:spPr>
          <c:marker>
            <c:symbol val="none"/>
          </c:marker>
          <c:xVal>
            <c:numRef>
              <c:f>Eigen!$L$53:$M$53</c:f>
              <c:numCache>
                <c:formatCode>0.0</c:formatCode>
                <c:ptCount val="2"/>
                <c:pt idx="0">
                  <c:v>0</c:v>
                </c:pt>
                <c:pt idx="1">
                  <c:v>4.9246069686387042</c:v>
                </c:pt>
              </c:numCache>
            </c:numRef>
          </c:xVal>
          <c:yVal>
            <c:numRef>
              <c:f>Eigen!$L$54:$M$54</c:f>
              <c:numCache>
                <c:formatCode>0.0</c:formatCode>
                <c:ptCount val="2"/>
                <c:pt idx="0">
                  <c:v>0</c:v>
                </c:pt>
                <c:pt idx="1">
                  <c:v>6.6590930941344366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Eigen!$Q$52</c:f>
              <c:strCache>
                <c:ptCount val="1"/>
                <c:pt idx="0">
                  <c:v>Cv2.V1 (Scaled)</c:v>
                </c:pt>
              </c:strCache>
            </c:strRef>
          </c:tx>
          <c:spPr>
            <a:ln w="25400">
              <a:solidFill>
                <a:srgbClr val="00B050"/>
              </a:solidFill>
              <a:prstDash val="sysDash"/>
              <a:tailEnd type="arrow" w="lg" len="lg"/>
            </a:ln>
          </c:spPr>
          <c:marker>
            <c:symbol val="none"/>
          </c:marker>
          <c:xVal>
            <c:numRef>
              <c:f>Eigen!$Q$53:$R$53</c:f>
              <c:numCache>
                <c:formatCode>0</c:formatCode>
                <c:ptCount val="2"/>
                <c:pt idx="0" formatCode="0.0">
                  <c:v>0</c:v>
                </c:pt>
                <c:pt idx="1">
                  <c:v>8.192940856218085</c:v>
                </c:pt>
              </c:numCache>
            </c:numRef>
          </c:xVal>
          <c:yVal>
            <c:numRef>
              <c:f>Eigen!$Q$54:$R$54</c:f>
              <c:numCache>
                <c:formatCode>0</c:formatCode>
                <c:ptCount val="2"/>
                <c:pt idx="0" formatCode="0.0">
                  <c:v>0</c:v>
                </c:pt>
                <c:pt idx="1">
                  <c:v>15.258738910845768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570752"/>
        <c:axId val="306572288"/>
      </c:scatterChart>
      <c:valAx>
        <c:axId val="306570752"/>
        <c:scaling>
          <c:orientation val="minMax"/>
          <c:max val="15"/>
          <c:min val="-15"/>
        </c:scaling>
        <c:delete val="0"/>
        <c:axPos val="b"/>
        <c:numFmt formatCode="General" sourceLinked="1"/>
        <c:majorTickMark val="out"/>
        <c:minorTickMark val="none"/>
        <c:tickLblPos val="nextTo"/>
        <c:crossAx val="306572288"/>
        <c:crosses val="autoZero"/>
        <c:crossBetween val="midCat"/>
      </c:valAx>
      <c:valAx>
        <c:axId val="306572288"/>
        <c:scaling>
          <c:orientation val="minMax"/>
          <c:max val="15"/>
          <c:min val="-15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0657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Eigen!$D$8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xVal>
            <c:numRef>
              <c:f>Eigen!$C$29:$C$40</c:f>
              <c:numCache>
                <c:formatCode>General</c:formatCode>
                <c:ptCount val="12"/>
                <c:pt idx="0">
                  <c:v>-5.5</c:v>
                </c:pt>
                <c:pt idx="1">
                  <c:v>-4.5</c:v>
                </c:pt>
                <c:pt idx="2">
                  <c:v>-3.5</c:v>
                </c:pt>
                <c:pt idx="3">
                  <c:v>-2.5</c:v>
                </c:pt>
                <c:pt idx="4">
                  <c:v>-1.5</c:v>
                </c:pt>
                <c:pt idx="5">
                  <c:v>-0.5</c:v>
                </c:pt>
                <c:pt idx="6">
                  <c:v>0.5</c:v>
                </c:pt>
                <c:pt idx="7">
                  <c:v>1.5</c:v>
                </c:pt>
                <c:pt idx="8">
                  <c:v>2.5</c:v>
                </c:pt>
                <c:pt idx="9">
                  <c:v>3.5</c:v>
                </c:pt>
                <c:pt idx="10">
                  <c:v>4.5</c:v>
                </c:pt>
                <c:pt idx="11">
                  <c:v>5.5</c:v>
                </c:pt>
              </c:numCache>
            </c:numRef>
          </c:xVal>
          <c:yVal>
            <c:numRef>
              <c:f>Eigen!$D$29:$D$40</c:f>
              <c:numCache>
                <c:formatCode>0.00</c:formatCode>
                <c:ptCount val="12"/>
                <c:pt idx="0">
                  <c:v>-11.486936765510089</c:v>
                </c:pt>
                <c:pt idx="1">
                  <c:v>-5.5028447282102135</c:v>
                </c:pt>
                <c:pt idx="2">
                  <c:v>-2.4787505026593823</c:v>
                </c:pt>
                <c:pt idx="3">
                  <c:v>-1.7326442998180003</c:v>
                </c:pt>
                <c:pt idx="4">
                  <c:v>-4.6400926726284295</c:v>
                </c:pt>
                <c:pt idx="5">
                  <c:v>-1.5090490610351939</c:v>
                </c:pt>
                <c:pt idx="6">
                  <c:v>3.5115320701944093</c:v>
                </c:pt>
                <c:pt idx="7">
                  <c:v>9.6015737586201357</c:v>
                </c:pt>
                <c:pt idx="8">
                  <c:v>2.7400008862585583</c:v>
                </c:pt>
                <c:pt idx="9">
                  <c:v>3.3471519122045965</c:v>
                </c:pt>
                <c:pt idx="10">
                  <c:v>-1.3170205352811077</c:v>
                </c:pt>
                <c:pt idx="11">
                  <c:v>9.4670799378647157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Eigen!$F$46</c:f>
              <c:strCache>
                <c:ptCount val="1"/>
                <c:pt idx="0">
                  <c:v>Arbitrary Vector (V1)</c:v>
                </c:pt>
              </c:strCache>
            </c:strRef>
          </c:tx>
          <c:spPr>
            <a:ln w="41275">
              <a:solidFill>
                <a:srgbClr val="FF0000"/>
              </a:solidFill>
              <a:tailEnd type="arrow" w="lg" len="lg"/>
            </a:ln>
          </c:spPr>
          <c:marker>
            <c:symbol val="none"/>
          </c:marker>
          <c:xVal>
            <c:numRef>
              <c:f>Eigen!$AQ$80:$AR$80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-19.508708279492048</c:v>
                </c:pt>
              </c:numCache>
            </c:numRef>
          </c:xVal>
          <c:yVal>
            <c:numRef>
              <c:f>Eigen!$AQ$81:$AR$81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-37.591105107309581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Eigen!$L$52</c:f>
              <c:strCache>
                <c:ptCount val="1"/>
                <c:pt idx="0">
                  <c:v>Cv.V1 (Scaled)</c:v>
                </c:pt>
              </c:strCache>
            </c:strRef>
          </c:tx>
          <c:spPr>
            <a:ln w="34925">
              <a:solidFill>
                <a:srgbClr val="00B0F0"/>
              </a:solidFill>
              <a:prstDash val="sysDash"/>
              <a:tailEnd type="arrow" w="lg" len="lg"/>
            </a:ln>
          </c:spPr>
          <c:marker>
            <c:symbol val="none"/>
          </c:marker>
          <c:xVal>
            <c:numRef>
              <c:f>Eigen!$AQ$77:$AR$77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-9.9042110926668556</c:v>
                </c:pt>
              </c:numCache>
            </c:numRef>
          </c:xVal>
          <c:yVal>
            <c:numRef>
              <c:f>Eigen!$AQ$78:$AR$78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5.1400022530270224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14272"/>
        <c:axId val="306615808"/>
      </c:scatterChart>
      <c:valAx>
        <c:axId val="306614272"/>
        <c:scaling>
          <c:orientation val="minMax"/>
          <c:max val="40"/>
          <c:min val="-40"/>
        </c:scaling>
        <c:delete val="0"/>
        <c:axPos val="b"/>
        <c:numFmt formatCode="General" sourceLinked="1"/>
        <c:majorTickMark val="out"/>
        <c:minorTickMark val="none"/>
        <c:tickLblPos val="nextTo"/>
        <c:crossAx val="306615808"/>
        <c:crosses val="autoZero"/>
        <c:crossBetween val="midCat"/>
      </c:valAx>
      <c:valAx>
        <c:axId val="306615808"/>
        <c:scaling>
          <c:orientation val="minMax"/>
          <c:max val="40"/>
          <c:min val="-4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06614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Unscaled</a:t>
            </a:r>
            <a:r>
              <a:rPr lang="en-GB" baseline="0"/>
              <a:t> Eigen Vectors</a:t>
            </a:r>
            <a:endParaRPr lang="en-GB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Eigen!$AT$77</c:f>
              <c:strCache>
                <c:ptCount val="1"/>
                <c:pt idx="0">
                  <c:v>Eigen Vector 1</c:v>
                </c:pt>
              </c:strCache>
            </c:strRef>
          </c:tx>
          <c:spPr>
            <a:ln w="28575">
              <a:solidFill>
                <a:srgbClr val="00B0F0"/>
              </a:solidFill>
              <a:tailEnd type="arrow" w="lg" len="lg"/>
            </a:ln>
          </c:spPr>
          <c:marker>
            <c:symbol val="none"/>
          </c:marker>
          <c:xVal>
            <c:numRef>
              <c:f>Eigen!$AU$77:$AV$77</c:f>
              <c:numCache>
                <c:formatCode>0.000000</c:formatCode>
                <c:ptCount val="2"/>
                <c:pt idx="0" formatCode="General">
                  <c:v>0</c:v>
                </c:pt>
                <c:pt idx="1">
                  <c:v>-0.88759021000000005</c:v>
                </c:pt>
              </c:numCache>
            </c:numRef>
          </c:xVal>
          <c:yVal>
            <c:numRef>
              <c:f>Eigen!$AU$78:$AV$78</c:f>
              <c:numCache>
                <c:formatCode>0.000000</c:formatCode>
                <c:ptCount val="2"/>
                <c:pt idx="0" formatCode="General">
                  <c:v>0</c:v>
                </c:pt>
                <c:pt idx="1">
                  <c:v>0.46063393000000002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Eigen!$AT$80</c:f>
              <c:strCache>
                <c:ptCount val="1"/>
                <c:pt idx="0">
                  <c:v>Eigen Vector 2</c:v>
                </c:pt>
              </c:strCache>
            </c:strRef>
          </c:tx>
          <c:spPr>
            <a:ln>
              <a:tailEnd type="arrow" w="lg" len="lg"/>
            </a:ln>
          </c:spPr>
          <c:marker>
            <c:symbol val="none"/>
          </c:marker>
          <c:xVal>
            <c:numRef>
              <c:f>Eigen!$AU$80:$AV$80</c:f>
              <c:numCache>
                <c:formatCode>0.000000</c:formatCode>
                <c:ptCount val="2"/>
                <c:pt idx="0" formatCode="General">
                  <c:v>0</c:v>
                </c:pt>
                <c:pt idx="1">
                  <c:v>-0.46063393000000002</c:v>
                </c:pt>
              </c:numCache>
            </c:numRef>
          </c:xVal>
          <c:yVal>
            <c:numRef>
              <c:f>Eigen!$AU$81:$AV$81</c:f>
              <c:numCache>
                <c:formatCode>0.000000</c:formatCode>
                <c:ptCount val="2"/>
                <c:pt idx="0" formatCode="General">
                  <c:v>0</c:v>
                </c:pt>
                <c:pt idx="1">
                  <c:v>-0.88759021000000005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041792"/>
        <c:axId val="307043328"/>
      </c:scatterChart>
      <c:valAx>
        <c:axId val="307041792"/>
        <c:scaling>
          <c:orientation val="minMax"/>
          <c:max val="1"/>
          <c:min val="-1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307043328"/>
        <c:crosses val="autoZero"/>
        <c:crossBetween val="midCat"/>
        <c:majorUnit val="0.2"/>
      </c:valAx>
      <c:valAx>
        <c:axId val="307043328"/>
        <c:scaling>
          <c:orientation val="minMax"/>
          <c:max val="1"/>
          <c:min val="-1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070417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Eigen!$D$8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dPt>
            <c:idx val="0"/>
            <c:marker>
              <c:symbol val="diamond"/>
              <c:size val="14"/>
              <c:spPr>
                <a:solidFill>
                  <a:srgbClr val="FF0000"/>
                </a:solidFill>
              </c:spPr>
            </c:marker>
            <c:bubble3D val="0"/>
          </c:dPt>
          <c:dPt>
            <c:idx val="11"/>
            <c:marker>
              <c:symbol val="diamond"/>
              <c:size val="14"/>
              <c:spPr>
                <a:solidFill>
                  <a:srgbClr val="00B050"/>
                </a:solidFill>
              </c:spPr>
            </c:marker>
            <c:bubble3D val="0"/>
          </c:dPt>
          <c:xVal>
            <c:numRef>
              <c:f>Eigen!$L$105:$L$116</c:f>
              <c:numCache>
                <c:formatCode>General</c:formatCode>
                <c:ptCount val="12"/>
                <c:pt idx="0">
                  <c:v>12.729179230955822</c:v>
                </c:pt>
                <c:pt idx="1">
                  <c:v>6.9571237929094965</c:v>
                </c:pt>
                <c:pt idx="2">
                  <c:v>3.8123334341930466</c:v>
                </c:pt>
                <c:pt idx="3">
                  <c:v>2.6894629429307617</c:v>
                </c:pt>
                <c:pt idx="4">
                  <c:v>4.8094517247177295</c:v>
                </c:pt>
                <c:pt idx="5">
                  <c:v>1.5697341379845307</c:v>
                </c:pt>
                <c:pt idx="6">
                  <c:v>-3.3471184526055908</c:v>
                </c:pt>
                <c:pt idx="7">
                  <c:v>-9.213213763744136</c:v>
                </c:pt>
                <c:pt idx="8">
                  <c:v>-3.5835827870344201</c:v>
                </c:pt>
                <c:pt idx="9">
                  <c:v>-4.5831180236555795</c:v>
                </c:pt>
                <c:pt idx="10">
                  <c:v>-0.90387815151552919</c:v>
                </c:pt>
                <c:pt idx="11">
                  <c:v>-10.93637408513613</c:v>
                </c:pt>
              </c:numCache>
            </c:numRef>
          </c:xVal>
          <c:yVal>
            <c:numRef>
              <c:f>Eigen!$M$105:$M$116</c:f>
              <c:numCache>
                <c:formatCode>General</c:formatCode>
                <c:ptCount val="12"/>
                <c:pt idx="0">
                  <c:v>-0.40952667095840134</c:v>
                </c:pt>
                <c:pt idx="1">
                  <c:v>1.4593589516647474</c:v>
                </c:pt>
                <c:pt idx="2">
                  <c:v>1.9647691494705335</c:v>
                </c:pt>
                <c:pt idx="3">
                  <c:v>1.4208607718827366</c:v>
                </c:pt>
                <c:pt idx="4">
                  <c:v>-0.80599880835703686</c:v>
                </c:pt>
                <c:pt idx="5">
                  <c:v>-0.25132409454745125</c:v>
                </c:pt>
                <c:pt idx="6">
                  <c:v>1.1737357128146868</c:v>
                </c:pt>
                <c:pt idx="7">
                  <c:v>3.0914253396180644</c:v>
                </c:pt>
                <c:pt idx="8">
                  <c:v>-0.95683814855923743</c:v>
                </c:pt>
                <c:pt idx="9">
                  <c:v>-1.5647539953741818</c:v>
                </c:pt>
                <c:pt idx="10">
                  <c:v>-4.6008202900572401</c:v>
                </c:pt>
                <c:pt idx="11" formatCode="0.00">
                  <c:v>-0.52088791759721964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068928"/>
        <c:axId val="307070464"/>
      </c:scatterChart>
      <c:valAx>
        <c:axId val="307068928"/>
        <c:scaling>
          <c:orientation val="minMax"/>
          <c:max val="15"/>
          <c:min val="-15"/>
        </c:scaling>
        <c:delete val="0"/>
        <c:axPos val="b"/>
        <c:numFmt formatCode="General" sourceLinked="1"/>
        <c:majorTickMark val="out"/>
        <c:minorTickMark val="none"/>
        <c:tickLblPos val="nextTo"/>
        <c:crossAx val="307070464"/>
        <c:crosses val="autoZero"/>
        <c:crossBetween val="midCat"/>
      </c:valAx>
      <c:valAx>
        <c:axId val="307070464"/>
        <c:scaling>
          <c:orientation val="minMax"/>
          <c:max val="15"/>
          <c:min val="-15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0706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Eigen!$D$8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dPt>
            <c:idx val="0"/>
            <c:marker>
              <c:symbol val="diamond"/>
              <c:size val="13"/>
              <c:spPr>
                <a:solidFill>
                  <a:srgbClr val="FF0000"/>
                </a:solidFill>
              </c:spPr>
            </c:marker>
            <c:bubble3D val="0"/>
          </c:dPt>
          <c:dPt>
            <c:idx val="11"/>
            <c:marker>
              <c:symbol val="diamond"/>
              <c:size val="12"/>
              <c:spPr>
                <a:solidFill>
                  <a:srgbClr val="00B050"/>
                </a:solidFill>
              </c:spPr>
            </c:marker>
            <c:bubble3D val="0"/>
          </c:dPt>
          <c:xVal>
            <c:numRef>
              <c:f>Eigen!$C$29:$C$40</c:f>
              <c:numCache>
                <c:formatCode>General</c:formatCode>
                <c:ptCount val="12"/>
                <c:pt idx="0">
                  <c:v>-5.5</c:v>
                </c:pt>
                <c:pt idx="1">
                  <c:v>-4.5</c:v>
                </c:pt>
                <c:pt idx="2">
                  <c:v>-3.5</c:v>
                </c:pt>
                <c:pt idx="3">
                  <c:v>-2.5</c:v>
                </c:pt>
                <c:pt idx="4">
                  <c:v>-1.5</c:v>
                </c:pt>
                <c:pt idx="5">
                  <c:v>-0.5</c:v>
                </c:pt>
                <c:pt idx="6">
                  <c:v>0.5</c:v>
                </c:pt>
                <c:pt idx="7">
                  <c:v>1.5</c:v>
                </c:pt>
                <c:pt idx="8">
                  <c:v>2.5</c:v>
                </c:pt>
                <c:pt idx="9">
                  <c:v>3.5</c:v>
                </c:pt>
                <c:pt idx="10">
                  <c:v>4.5</c:v>
                </c:pt>
                <c:pt idx="11">
                  <c:v>5.5</c:v>
                </c:pt>
              </c:numCache>
            </c:numRef>
          </c:xVal>
          <c:yVal>
            <c:numRef>
              <c:f>Eigen!$D$29:$D$40</c:f>
              <c:numCache>
                <c:formatCode>0.00</c:formatCode>
                <c:ptCount val="12"/>
                <c:pt idx="0">
                  <c:v>-11.486936765510089</c:v>
                </c:pt>
                <c:pt idx="1">
                  <c:v>-5.5028447282102135</c:v>
                </c:pt>
                <c:pt idx="2">
                  <c:v>-2.4787505026593823</c:v>
                </c:pt>
                <c:pt idx="3">
                  <c:v>-1.7326442998180003</c:v>
                </c:pt>
                <c:pt idx="4">
                  <c:v>-4.6400926726284295</c:v>
                </c:pt>
                <c:pt idx="5">
                  <c:v>-1.5090490610351939</c:v>
                </c:pt>
                <c:pt idx="6">
                  <c:v>3.5115320701944093</c:v>
                </c:pt>
                <c:pt idx="7">
                  <c:v>9.6015737586201357</c:v>
                </c:pt>
                <c:pt idx="8">
                  <c:v>2.7400008862585583</c:v>
                </c:pt>
                <c:pt idx="9">
                  <c:v>3.3471519122045965</c:v>
                </c:pt>
                <c:pt idx="10">
                  <c:v>-1.3170205352811077</c:v>
                </c:pt>
                <c:pt idx="11">
                  <c:v>9.4670799378647157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103232"/>
        <c:axId val="307104768"/>
      </c:scatterChart>
      <c:valAx>
        <c:axId val="307103232"/>
        <c:scaling>
          <c:orientation val="minMax"/>
          <c:max val="15"/>
          <c:min val="-15"/>
        </c:scaling>
        <c:delete val="0"/>
        <c:axPos val="b"/>
        <c:numFmt formatCode="General" sourceLinked="1"/>
        <c:majorTickMark val="out"/>
        <c:minorTickMark val="none"/>
        <c:tickLblPos val="nextTo"/>
        <c:crossAx val="307104768"/>
        <c:crosses val="autoZero"/>
        <c:crossBetween val="midCat"/>
      </c:valAx>
      <c:valAx>
        <c:axId val="30710476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0710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Eigen!$D$8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dPt>
            <c:idx val="0"/>
            <c:marker>
              <c:symbol val="diamond"/>
              <c:size val="14"/>
              <c:spPr>
                <a:solidFill>
                  <a:srgbClr val="FF0000"/>
                </a:solidFill>
              </c:spPr>
            </c:marker>
            <c:bubble3D val="0"/>
          </c:dPt>
          <c:dPt>
            <c:idx val="11"/>
            <c:marker>
              <c:symbol val="diamond"/>
              <c:size val="14"/>
              <c:spPr>
                <a:solidFill>
                  <a:srgbClr val="00B050"/>
                </a:solidFill>
              </c:spPr>
            </c:marker>
            <c:bubble3D val="0"/>
          </c:dPt>
          <c:xVal>
            <c:numRef>
              <c:f>Eigen!$L$105:$L$116</c:f>
              <c:numCache>
                <c:formatCode>General</c:formatCode>
                <c:ptCount val="12"/>
                <c:pt idx="0">
                  <c:v>12.729179230955822</c:v>
                </c:pt>
                <c:pt idx="1">
                  <c:v>6.9571237929094965</c:v>
                </c:pt>
                <c:pt idx="2">
                  <c:v>3.8123334341930466</c:v>
                </c:pt>
                <c:pt idx="3">
                  <c:v>2.6894629429307617</c:v>
                </c:pt>
                <c:pt idx="4">
                  <c:v>4.8094517247177295</c:v>
                </c:pt>
                <c:pt idx="5">
                  <c:v>1.5697341379845307</c:v>
                </c:pt>
                <c:pt idx="6">
                  <c:v>-3.3471184526055908</c:v>
                </c:pt>
                <c:pt idx="7">
                  <c:v>-9.213213763744136</c:v>
                </c:pt>
                <c:pt idx="8">
                  <c:v>-3.5835827870344201</c:v>
                </c:pt>
                <c:pt idx="9">
                  <c:v>-4.5831180236555795</c:v>
                </c:pt>
                <c:pt idx="10">
                  <c:v>-0.90387815151552919</c:v>
                </c:pt>
                <c:pt idx="11">
                  <c:v>-10.93637408513613</c:v>
                </c:pt>
              </c:numCache>
            </c:numRef>
          </c:xVal>
          <c:yVal>
            <c:numRef>
              <c:f>Eigen!$Q$105:$Q$116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112960"/>
        <c:axId val="307139328"/>
      </c:scatterChart>
      <c:valAx>
        <c:axId val="307112960"/>
        <c:scaling>
          <c:orientation val="minMax"/>
          <c:max val="15"/>
          <c:min val="-15"/>
        </c:scaling>
        <c:delete val="0"/>
        <c:axPos val="b"/>
        <c:numFmt formatCode="General" sourceLinked="1"/>
        <c:majorTickMark val="out"/>
        <c:minorTickMark val="none"/>
        <c:tickLblPos val="nextTo"/>
        <c:crossAx val="307139328"/>
        <c:crosses val="autoZero"/>
        <c:crossBetween val="midCat"/>
      </c:valAx>
      <c:valAx>
        <c:axId val="307139328"/>
        <c:scaling>
          <c:orientation val="minMax"/>
          <c:max val="15"/>
          <c:min val="-15"/>
        </c:scaling>
        <c:delete val="1"/>
        <c:axPos val="l"/>
        <c:majorGridlines/>
        <c:numFmt formatCode="0" sourceLinked="0"/>
        <c:majorTickMark val="out"/>
        <c:minorTickMark val="none"/>
        <c:tickLblPos val="nextTo"/>
        <c:crossAx val="307112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Eigen!$D$8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xVal>
            <c:numRef>
              <c:f>Eigen!$G$9:$G$20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Eigen!$H$9:$H$20</c:f>
              <c:numCache>
                <c:formatCode>0.00</c:formatCode>
                <c:ptCount val="12"/>
                <c:pt idx="0">
                  <c:v>-0.73076726816411153</c:v>
                </c:pt>
                <c:pt idx="1">
                  <c:v>5.2533247691357641</c:v>
                </c:pt>
                <c:pt idx="2">
                  <c:v>8.2774189946865953</c:v>
                </c:pt>
                <c:pt idx="3">
                  <c:v>9.0235251975279773</c:v>
                </c:pt>
                <c:pt idx="4">
                  <c:v>6.1160768247175481</c:v>
                </c:pt>
                <c:pt idx="5">
                  <c:v>9.2471204363107837</c:v>
                </c:pt>
                <c:pt idx="6">
                  <c:v>14.267701567540387</c:v>
                </c:pt>
                <c:pt idx="7">
                  <c:v>20.357743255966113</c:v>
                </c:pt>
                <c:pt idx="8">
                  <c:v>13.496170383604536</c:v>
                </c:pt>
                <c:pt idx="9">
                  <c:v>14.103321409550574</c:v>
                </c:pt>
                <c:pt idx="10">
                  <c:v>9.4391489620648699</c:v>
                </c:pt>
                <c:pt idx="11">
                  <c:v>20.223249435210693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163136"/>
        <c:axId val="307164672"/>
      </c:scatterChart>
      <c:valAx>
        <c:axId val="307163136"/>
        <c:scaling>
          <c:orientation val="minMax"/>
          <c:max val="15"/>
          <c:min val="-15"/>
        </c:scaling>
        <c:delete val="0"/>
        <c:axPos val="b"/>
        <c:numFmt formatCode="General" sourceLinked="1"/>
        <c:majorTickMark val="out"/>
        <c:minorTickMark val="none"/>
        <c:tickLblPos val="nextTo"/>
        <c:crossAx val="307164672"/>
        <c:crosses val="autoZero"/>
        <c:crossBetween val="midCat"/>
      </c:valAx>
      <c:valAx>
        <c:axId val="30716467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07163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Gradient of Vector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0.23529040575069529"/>
          <c:w val="0.87635870516185477"/>
          <c:h val="0.57062561078671648"/>
        </c:manualLayout>
      </c:layout>
      <c:lineChart>
        <c:grouping val="standard"/>
        <c:varyColors val="0"/>
        <c:ser>
          <c:idx val="0"/>
          <c:order val="0"/>
          <c:tx>
            <c:strRef>
              <c:f>Eigen!$AP$45</c:f>
              <c:strCache>
                <c:ptCount val="1"/>
                <c:pt idx="0">
                  <c:v>Gradient</c:v>
                </c:pt>
              </c:strCache>
            </c:strRef>
          </c:tx>
          <c:marker>
            <c:symbol val="circle"/>
            <c:size val="7"/>
          </c:marker>
          <c:dLbls>
            <c:dLbl>
              <c:idx val="1"/>
              <c:layout>
                <c:manualLayout>
                  <c:x val="-7.4999999999999997E-2"/>
                  <c:y val="-3.77622294450240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8.0555555555555561E-2"/>
                  <c:y val="-5.45454425317014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6.3888888888888884E-2"/>
                  <c:y val="-5.45454425317014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5.2777777777777778E-2"/>
                  <c:y val="-4.61538359883627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5.833333333333323E-2"/>
                  <c:y val="-5.4545442531701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Eigen!$AP$46:$AP$51</c:f>
              <c:numCache>
                <c:formatCode>0.00000</c:formatCode>
                <c:ptCount val="6"/>
                <c:pt idx="0">
                  <c:v>1.3522080313294913</c:v>
                </c:pt>
                <c:pt idx="1">
                  <c:v>1.8624251265362244</c:v>
                </c:pt>
                <c:pt idx="2">
                  <c:v>1.9208499742054059</c:v>
                </c:pt>
                <c:pt idx="3">
                  <c:v>1.926118196805837</c:v>
                </c:pt>
                <c:pt idx="4">
                  <c:v>1.9265819500907824</c:v>
                </c:pt>
                <c:pt idx="5">
                  <c:v>1.9266226862796434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188864"/>
        <c:axId val="307190784"/>
      </c:lineChart>
      <c:catAx>
        <c:axId val="307188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times multiplied by Covariance Matrix</a:t>
                </a:r>
              </a:p>
            </c:rich>
          </c:tx>
          <c:overlay val="0"/>
        </c:title>
        <c:majorTickMark val="out"/>
        <c:minorTickMark val="none"/>
        <c:tickLblPos val="nextTo"/>
        <c:crossAx val="307190784"/>
        <c:crosses val="autoZero"/>
        <c:auto val="1"/>
        <c:lblAlgn val="ctr"/>
        <c:lblOffset val="100"/>
        <c:noMultiLvlLbl val="0"/>
      </c:catAx>
      <c:valAx>
        <c:axId val="307190784"/>
        <c:scaling>
          <c:orientation val="minMax"/>
          <c:max val="2"/>
          <c:min val="0"/>
        </c:scaling>
        <c:delete val="0"/>
        <c:axPos val="l"/>
        <c:majorGridlines/>
        <c:numFmt formatCode="0.00" sourceLinked="0"/>
        <c:majorTickMark val="out"/>
        <c:minorTickMark val="none"/>
        <c:tickLblPos val="nextTo"/>
        <c:crossAx val="30718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'Eigen (2)'!$D$8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xVal>
            <c:numRef>
              <c:f>'Eigen (2)'!$C$29:$C$40</c:f>
              <c:numCache>
                <c:formatCode>General</c:formatCode>
                <c:ptCount val="12"/>
                <c:pt idx="0">
                  <c:v>-5.5</c:v>
                </c:pt>
                <c:pt idx="1">
                  <c:v>-4.5</c:v>
                </c:pt>
                <c:pt idx="2">
                  <c:v>-3.5</c:v>
                </c:pt>
                <c:pt idx="3">
                  <c:v>-2.5</c:v>
                </c:pt>
                <c:pt idx="4">
                  <c:v>-1.5</c:v>
                </c:pt>
                <c:pt idx="5">
                  <c:v>-0.5</c:v>
                </c:pt>
                <c:pt idx="6">
                  <c:v>0.5</c:v>
                </c:pt>
                <c:pt idx="7">
                  <c:v>1.5</c:v>
                </c:pt>
                <c:pt idx="8">
                  <c:v>2.5</c:v>
                </c:pt>
                <c:pt idx="9">
                  <c:v>3.5</c:v>
                </c:pt>
                <c:pt idx="10">
                  <c:v>4.5</c:v>
                </c:pt>
                <c:pt idx="11">
                  <c:v>5.5</c:v>
                </c:pt>
              </c:numCache>
            </c:numRef>
          </c:xVal>
          <c:yVal>
            <c:numRef>
              <c:f>'Eigen (2)'!$D$29:$D$40</c:f>
              <c:numCache>
                <c:formatCode>0.00</c:formatCode>
                <c:ptCount val="12"/>
                <c:pt idx="0">
                  <c:v>-11.486936765510089</c:v>
                </c:pt>
                <c:pt idx="1">
                  <c:v>-5.5028447282102135</c:v>
                </c:pt>
                <c:pt idx="2">
                  <c:v>-2.4787505026593823</c:v>
                </c:pt>
                <c:pt idx="3">
                  <c:v>-1.7326442998180003</c:v>
                </c:pt>
                <c:pt idx="4">
                  <c:v>-4.6400926726284295</c:v>
                </c:pt>
                <c:pt idx="5">
                  <c:v>-1.5090490610351939</c:v>
                </c:pt>
                <c:pt idx="6">
                  <c:v>3.5115320701944093</c:v>
                </c:pt>
                <c:pt idx="7">
                  <c:v>9.6015737586201357</c:v>
                </c:pt>
                <c:pt idx="8">
                  <c:v>2.7400008862585583</c:v>
                </c:pt>
                <c:pt idx="9">
                  <c:v>3.3471519122045965</c:v>
                </c:pt>
                <c:pt idx="10">
                  <c:v>-1.3170205352811077</c:v>
                </c:pt>
                <c:pt idx="11">
                  <c:v>9.4670799378647157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374080"/>
        <c:axId val="321375616"/>
      </c:scatterChart>
      <c:valAx>
        <c:axId val="321374080"/>
        <c:scaling>
          <c:orientation val="minMax"/>
          <c:max val="15"/>
          <c:min val="-15"/>
        </c:scaling>
        <c:delete val="0"/>
        <c:axPos val="b"/>
        <c:numFmt formatCode="General" sourceLinked="1"/>
        <c:majorTickMark val="out"/>
        <c:minorTickMark val="none"/>
        <c:tickLblPos val="nextTo"/>
        <c:crossAx val="321375616"/>
        <c:crosses val="autoZero"/>
        <c:crossBetween val="midCat"/>
      </c:valAx>
      <c:valAx>
        <c:axId val="32137561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2137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'Eigen (2)'!$D$28</c:f>
              <c:strCache>
                <c:ptCount val="1"/>
                <c:pt idx="0">
                  <c:v>Y'</c:v>
                </c:pt>
              </c:strCache>
            </c:strRef>
          </c:tx>
          <c:spPr>
            <a:ln w="28575">
              <a:noFill/>
            </a:ln>
          </c:spPr>
          <c:xVal>
            <c:numRef>
              <c:f>'Eigen (2)'!$C$29:$C$40</c:f>
              <c:numCache>
                <c:formatCode>General</c:formatCode>
                <c:ptCount val="12"/>
                <c:pt idx="0">
                  <c:v>-5.5</c:v>
                </c:pt>
                <c:pt idx="1">
                  <c:v>-4.5</c:v>
                </c:pt>
                <c:pt idx="2">
                  <c:v>-3.5</c:v>
                </c:pt>
                <c:pt idx="3">
                  <c:v>-2.5</c:v>
                </c:pt>
                <c:pt idx="4">
                  <c:v>-1.5</c:v>
                </c:pt>
                <c:pt idx="5">
                  <c:v>-0.5</c:v>
                </c:pt>
                <c:pt idx="6">
                  <c:v>0.5</c:v>
                </c:pt>
                <c:pt idx="7">
                  <c:v>1.5</c:v>
                </c:pt>
                <c:pt idx="8">
                  <c:v>2.5</c:v>
                </c:pt>
                <c:pt idx="9">
                  <c:v>3.5</c:v>
                </c:pt>
                <c:pt idx="10">
                  <c:v>4.5</c:v>
                </c:pt>
                <c:pt idx="11">
                  <c:v>5.5</c:v>
                </c:pt>
              </c:numCache>
            </c:numRef>
          </c:xVal>
          <c:yVal>
            <c:numRef>
              <c:f>'Eigen (2)'!$D$29:$D$40</c:f>
              <c:numCache>
                <c:formatCode>0.00</c:formatCode>
                <c:ptCount val="12"/>
                <c:pt idx="0">
                  <c:v>-11.486936765510089</c:v>
                </c:pt>
                <c:pt idx="1">
                  <c:v>-5.5028447282102135</c:v>
                </c:pt>
                <c:pt idx="2">
                  <c:v>-2.4787505026593823</c:v>
                </c:pt>
                <c:pt idx="3">
                  <c:v>-1.7326442998180003</c:v>
                </c:pt>
                <c:pt idx="4">
                  <c:v>-4.6400926726284295</c:v>
                </c:pt>
                <c:pt idx="5">
                  <c:v>-1.5090490610351939</c:v>
                </c:pt>
                <c:pt idx="6">
                  <c:v>3.5115320701944093</c:v>
                </c:pt>
                <c:pt idx="7">
                  <c:v>9.6015737586201357</c:v>
                </c:pt>
                <c:pt idx="8">
                  <c:v>2.7400008862585583</c:v>
                </c:pt>
                <c:pt idx="9">
                  <c:v>3.3471519122045965</c:v>
                </c:pt>
                <c:pt idx="10">
                  <c:v>-1.3170205352811077</c:v>
                </c:pt>
                <c:pt idx="11">
                  <c:v>9.4670799378647157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'Eigen (2)'!$F$46</c:f>
              <c:strCache>
                <c:ptCount val="1"/>
                <c:pt idx="0">
                  <c:v>Arbitrary Vector (V1)</c:v>
                </c:pt>
              </c:strCache>
            </c:strRef>
          </c:tx>
          <c:spPr>
            <a:ln w="41275">
              <a:solidFill>
                <a:srgbClr val="FF0000"/>
              </a:solidFill>
              <a:tailEnd type="arrow" w="lg" len="lg"/>
            </a:ln>
          </c:spPr>
          <c:marker>
            <c:symbol val="none"/>
          </c:marker>
          <c:xVal>
            <c:numRef>
              <c:f>'Eigen (2)'!$G$47:$H$47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xVal>
          <c:yVal>
            <c:numRef>
              <c:f>'Eigen (2)'!$G$48:$H$48</c:f>
              <c:numCache>
                <c:formatCode>General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672512"/>
        <c:axId val="324698880"/>
      </c:scatterChart>
      <c:valAx>
        <c:axId val="324672512"/>
        <c:scaling>
          <c:orientation val="minMax"/>
          <c:max val="15"/>
          <c:min val="-15"/>
        </c:scaling>
        <c:delete val="0"/>
        <c:axPos val="b"/>
        <c:numFmt formatCode="General" sourceLinked="1"/>
        <c:majorTickMark val="out"/>
        <c:minorTickMark val="none"/>
        <c:tickLblPos val="nextTo"/>
        <c:crossAx val="324698880"/>
        <c:crosses val="autoZero"/>
        <c:crossBetween val="midCat"/>
      </c:valAx>
      <c:valAx>
        <c:axId val="324698880"/>
        <c:scaling>
          <c:orientation val="minMax"/>
          <c:max val="15"/>
          <c:min val="-15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2467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'Eigen (2)'!$D$8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xVal>
            <c:numRef>
              <c:f>'Eigen (2)'!$C$29:$C$40</c:f>
              <c:numCache>
                <c:formatCode>General</c:formatCode>
                <c:ptCount val="12"/>
                <c:pt idx="0">
                  <c:v>-5.5</c:v>
                </c:pt>
                <c:pt idx="1">
                  <c:v>-4.5</c:v>
                </c:pt>
                <c:pt idx="2">
                  <c:v>-3.5</c:v>
                </c:pt>
                <c:pt idx="3">
                  <c:v>-2.5</c:v>
                </c:pt>
                <c:pt idx="4">
                  <c:v>-1.5</c:v>
                </c:pt>
                <c:pt idx="5">
                  <c:v>-0.5</c:v>
                </c:pt>
                <c:pt idx="6">
                  <c:v>0.5</c:v>
                </c:pt>
                <c:pt idx="7">
                  <c:v>1.5</c:v>
                </c:pt>
                <c:pt idx="8">
                  <c:v>2.5</c:v>
                </c:pt>
                <c:pt idx="9">
                  <c:v>3.5</c:v>
                </c:pt>
                <c:pt idx="10">
                  <c:v>4.5</c:v>
                </c:pt>
                <c:pt idx="11">
                  <c:v>5.5</c:v>
                </c:pt>
              </c:numCache>
            </c:numRef>
          </c:xVal>
          <c:yVal>
            <c:numRef>
              <c:f>'Eigen (2)'!$D$29:$D$40</c:f>
              <c:numCache>
                <c:formatCode>0.00</c:formatCode>
                <c:ptCount val="12"/>
                <c:pt idx="0">
                  <c:v>-11.486936765510089</c:v>
                </c:pt>
                <c:pt idx="1">
                  <c:v>-5.5028447282102135</c:v>
                </c:pt>
                <c:pt idx="2">
                  <c:v>-2.4787505026593823</c:v>
                </c:pt>
                <c:pt idx="3">
                  <c:v>-1.7326442998180003</c:v>
                </c:pt>
                <c:pt idx="4">
                  <c:v>-4.6400926726284295</c:v>
                </c:pt>
                <c:pt idx="5">
                  <c:v>-1.5090490610351939</c:v>
                </c:pt>
                <c:pt idx="6">
                  <c:v>3.5115320701944093</c:v>
                </c:pt>
                <c:pt idx="7">
                  <c:v>9.6015737586201357</c:v>
                </c:pt>
                <c:pt idx="8">
                  <c:v>2.7400008862585583</c:v>
                </c:pt>
                <c:pt idx="9">
                  <c:v>3.3471519122045965</c:v>
                </c:pt>
                <c:pt idx="10">
                  <c:v>-1.3170205352811077</c:v>
                </c:pt>
                <c:pt idx="11">
                  <c:v>9.4670799378647157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'Eigen (2)'!$F$46</c:f>
              <c:strCache>
                <c:ptCount val="1"/>
                <c:pt idx="0">
                  <c:v>Arbitrary Vector (V1)</c:v>
                </c:pt>
              </c:strCache>
            </c:strRef>
          </c:tx>
          <c:spPr>
            <a:ln w="41275">
              <a:solidFill>
                <a:srgbClr val="FF0000"/>
              </a:solidFill>
              <a:tailEnd type="arrow" w="lg" len="lg"/>
            </a:ln>
          </c:spPr>
          <c:marker>
            <c:symbol val="none"/>
          </c:marker>
          <c:xVal>
            <c:numRef>
              <c:f>'Eigen (2)'!$G$47:$H$47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xVal>
          <c:yVal>
            <c:numRef>
              <c:f>'Eigen (2)'!$G$48:$H$48</c:f>
              <c:numCache>
                <c:formatCode>General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'Eigen (2)'!$L$52</c:f>
              <c:strCache>
                <c:ptCount val="1"/>
                <c:pt idx="0">
                  <c:v>Cv.V1 (Scaled)</c:v>
                </c:pt>
              </c:strCache>
            </c:strRef>
          </c:tx>
          <c:spPr>
            <a:ln w="34925">
              <a:solidFill>
                <a:srgbClr val="00B0F0"/>
              </a:solidFill>
              <a:prstDash val="sysDash"/>
              <a:tailEnd type="arrow" w="lg" len="lg"/>
            </a:ln>
          </c:spPr>
          <c:marker>
            <c:symbol val="none"/>
          </c:marker>
          <c:xVal>
            <c:numRef>
              <c:f>'Eigen (2)'!$L$53:$M$53</c:f>
              <c:numCache>
                <c:formatCode>0.0</c:formatCode>
                <c:ptCount val="2"/>
                <c:pt idx="0">
                  <c:v>0</c:v>
                </c:pt>
                <c:pt idx="1">
                  <c:v>4.9246069686387042</c:v>
                </c:pt>
              </c:numCache>
            </c:numRef>
          </c:xVal>
          <c:yVal>
            <c:numRef>
              <c:f>'Eigen (2)'!$L$54:$M$54</c:f>
              <c:numCache>
                <c:formatCode>0.0</c:formatCode>
                <c:ptCount val="2"/>
                <c:pt idx="0">
                  <c:v>0</c:v>
                </c:pt>
                <c:pt idx="1">
                  <c:v>6.6590930941344366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965888"/>
        <c:axId val="324967424"/>
      </c:scatterChart>
      <c:valAx>
        <c:axId val="324965888"/>
        <c:scaling>
          <c:orientation val="minMax"/>
          <c:max val="15"/>
          <c:min val="-15"/>
        </c:scaling>
        <c:delete val="0"/>
        <c:axPos val="b"/>
        <c:numFmt formatCode="General" sourceLinked="1"/>
        <c:majorTickMark val="out"/>
        <c:minorTickMark val="none"/>
        <c:tickLblPos val="nextTo"/>
        <c:crossAx val="324967424"/>
        <c:crosses val="autoZero"/>
        <c:crossBetween val="midCat"/>
      </c:valAx>
      <c:valAx>
        <c:axId val="324967424"/>
        <c:scaling>
          <c:orientation val="minMax"/>
          <c:max val="15"/>
          <c:min val="-15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24965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'Eigen (2)'!$D$8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xVal>
            <c:numRef>
              <c:f>'Eigen (2)'!$C$29:$C$40</c:f>
              <c:numCache>
                <c:formatCode>General</c:formatCode>
                <c:ptCount val="12"/>
                <c:pt idx="0">
                  <c:v>-5.5</c:v>
                </c:pt>
                <c:pt idx="1">
                  <c:v>-4.5</c:v>
                </c:pt>
                <c:pt idx="2">
                  <c:v>-3.5</c:v>
                </c:pt>
                <c:pt idx="3">
                  <c:v>-2.5</c:v>
                </c:pt>
                <c:pt idx="4">
                  <c:v>-1.5</c:v>
                </c:pt>
                <c:pt idx="5">
                  <c:v>-0.5</c:v>
                </c:pt>
                <c:pt idx="6">
                  <c:v>0.5</c:v>
                </c:pt>
                <c:pt idx="7">
                  <c:v>1.5</c:v>
                </c:pt>
                <c:pt idx="8">
                  <c:v>2.5</c:v>
                </c:pt>
                <c:pt idx="9">
                  <c:v>3.5</c:v>
                </c:pt>
                <c:pt idx="10">
                  <c:v>4.5</c:v>
                </c:pt>
                <c:pt idx="11">
                  <c:v>5.5</c:v>
                </c:pt>
              </c:numCache>
            </c:numRef>
          </c:xVal>
          <c:yVal>
            <c:numRef>
              <c:f>'Eigen (2)'!$D$29:$D$40</c:f>
              <c:numCache>
                <c:formatCode>0.00</c:formatCode>
                <c:ptCount val="12"/>
                <c:pt idx="0">
                  <c:v>-11.486936765510089</c:v>
                </c:pt>
                <c:pt idx="1">
                  <c:v>-5.5028447282102135</c:v>
                </c:pt>
                <c:pt idx="2">
                  <c:v>-2.4787505026593823</c:v>
                </c:pt>
                <c:pt idx="3">
                  <c:v>-1.7326442998180003</c:v>
                </c:pt>
                <c:pt idx="4">
                  <c:v>-4.6400926726284295</c:v>
                </c:pt>
                <c:pt idx="5">
                  <c:v>-1.5090490610351939</c:v>
                </c:pt>
                <c:pt idx="6">
                  <c:v>3.5115320701944093</c:v>
                </c:pt>
                <c:pt idx="7">
                  <c:v>9.6015737586201357</c:v>
                </c:pt>
                <c:pt idx="8">
                  <c:v>2.7400008862585583</c:v>
                </c:pt>
                <c:pt idx="9">
                  <c:v>3.3471519122045965</c:v>
                </c:pt>
                <c:pt idx="10">
                  <c:v>-1.3170205352811077</c:v>
                </c:pt>
                <c:pt idx="11">
                  <c:v>9.4670799378647157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'Eigen (2)'!$F$46</c:f>
              <c:strCache>
                <c:ptCount val="1"/>
                <c:pt idx="0">
                  <c:v>Arbitrary Vector (V1)</c:v>
                </c:pt>
              </c:strCache>
            </c:strRef>
          </c:tx>
          <c:spPr>
            <a:ln w="41275">
              <a:solidFill>
                <a:srgbClr val="FF0000"/>
              </a:solidFill>
              <a:tailEnd type="arrow" w="lg" len="lg"/>
            </a:ln>
          </c:spPr>
          <c:marker>
            <c:symbol val="none"/>
          </c:marker>
          <c:xVal>
            <c:numRef>
              <c:f>'Eigen (2)'!$G$47:$H$47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xVal>
          <c:yVal>
            <c:numRef>
              <c:f>'Eigen (2)'!$G$48:$H$48</c:f>
              <c:numCache>
                <c:formatCode>General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'Eigen (2)'!$L$52</c:f>
              <c:strCache>
                <c:ptCount val="1"/>
                <c:pt idx="0">
                  <c:v>Cv.V1 (Scaled)</c:v>
                </c:pt>
              </c:strCache>
            </c:strRef>
          </c:tx>
          <c:spPr>
            <a:ln w="38100">
              <a:solidFill>
                <a:srgbClr val="00B0F0"/>
              </a:solidFill>
              <a:prstDash val="sysDash"/>
              <a:tailEnd type="arrow" w="lg" len="lg"/>
            </a:ln>
          </c:spPr>
          <c:marker>
            <c:symbol val="none"/>
          </c:marker>
          <c:xVal>
            <c:numRef>
              <c:f>'Eigen (2)'!$L$53:$M$53</c:f>
              <c:numCache>
                <c:formatCode>0.0</c:formatCode>
                <c:ptCount val="2"/>
                <c:pt idx="0">
                  <c:v>0</c:v>
                </c:pt>
                <c:pt idx="1">
                  <c:v>4.9246069686387042</c:v>
                </c:pt>
              </c:numCache>
            </c:numRef>
          </c:xVal>
          <c:yVal>
            <c:numRef>
              <c:f>'Eigen (2)'!$L$54:$M$54</c:f>
              <c:numCache>
                <c:formatCode>0.0</c:formatCode>
                <c:ptCount val="2"/>
                <c:pt idx="0">
                  <c:v>0</c:v>
                </c:pt>
                <c:pt idx="1">
                  <c:v>6.6590930941344366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'Eigen (2)'!$Q$52</c:f>
              <c:strCache>
                <c:ptCount val="1"/>
                <c:pt idx="0">
                  <c:v>Cv2.V1 (Scaled)</c:v>
                </c:pt>
              </c:strCache>
            </c:strRef>
          </c:tx>
          <c:spPr>
            <a:ln w="25400">
              <a:solidFill>
                <a:srgbClr val="00B050"/>
              </a:solidFill>
              <a:prstDash val="sysDash"/>
              <a:tailEnd type="arrow" w="lg" len="lg"/>
            </a:ln>
          </c:spPr>
          <c:marker>
            <c:symbol val="none"/>
          </c:marker>
          <c:xVal>
            <c:numRef>
              <c:f>'Eigen (2)'!$Q$53:$R$53</c:f>
              <c:numCache>
                <c:formatCode>0</c:formatCode>
                <c:ptCount val="2"/>
                <c:pt idx="0" formatCode="0.0">
                  <c:v>0</c:v>
                </c:pt>
                <c:pt idx="1">
                  <c:v>8.192940856218085</c:v>
                </c:pt>
              </c:numCache>
            </c:numRef>
          </c:xVal>
          <c:yVal>
            <c:numRef>
              <c:f>'Eigen (2)'!$Q$54:$R$54</c:f>
              <c:numCache>
                <c:formatCode>0</c:formatCode>
                <c:ptCount val="2"/>
                <c:pt idx="0" formatCode="0.0">
                  <c:v>0</c:v>
                </c:pt>
                <c:pt idx="1">
                  <c:v>15.258738910845768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04704"/>
        <c:axId val="321706240"/>
      </c:scatterChart>
      <c:valAx>
        <c:axId val="321704704"/>
        <c:scaling>
          <c:orientation val="minMax"/>
          <c:max val="15"/>
          <c:min val="-15"/>
        </c:scaling>
        <c:delete val="0"/>
        <c:axPos val="b"/>
        <c:numFmt formatCode="General" sourceLinked="1"/>
        <c:majorTickMark val="out"/>
        <c:minorTickMark val="none"/>
        <c:tickLblPos val="nextTo"/>
        <c:crossAx val="321706240"/>
        <c:crosses val="autoZero"/>
        <c:crossBetween val="midCat"/>
      </c:valAx>
      <c:valAx>
        <c:axId val="321706240"/>
        <c:scaling>
          <c:orientation val="minMax"/>
          <c:max val="15"/>
          <c:min val="-15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21704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'Eigen (2)'!$D$8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xVal>
            <c:numRef>
              <c:f>'Eigen (2)'!$C$29:$C$40</c:f>
              <c:numCache>
                <c:formatCode>General</c:formatCode>
                <c:ptCount val="12"/>
                <c:pt idx="0">
                  <c:v>-5.5</c:v>
                </c:pt>
                <c:pt idx="1">
                  <c:v>-4.5</c:v>
                </c:pt>
                <c:pt idx="2">
                  <c:v>-3.5</c:v>
                </c:pt>
                <c:pt idx="3">
                  <c:v>-2.5</c:v>
                </c:pt>
                <c:pt idx="4">
                  <c:v>-1.5</c:v>
                </c:pt>
                <c:pt idx="5">
                  <c:v>-0.5</c:v>
                </c:pt>
                <c:pt idx="6">
                  <c:v>0.5</c:v>
                </c:pt>
                <c:pt idx="7">
                  <c:v>1.5</c:v>
                </c:pt>
                <c:pt idx="8">
                  <c:v>2.5</c:v>
                </c:pt>
                <c:pt idx="9">
                  <c:v>3.5</c:v>
                </c:pt>
                <c:pt idx="10">
                  <c:v>4.5</c:v>
                </c:pt>
                <c:pt idx="11">
                  <c:v>5.5</c:v>
                </c:pt>
              </c:numCache>
            </c:numRef>
          </c:xVal>
          <c:yVal>
            <c:numRef>
              <c:f>'Eigen (2)'!$D$29:$D$40</c:f>
              <c:numCache>
                <c:formatCode>0.00</c:formatCode>
                <c:ptCount val="12"/>
                <c:pt idx="0">
                  <c:v>-11.486936765510089</c:v>
                </c:pt>
                <c:pt idx="1">
                  <c:v>-5.5028447282102135</c:v>
                </c:pt>
                <c:pt idx="2">
                  <c:v>-2.4787505026593823</c:v>
                </c:pt>
                <c:pt idx="3">
                  <c:v>-1.7326442998180003</c:v>
                </c:pt>
                <c:pt idx="4">
                  <c:v>-4.6400926726284295</c:v>
                </c:pt>
                <c:pt idx="5">
                  <c:v>-1.5090490610351939</c:v>
                </c:pt>
                <c:pt idx="6">
                  <c:v>3.5115320701944093</c:v>
                </c:pt>
                <c:pt idx="7">
                  <c:v>9.6015737586201357</c:v>
                </c:pt>
                <c:pt idx="8">
                  <c:v>2.7400008862585583</c:v>
                </c:pt>
                <c:pt idx="9">
                  <c:v>3.3471519122045965</c:v>
                </c:pt>
                <c:pt idx="10">
                  <c:v>-1.3170205352811077</c:v>
                </c:pt>
                <c:pt idx="11">
                  <c:v>9.4670799378647157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'Eigen (2)'!$F$46</c:f>
              <c:strCache>
                <c:ptCount val="1"/>
                <c:pt idx="0">
                  <c:v>Arbitrary Vector (V1)</c:v>
                </c:pt>
              </c:strCache>
            </c:strRef>
          </c:tx>
          <c:spPr>
            <a:ln w="41275">
              <a:solidFill>
                <a:srgbClr val="FF0000"/>
              </a:solidFill>
              <a:tailEnd type="arrow" w="lg" len="lg"/>
            </a:ln>
          </c:spPr>
          <c:marker>
            <c:symbol val="none"/>
          </c:marker>
          <c:xVal>
            <c:numRef>
              <c:f>'Eigen (2)'!$AQ$80:$AR$80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-19.508708279492048</c:v>
                </c:pt>
              </c:numCache>
            </c:numRef>
          </c:xVal>
          <c:yVal>
            <c:numRef>
              <c:f>'Eigen (2)'!$AQ$81:$AR$81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-37.591105107309581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'Eigen (2)'!$L$52</c:f>
              <c:strCache>
                <c:ptCount val="1"/>
                <c:pt idx="0">
                  <c:v>Cv.V1 (Scaled)</c:v>
                </c:pt>
              </c:strCache>
            </c:strRef>
          </c:tx>
          <c:spPr>
            <a:ln w="34925">
              <a:solidFill>
                <a:srgbClr val="00B0F0"/>
              </a:solidFill>
              <a:prstDash val="sysDash"/>
              <a:tailEnd type="arrow" w="lg" len="lg"/>
            </a:ln>
          </c:spPr>
          <c:marker>
            <c:symbol val="none"/>
          </c:marker>
          <c:xVal>
            <c:numRef>
              <c:f>'Eigen (2)'!$AQ$77:$AR$77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-9.9042110926668556</c:v>
                </c:pt>
              </c:numCache>
            </c:numRef>
          </c:xVal>
          <c:yVal>
            <c:numRef>
              <c:f>'Eigen (2)'!$AQ$78:$AR$78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5.1400022530270224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666048"/>
        <c:axId val="321671936"/>
      </c:scatterChart>
      <c:valAx>
        <c:axId val="321666048"/>
        <c:scaling>
          <c:orientation val="minMax"/>
          <c:max val="40"/>
          <c:min val="-40"/>
        </c:scaling>
        <c:delete val="0"/>
        <c:axPos val="b"/>
        <c:numFmt formatCode="General" sourceLinked="1"/>
        <c:majorTickMark val="out"/>
        <c:minorTickMark val="none"/>
        <c:tickLblPos val="nextTo"/>
        <c:crossAx val="321671936"/>
        <c:crosses val="autoZero"/>
        <c:crossBetween val="midCat"/>
      </c:valAx>
      <c:valAx>
        <c:axId val="321671936"/>
        <c:scaling>
          <c:orientation val="minMax"/>
          <c:max val="40"/>
          <c:min val="-4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21666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Unscaled</a:t>
            </a:r>
            <a:r>
              <a:rPr lang="en-GB" baseline="0"/>
              <a:t> Eigen Vectors</a:t>
            </a:r>
            <a:endParaRPr lang="en-GB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'Eigen (2)'!$AT$77</c:f>
              <c:strCache>
                <c:ptCount val="1"/>
                <c:pt idx="0">
                  <c:v>Eigen Vector 1</c:v>
                </c:pt>
              </c:strCache>
            </c:strRef>
          </c:tx>
          <c:spPr>
            <a:ln w="28575">
              <a:solidFill>
                <a:srgbClr val="00B0F0"/>
              </a:solidFill>
              <a:tailEnd type="arrow" w="lg" len="lg"/>
            </a:ln>
          </c:spPr>
          <c:marker>
            <c:symbol val="none"/>
          </c:marker>
          <c:xVal>
            <c:numRef>
              <c:f>'Eigen (2)'!$AU$77:$AV$77</c:f>
              <c:numCache>
                <c:formatCode>0.000000</c:formatCode>
                <c:ptCount val="2"/>
                <c:pt idx="0" formatCode="General">
                  <c:v>0</c:v>
                </c:pt>
                <c:pt idx="1">
                  <c:v>-0.88759021000000005</c:v>
                </c:pt>
              </c:numCache>
            </c:numRef>
          </c:xVal>
          <c:yVal>
            <c:numRef>
              <c:f>'Eigen (2)'!$AU$78:$AV$78</c:f>
              <c:numCache>
                <c:formatCode>0.000000</c:formatCode>
                <c:ptCount val="2"/>
                <c:pt idx="0" formatCode="General">
                  <c:v>0</c:v>
                </c:pt>
                <c:pt idx="1">
                  <c:v>0.46063393000000002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'Eigen (2)'!$AT$80</c:f>
              <c:strCache>
                <c:ptCount val="1"/>
                <c:pt idx="0">
                  <c:v>Eigen Vector 2</c:v>
                </c:pt>
              </c:strCache>
            </c:strRef>
          </c:tx>
          <c:spPr>
            <a:ln>
              <a:tailEnd type="arrow" w="lg" len="lg"/>
            </a:ln>
          </c:spPr>
          <c:marker>
            <c:symbol val="none"/>
          </c:marker>
          <c:xVal>
            <c:numRef>
              <c:f>'Eigen (2)'!$AU$80:$AV$80</c:f>
              <c:numCache>
                <c:formatCode>0.000000</c:formatCode>
                <c:ptCount val="2"/>
                <c:pt idx="0" formatCode="General">
                  <c:v>0</c:v>
                </c:pt>
                <c:pt idx="1">
                  <c:v>-0.46063393000000002</c:v>
                </c:pt>
              </c:numCache>
            </c:numRef>
          </c:xVal>
          <c:yVal>
            <c:numRef>
              <c:f>'Eigen (2)'!$AU$81:$AV$81</c:f>
              <c:numCache>
                <c:formatCode>0.000000</c:formatCode>
                <c:ptCount val="2"/>
                <c:pt idx="0" formatCode="General">
                  <c:v>0</c:v>
                </c:pt>
                <c:pt idx="1">
                  <c:v>-0.88759021000000005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940544"/>
        <c:axId val="324942080"/>
      </c:scatterChart>
      <c:valAx>
        <c:axId val="324940544"/>
        <c:scaling>
          <c:orientation val="minMax"/>
          <c:max val="1"/>
          <c:min val="-1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324942080"/>
        <c:crosses val="autoZero"/>
        <c:crossBetween val="midCat"/>
        <c:majorUnit val="0.2"/>
      </c:valAx>
      <c:valAx>
        <c:axId val="324942080"/>
        <c:scaling>
          <c:orientation val="minMax"/>
          <c:max val="1"/>
          <c:min val="-1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2494054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'Eigen (2)'!$D$8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dPt>
            <c:idx val="0"/>
            <c:marker>
              <c:symbol val="diamond"/>
              <c:size val="14"/>
              <c:spPr>
                <a:solidFill>
                  <a:srgbClr val="FF0000"/>
                </a:solidFill>
              </c:spPr>
            </c:marker>
            <c:bubble3D val="0"/>
          </c:dPt>
          <c:dPt>
            <c:idx val="11"/>
            <c:marker>
              <c:symbol val="diamond"/>
              <c:size val="14"/>
              <c:spPr>
                <a:solidFill>
                  <a:srgbClr val="00B050"/>
                </a:solidFill>
              </c:spPr>
            </c:marker>
            <c:bubble3D val="0"/>
          </c:dPt>
          <c:xVal>
            <c:numRef>
              <c:f>'Eigen (2)'!$L$105:$L$116</c:f>
              <c:numCache>
                <c:formatCode>General</c:formatCode>
                <c:ptCount val="12"/>
                <c:pt idx="0">
                  <c:v>12.729179230955822</c:v>
                </c:pt>
                <c:pt idx="1">
                  <c:v>6.9571237929094965</c:v>
                </c:pt>
                <c:pt idx="2">
                  <c:v>3.8123334341930466</c:v>
                </c:pt>
                <c:pt idx="3">
                  <c:v>2.6894629429307617</c:v>
                </c:pt>
                <c:pt idx="4">
                  <c:v>4.8094517247177295</c:v>
                </c:pt>
                <c:pt idx="5">
                  <c:v>1.5697341379845307</c:v>
                </c:pt>
                <c:pt idx="6">
                  <c:v>-3.3471184526055908</c:v>
                </c:pt>
                <c:pt idx="7">
                  <c:v>-9.213213763744136</c:v>
                </c:pt>
                <c:pt idx="8">
                  <c:v>-3.5835827870344201</c:v>
                </c:pt>
                <c:pt idx="9">
                  <c:v>-4.5831180236555795</c:v>
                </c:pt>
                <c:pt idx="10">
                  <c:v>-0.90387815151552919</c:v>
                </c:pt>
                <c:pt idx="11">
                  <c:v>-10.93637408513613</c:v>
                </c:pt>
              </c:numCache>
            </c:numRef>
          </c:xVal>
          <c:yVal>
            <c:numRef>
              <c:f>'Eigen (2)'!$M$105:$M$116</c:f>
              <c:numCache>
                <c:formatCode>General</c:formatCode>
                <c:ptCount val="12"/>
                <c:pt idx="0">
                  <c:v>-0.40952667095840134</c:v>
                </c:pt>
                <c:pt idx="1">
                  <c:v>1.4593589516647474</c:v>
                </c:pt>
                <c:pt idx="2">
                  <c:v>1.9647691494705335</c:v>
                </c:pt>
                <c:pt idx="3">
                  <c:v>1.4208607718827366</c:v>
                </c:pt>
                <c:pt idx="4">
                  <c:v>-0.80599880835703686</c:v>
                </c:pt>
                <c:pt idx="5">
                  <c:v>-0.25132409454745125</c:v>
                </c:pt>
                <c:pt idx="6">
                  <c:v>1.1737357128146868</c:v>
                </c:pt>
                <c:pt idx="7">
                  <c:v>3.0914253396180644</c:v>
                </c:pt>
                <c:pt idx="8">
                  <c:v>-0.95683814855923743</c:v>
                </c:pt>
                <c:pt idx="9">
                  <c:v>-1.5647539953741818</c:v>
                </c:pt>
                <c:pt idx="10">
                  <c:v>-4.6008202900572401</c:v>
                </c:pt>
                <c:pt idx="11" formatCode="0.00">
                  <c:v>-0.52088791759721964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959232"/>
        <c:axId val="324915968"/>
      </c:scatterChart>
      <c:valAx>
        <c:axId val="324959232"/>
        <c:scaling>
          <c:orientation val="minMax"/>
          <c:max val="15"/>
          <c:min val="-15"/>
        </c:scaling>
        <c:delete val="0"/>
        <c:axPos val="b"/>
        <c:numFmt formatCode="General" sourceLinked="1"/>
        <c:majorTickMark val="out"/>
        <c:minorTickMark val="none"/>
        <c:tickLblPos val="nextTo"/>
        <c:crossAx val="324915968"/>
        <c:crosses val="autoZero"/>
        <c:crossBetween val="midCat"/>
      </c:valAx>
      <c:valAx>
        <c:axId val="324915968"/>
        <c:scaling>
          <c:orientation val="minMax"/>
          <c:max val="15"/>
          <c:min val="-15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2495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'Eigen (2)'!$D$8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dPt>
            <c:idx val="0"/>
            <c:marker>
              <c:symbol val="diamond"/>
              <c:size val="13"/>
              <c:spPr>
                <a:solidFill>
                  <a:srgbClr val="FF0000"/>
                </a:solidFill>
              </c:spPr>
            </c:marker>
            <c:bubble3D val="0"/>
          </c:dPt>
          <c:dPt>
            <c:idx val="11"/>
            <c:marker>
              <c:symbol val="diamond"/>
              <c:size val="12"/>
              <c:spPr>
                <a:solidFill>
                  <a:srgbClr val="00B050"/>
                </a:solidFill>
              </c:spPr>
            </c:marker>
            <c:bubble3D val="0"/>
          </c:dPt>
          <c:xVal>
            <c:numRef>
              <c:f>'Eigen (2)'!$C$29:$C$40</c:f>
              <c:numCache>
                <c:formatCode>General</c:formatCode>
                <c:ptCount val="12"/>
                <c:pt idx="0">
                  <c:v>-5.5</c:v>
                </c:pt>
                <c:pt idx="1">
                  <c:v>-4.5</c:v>
                </c:pt>
                <c:pt idx="2">
                  <c:v>-3.5</c:v>
                </c:pt>
                <c:pt idx="3">
                  <c:v>-2.5</c:v>
                </c:pt>
                <c:pt idx="4">
                  <c:v>-1.5</c:v>
                </c:pt>
                <c:pt idx="5">
                  <c:v>-0.5</c:v>
                </c:pt>
                <c:pt idx="6">
                  <c:v>0.5</c:v>
                </c:pt>
                <c:pt idx="7">
                  <c:v>1.5</c:v>
                </c:pt>
                <c:pt idx="8">
                  <c:v>2.5</c:v>
                </c:pt>
                <c:pt idx="9">
                  <c:v>3.5</c:v>
                </c:pt>
                <c:pt idx="10">
                  <c:v>4.5</c:v>
                </c:pt>
                <c:pt idx="11">
                  <c:v>5.5</c:v>
                </c:pt>
              </c:numCache>
            </c:numRef>
          </c:xVal>
          <c:yVal>
            <c:numRef>
              <c:f>'Eigen (2)'!$D$29:$D$40</c:f>
              <c:numCache>
                <c:formatCode>0.00</c:formatCode>
                <c:ptCount val="12"/>
                <c:pt idx="0">
                  <c:v>-11.486936765510089</c:v>
                </c:pt>
                <c:pt idx="1">
                  <c:v>-5.5028447282102135</c:v>
                </c:pt>
                <c:pt idx="2">
                  <c:v>-2.4787505026593823</c:v>
                </c:pt>
                <c:pt idx="3">
                  <c:v>-1.7326442998180003</c:v>
                </c:pt>
                <c:pt idx="4">
                  <c:v>-4.6400926726284295</c:v>
                </c:pt>
                <c:pt idx="5">
                  <c:v>-1.5090490610351939</c:v>
                </c:pt>
                <c:pt idx="6">
                  <c:v>3.5115320701944093</c:v>
                </c:pt>
                <c:pt idx="7">
                  <c:v>9.6015737586201357</c:v>
                </c:pt>
                <c:pt idx="8">
                  <c:v>2.7400008862585583</c:v>
                </c:pt>
                <c:pt idx="9">
                  <c:v>3.3471519122045965</c:v>
                </c:pt>
                <c:pt idx="10">
                  <c:v>-1.3170205352811077</c:v>
                </c:pt>
                <c:pt idx="11">
                  <c:v>9.4670799378647157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087616"/>
        <c:axId val="325089152"/>
      </c:scatterChart>
      <c:valAx>
        <c:axId val="325087616"/>
        <c:scaling>
          <c:orientation val="minMax"/>
          <c:max val="15"/>
          <c:min val="-15"/>
        </c:scaling>
        <c:delete val="0"/>
        <c:axPos val="b"/>
        <c:numFmt formatCode="General" sourceLinked="1"/>
        <c:majorTickMark val="out"/>
        <c:minorTickMark val="none"/>
        <c:tickLblPos val="nextTo"/>
        <c:crossAx val="325089152"/>
        <c:crosses val="autoZero"/>
        <c:crossBetween val="midCat"/>
      </c:valAx>
      <c:valAx>
        <c:axId val="3250891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2508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'Eigen (2)'!$D$8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dPt>
            <c:idx val="0"/>
            <c:marker>
              <c:symbol val="diamond"/>
              <c:size val="14"/>
              <c:spPr>
                <a:solidFill>
                  <a:srgbClr val="FF0000"/>
                </a:solidFill>
              </c:spPr>
            </c:marker>
            <c:bubble3D val="0"/>
          </c:dPt>
          <c:dPt>
            <c:idx val="11"/>
            <c:marker>
              <c:symbol val="diamond"/>
              <c:size val="14"/>
              <c:spPr>
                <a:solidFill>
                  <a:srgbClr val="00B050"/>
                </a:solidFill>
              </c:spPr>
            </c:marker>
            <c:bubble3D val="0"/>
          </c:dPt>
          <c:xVal>
            <c:numRef>
              <c:f>'Eigen (2)'!$L$105:$L$116</c:f>
              <c:numCache>
                <c:formatCode>General</c:formatCode>
                <c:ptCount val="12"/>
                <c:pt idx="0">
                  <c:v>12.729179230955822</c:v>
                </c:pt>
                <c:pt idx="1">
                  <c:v>6.9571237929094965</c:v>
                </c:pt>
                <c:pt idx="2">
                  <c:v>3.8123334341930466</c:v>
                </c:pt>
                <c:pt idx="3">
                  <c:v>2.6894629429307617</c:v>
                </c:pt>
                <c:pt idx="4">
                  <c:v>4.8094517247177295</c:v>
                </c:pt>
                <c:pt idx="5">
                  <c:v>1.5697341379845307</c:v>
                </c:pt>
                <c:pt idx="6">
                  <c:v>-3.3471184526055908</c:v>
                </c:pt>
                <c:pt idx="7">
                  <c:v>-9.213213763744136</c:v>
                </c:pt>
                <c:pt idx="8">
                  <c:v>-3.5835827870344201</c:v>
                </c:pt>
                <c:pt idx="9">
                  <c:v>-4.5831180236555795</c:v>
                </c:pt>
                <c:pt idx="10">
                  <c:v>-0.90387815151552919</c:v>
                </c:pt>
                <c:pt idx="11">
                  <c:v>-10.93637408513613</c:v>
                </c:pt>
              </c:numCache>
            </c:numRef>
          </c:xVal>
          <c:yVal>
            <c:numRef>
              <c:f>'Eigen (2)'!$Q$105:$Q$116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060480"/>
        <c:axId val="325062016"/>
      </c:scatterChart>
      <c:valAx>
        <c:axId val="325060480"/>
        <c:scaling>
          <c:orientation val="minMax"/>
          <c:max val="15"/>
          <c:min val="-15"/>
        </c:scaling>
        <c:delete val="0"/>
        <c:axPos val="b"/>
        <c:numFmt formatCode="General" sourceLinked="1"/>
        <c:majorTickMark val="out"/>
        <c:minorTickMark val="none"/>
        <c:tickLblPos val="nextTo"/>
        <c:crossAx val="325062016"/>
        <c:crosses val="autoZero"/>
        <c:crossBetween val="midCat"/>
      </c:valAx>
      <c:valAx>
        <c:axId val="325062016"/>
        <c:scaling>
          <c:orientation val="minMax"/>
          <c:max val="15"/>
          <c:min val="-15"/>
        </c:scaling>
        <c:delete val="1"/>
        <c:axPos val="l"/>
        <c:majorGridlines/>
        <c:numFmt formatCode="0" sourceLinked="0"/>
        <c:majorTickMark val="out"/>
        <c:minorTickMark val="none"/>
        <c:tickLblPos val="nextTo"/>
        <c:crossAx val="325060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'Eigen (2)'!$D$8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xVal>
            <c:numRef>
              <c:f>'Eigen (2)'!$G$9:$G$20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'Eigen (2)'!$H$9:$H$20</c:f>
              <c:numCache>
                <c:formatCode>0.00</c:formatCode>
                <c:ptCount val="12"/>
                <c:pt idx="0">
                  <c:v>-0.73076726816411153</c:v>
                </c:pt>
                <c:pt idx="1">
                  <c:v>5.2533247691357641</c:v>
                </c:pt>
                <c:pt idx="2">
                  <c:v>8.2774189946865953</c:v>
                </c:pt>
                <c:pt idx="3">
                  <c:v>9.0235251975279773</c:v>
                </c:pt>
                <c:pt idx="4">
                  <c:v>6.1160768247175481</c:v>
                </c:pt>
                <c:pt idx="5">
                  <c:v>9.2471204363107837</c:v>
                </c:pt>
                <c:pt idx="6">
                  <c:v>14.267701567540387</c:v>
                </c:pt>
                <c:pt idx="7">
                  <c:v>20.357743255966113</c:v>
                </c:pt>
                <c:pt idx="8">
                  <c:v>13.496170383604536</c:v>
                </c:pt>
                <c:pt idx="9">
                  <c:v>14.103321409550574</c:v>
                </c:pt>
                <c:pt idx="10">
                  <c:v>9.4391489620648699</c:v>
                </c:pt>
                <c:pt idx="11">
                  <c:v>20.223249435210693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02208"/>
        <c:axId val="325108096"/>
      </c:scatterChart>
      <c:valAx>
        <c:axId val="325102208"/>
        <c:scaling>
          <c:orientation val="minMax"/>
          <c:max val="15"/>
          <c:min val="-15"/>
        </c:scaling>
        <c:delete val="0"/>
        <c:axPos val="b"/>
        <c:numFmt formatCode="General" sourceLinked="1"/>
        <c:majorTickMark val="out"/>
        <c:minorTickMark val="none"/>
        <c:tickLblPos val="nextTo"/>
        <c:crossAx val="325108096"/>
        <c:crosses val="autoZero"/>
        <c:crossBetween val="midCat"/>
      </c:valAx>
      <c:valAx>
        <c:axId val="3251080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325102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Gradient of Vector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0.23529040575069529"/>
          <c:w val="0.87635870516185477"/>
          <c:h val="0.57062561078671648"/>
        </c:manualLayout>
      </c:layout>
      <c:lineChart>
        <c:grouping val="standard"/>
        <c:varyColors val="0"/>
        <c:ser>
          <c:idx val="0"/>
          <c:order val="0"/>
          <c:tx>
            <c:strRef>
              <c:f>'Eigen (2)'!$AP$45</c:f>
              <c:strCache>
                <c:ptCount val="1"/>
                <c:pt idx="0">
                  <c:v>Gradient</c:v>
                </c:pt>
              </c:strCache>
            </c:strRef>
          </c:tx>
          <c:marker>
            <c:symbol val="circle"/>
            <c:size val="7"/>
          </c:marker>
          <c:dLbls>
            <c:dLbl>
              <c:idx val="1"/>
              <c:layout>
                <c:manualLayout>
                  <c:x val="-7.4999999999999997E-2"/>
                  <c:y val="-3.77622294450240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8.0555555555555561E-2"/>
                  <c:y val="-5.45454425317014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6.3888888888888884E-2"/>
                  <c:y val="-5.45454425317014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5.2777777777777778E-2"/>
                  <c:y val="-4.61538359883627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5.833333333333323E-2"/>
                  <c:y val="-5.4545442531701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'Eigen (2)'!$AP$46:$AP$51</c:f>
              <c:numCache>
                <c:formatCode>0.00000</c:formatCode>
                <c:ptCount val="6"/>
                <c:pt idx="0">
                  <c:v>1.3522080313294913</c:v>
                </c:pt>
                <c:pt idx="1">
                  <c:v>1.8624251265362244</c:v>
                </c:pt>
                <c:pt idx="2">
                  <c:v>1.9208499742054059</c:v>
                </c:pt>
                <c:pt idx="3">
                  <c:v>1.926118196805837</c:v>
                </c:pt>
                <c:pt idx="4">
                  <c:v>1.9265819500907824</c:v>
                </c:pt>
                <c:pt idx="5">
                  <c:v>1.9266226862796434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210112"/>
        <c:axId val="325212032"/>
      </c:lineChart>
      <c:catAx>
        <c:axId val="325210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times multiplied by Covariance Matrix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25212032"/>
        <c:crosses val="autoZero"/>
        <c:auto val="1"/>
        <c:lblAlgn val="ctr"/>
        <c:lblOffset val="100"/>
        <c:noMultiLvlLbl val="0"/>
      </c:catAx>
      <c:valAx>
        <c:axId val="325212032"/>
        <c:scaling>
          <c:orientation val="minMax"/>
          <c:max val="2"/>
          <c:min val="0"/>
        </c:scaling>
        <c:delete val="0"/>
        <c:axPos val="l"/>
        <c:majorGridlines/>
        <c:numFmt formatCode="0.00" sourceLinked="0"/>
        <c:majorTickMark val="out"/>
        <c:minorTickMark val="none"/>
        <c:tickLblPos val="nextTo"/>
        <c:crossAx val="325210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chart" Target="../charts/chart6.xml"/><Relationship Id="rId1" Type="http://schemas.openxmlformats.org/officeDocument/2006/relationships/image" Target="../media/image2.png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image" Target="../media/image2.png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504825</xdr:colOff>
      <xdr:row>24</xdr:row>
      <xdr:rowOff>19050</xdr:rowOff>
    </xdr:from>
    <xdr:to>
      <xdr:col>57</xdr:col>
      <xdr:colOff>47625</xdr:colOff>
      <xdr:row>27</xdr:row>
      <xdr:rowOff>209550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368300</xdr:colOff>
      <xdr:row>38</xdr:row>
      <xdr:rowOff>69850</xdr:rowOff>
    </xdr:from>
    <xdr:to>
      <xdr:col>59</xdr:col>
      <xdr:colOff>44450</xdr:colOff>
      <xdr:row>47</xdr:row>
      <xdr:rowOff>241300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586740</xdr:colOff>
      <xdr:row>1</xdr:row>
      <xdr:rowOff>15240</xdr:rowOff>
    </xdr:from>
    <xdr:to>
      <xdr:col>19</xdr:col>
      <xdr:colOff>274528</xdr:colOff>
      <xdr:row>3</xdr:row>
      <xdr:rowOff>464891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97640" y="198120"/>
          <a:ext cx="2400508" cy="815411"/>
        </a:xfrm>
        <a:prstGeom prst="rect">
          <a:avLst/>
        </a:prstGeom>
      </xdr:spPr>
    </xdr:pic>
    <xdr:clientData/>
  </xdr:twoCellAnchor>
  <xdr:twoCellAnchor>
    <xdr:from>
      <xdr:col>15</xdr:col>
      <xdr:colOff>594360</xdr:colOff>
      <xdr:row>5</xdr:row>
      <xdr:rowOff>11430</xdr:rowOff>
    </xdr:from>
    <xdr:to>
      <xdr:col>25</xdr:col>
      <xdr:colOff>373380</xdr:colOff>
      <xdr:row>19</xdr:row>
      <xdr:rowOff>144780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228477</xdr:colOff>
      <xdr:row>30</xdr:row>
      <xdr:rowOff>170070</xdr:rowOff>
    </xdr:from>
    <xdr:to>
      <xdr:col>31</xdr:col>
      <xdr:colOff>206829</xdr:colOff>
      <xdr:row>56</xdr:row>
      <xdr:rowOff>152400</xdr:rowOff>
    </xdr:to>
    <xdr:sp macro="" textlink="">
      <xdr:nvSpPr>
        <xdr:cNvPr id="3" name="Freeform 2"/>
        <xdr:cNvSpPr/>
      </xdr:nvSpPr>
      <xdr:spPr>
        <a:xfrm>
          <a:off x="2623334" y="7354641"/>
          <a:ext cx="5007552" cy="6208959"/>
        </a:xfrm>
        <a:custGeom>
          <a:avLst/>
          <a:gdLst>
            <a:gd name="connsiteX0" fmla="*/ 3886322 w 3886322"/>
            <a:gd name="connsiteY0" fmla="*/ 3966503 h 5392531"/>
            <a:gd name="connsiteX1" fmla="*/ 3755694 w 3886322"/>
            <a:gd name="connsiteY1" fmla="*/ 3944731 h 5392531"/>
            <a:gd name="connsiteX2" fmla="*/ 3472665 w 3886322"/>
            <a:gd name="connsiteY2" fmla="*/ 3912074 h 5392531"/>
            <a:gd name="connsiteX3" fmla="*/ 3363808 w 3886322"/>
            <a:gd name="connsiteY3" fmla="*/ 3857646 h 5392531"/>
            <a:gd name="connsiteX4" fmla="*/ 3222294 w 3886322"/>
            <a:gd name="connsiteY4" fmla="*/ 3835874 h 5392531"/>
            <a:gd name="connsiteX5" fmla="*/ 3113437 w 3886322"/>
            <a:gd name="connsiteY5" fmla="*/ 3814103 h 5392531"/>
            <a:gd name="connsiteX6" fmla="*/ 3015465 w 3886322"/>
            <a:gd name="connsiteY6" fmla="*/ 3792331 h 5392531"/>
            <a:gd name="connsiteX7" fmla="*/ 2906608 w 3886322"/>
            <a:gd name="connsiteY7" fmla="*/ 3781446 h 5392531"/>
            <a:gd name="connsiteX8" fmla="*/ 2830408 w 3886322"/>
            <a:gd name="connsiteY8" fmla="*/ 3759674 h 5392531"/>
            <a:gd name="connsiteX9" fmla="*/ 2547379 w 3886322"/>
            <a:gd name="connsiteY9" fmla="*/ 3705246 h 5392531"/>
            <a:gd name="connsiteX10" fmla="*/ 2514722 w 3886322"/>
            <a:gd name="connsiteY10" fmla="*/ 3683474 h 5392531"/>
            <a:gd name="connsiteX11" fmla="*/ 2329665 w 3886322"/>
            <a:gd name="connsiteY11" fmla="*/ 3650817 h 5392531"/>
            <a:gd name="connsiteX12" fmla="*/ 2166379 w 3886322"/>
            <a:gd name="connsiteY12" fmla="*/ 3618160 h 5392531"/>
            <a:gd name="connsiteX13" fmla="*/ 2057522 w 3886322"/>
            <a:gd name="connsiteY13" fmla="*/ 3596388 h 5392531"/>
            <a:gd name="connsiteX14" fmla="*/ 1872465 w 3886322"/>
            <a:gd name="connsiteY14" fmla="*/ 3563731 h 5392531"/>
            <a:gd name="connsiteX15" fmla="*/ 1763608 w 3886322"/>
            <a:gd name="connsiteY15" fmla="*/ 3520188 h 5392531"/>
            <a:gd name="connsiteX16" fmla="*/ 1730951 w 3886322"/>
            <a:gd name="connsiteY16" fmla="*/ 3509303 h 5392531"/>
            <a:gd name="connsiteX17" fmla="*/ 1676522 w 3886322"/>
            <a:gd name="connsiteY17" fmla="*/ 3487531 h 5392531"/>
            <a:gd name="connsiteX18" fmla="*/ 1589437 w 3886322"/>
            <a:gd name="connsiteY18" fmla="*/ 3476646 h 5392531"/>
            <a:gd name="connsiteX19" fmla="*/ 1469694 w 3886322"/>
            <a:gd name="connsiteY19" fmla="*/ 3454874 h 5392531"/>
            <a:gd name="connsiteX20" fmla="*/ 1382608 w 3886322"/>
            <a:gd name="connsiteY20" fmla="*/ 3433103 h 5392531"/>
            <a:gd name="connsiteX21" fmla="*/ 1317294 w 3886322"/>
            <a:gd name="connsiteY21" fmla="*/ 3422217 h 5392531"/>
            <a:gd name="connsiteX22" fmla="*/ 1241094 w 3886322"/>
            <a:gd name="connsiteY22" fmla="*/ 3400446 h 5392531"/>
            <a:gd name="connsiteX23" fmla="*/ 1154008 w 3886322"/>
            <a:gd name="connsiteY23" fmla="*/ 3389560 h 5392531"/>
            <a:gd name="connsiteX24" fmla="*/ 914522 w 3886322"/>
            <a:gd name="connsiteY24" fmla="*/ 3356903 h 5392531"/>
            <a:gd name="connsiteX25" fmla="*/ 587951 w 3886322"/>
            <a:gd name="connsiteY25" fmla="*/ 3324246 h 5392531"/>
            <a:gd name="connsiteX26" fmla="*/ 500865 w 3886322"/>
            <a:gd name="connsiteY26" fmla="*/ 3302474 h 5392531"/>
            <a:gd name="connsiteX27" fmla="*/ 304922 w 3886322"/>
            <a:gd name="connsiteY27" fmla="*/ 3291588 h 5392531"/>
            <a:gd name="connsiteX28" fmla="*/ 174294 w 3886322"/>
            <a:gd name="connsiteY28" fmla="*/ 3269817 h 5392531"/>
            <a:gd name="connsiteX29" fmla="*/ 130751 w 3886322"/>
            <a:gd name="connsiteY29" fmla="*/ 3258931 h 5392531"/>
            <a:gd name="connsiteX30" fmla="*/ 21894 w 3886322"/>
            <a:gd name="connsiteY30" fmla="*/ 3248046 h 5392531"/>
            <a:gd name="connsiteX31" fmla="*/ 122 w 3886322"/>
            <a:gd name="connsiteY31" fmla="*/ 3226274 h 5392531"/>
            <a:gd name="connsiteX32" fmla="*/ 32779 w 3886322"/>
            <a:gd name="connsiteY32" fmla="*/ 3182731 h 5392531"/>
            <a:gd name="connsiteX33" fmla="*/ 54551 w 3886322"/>
            <a:gd name="connsiteY33" fmla="*/ 3139188 h 5392531"/>
            <a:gd name="connsiteX34" fmla="*/ 141637 w 3886322"/>
            <a:gd name="connsiteY34" fmla="*/ 3062988 h 5392531"/>
            <a:gd name="connsiteX35" fmla="*/ 174294 w 3886322"/>
            <a:gd name="connsiteY35" fmla="*/ 3008560 h 5392531"/>
            <a:gd name="connsiteX36" fmla="*/ 206951 w 3886322"/>
            <a:gd name="connsiteY36" fmla="*/ 2975903 h 5392531"/>
            <a:gd name="connsiteX37" fmla="*/ 250494 w 3886322"/>
            <a:gd name="connsiteY37" fmla="*/ 2921474 h 5392531"/>
            <a:gd name="connsiteX38" fmla="*/ 283151 w 3886322"/>
            <a:gd name="connsiteY38" fmla="*/ 2888817 h 5392531"/>
            <a:gd name="connsiteX39" fmla="*/ 315808 w 3886322"/>
            <a:gd name="connsiteY39" fmla="*/ 2823503 h 5392531"/>
            <a:gd name="connsiteX40" fmla="*/ 392008 w 3886322"/>
            <a:gd name="connsiteY40" fmla="*/ 2714646 h 5392531"/>
            <a:gd name="connsiteX41" fmla="*/ 424665 w 3886322"/>
            <a:gd name="connsiteY41" fmla="*/ 2660217 h 5392531"/>
            <a:gd name="connsiteX42" fmla="*/ 457322 w 3886322"/>
            <a:gd name="connsiteY42" fmla="*/ 2627560 h 5392531"/>
            <a:gd name="connsiteX43" fmla="*/ 500865 w 3886322"/>
            <a:gd name="connsiteY43" fmla="*/ 2573131 h 5392531"/>
            <a:gd name="connsiteX44" fmla="*/ 533522 w 3886322"/>
            <a:gd name="connsiteY44" fmla="*/ 2518703 h 5392531"/>
            <a:gd name="connsiteX45" fmla="*/ 577065 w 3886322"/>
            <a:gd name="connsiteY45" fmla="*/ 2464274 h 5392531"/>
            <a:gd name="connsiteX46" fmla="*/ 653265 w 3886322"/>
            <a:gd name="connsiteY46" fmla="*/ 2300988 h 5392531"/>
            <a:gd name="connsiteX47" fmla="*/ 707694 w 3886322"/>
            <a:gd name="connsiteY47" fmla="*/ 2246560 h 5392531"/>
            <a:gd name="connsiteX48" fmla="*/ 751237 w 3886322"/>
            <a:gd name="connsiteY48" fmla="*/ 2170360 h 5392531"/>
            <a:gd name="connsiteX49" fmla="*/ 816551 w 3886322"/>
            <a:gd name="connsiteY49" fmla="*/ 2083274 h 5392531"/>
            <a:gd name="connsiteX50" fmla="*/ 892751 w 3886322"/>
            <a:gd name="connsiteY50" fmla="*/ 1919988 h 5392531"/>
            <a:gd name="connsiteX51" fmla="*/ 1012494 w 3886322"/>
            <a:gd name="connsiteY51" fmla="*/ 1778474 h 5392531"/>
            <a:gd name="connsiteX52" fmla="*/ 1045151 w 3886322"/>
            <a:gd name="connsiteY52" fmla="*/ 1724046 h 5392531"/>
            <a:gd name="connsiteX53" fmla="*/ 1088694 w 3886322"/>
            <a:gd name="connsiteY53" fmla="*/ 1669617 h 5392531"/>
            <a:gd name="connsiteX54" fmla="*/ 1121351 w 3886322"/>
            <a:gd name="connsiteY54" fmla="*/ 1615188 h 5392531"/>
            <a:gd name="connsiteX55" fmla="*/ 1219322 w 3886322"/>
            <a:gd name="connsiteY55" fmla="*/ 1506331 h 5392531"/>
            <a:gd name="connsiteX56" fmla="*/ 1251979 w 3886322"/>
            <a:gd name="connsiteY56" fmla="*/ 1451903 h 5392531"/>
            <a:gd name="connsiteX57" fmla="*/ 1306408 w 3886322"/>
            <a:gd name="connsiteY57" fmla="*/ 1364817 h 5392531"/>
            <a:gd name="connsiteX58" fmla="*/ 1360837 w 3886322"/>
            <a:gd name="connsiteY58" fmla="*/ 1266846 h 5392531"/>
            <a:gd name="connsiteX59" fmla="*/ 1393494 w 3886322"/>
            <a:gd name="connsiteY59" fmla="*/ 1234188 h 5392531"/>
            <a:gd name="connsiteX60" fmla="*/ 1469694 w 3886322"/>
            <a:gd name="connsiteY60" fmla="*/ 1125331 h 5392531"/>
            <a:gd name="connsiteX61" fmla="*/ 1502351 w 3886322"/>
            <a:gd name="connsiteY61" fmla="*/ 1092674 h 5392531"/>
            <a:gd name="connsiteX62" fmla="*/ 1578551 w 3886322"/>
            <a:gd name="connsiteY62" fmla="*/ 983817 h 5392531"/>
            <a:gd name="connsiteX63" fmla="*/ 1632979 w 3886322"/>
            <a:gd name="connsiteY63" fmla="*/ 929388 h 5392531"/>
            <a:gd name="connsiteX64" fmla="*/ 1709179 w 3886322"/>
            <a:gd name="connsiteY64" fmla="*/ 831417 h 5392531"/>
            <a:gd name="connsiteX65" fmla="*/ 1752722 w 3886322"/>
            <a:gd name="connsiteY65" fmla="*/ 744331 h 5392531"/>
            <a:gd name="connsiteX66" fmla="*/ 1796265 w 3886322"/>
            <a:gd name="connsiteY66" fmla="*/ 711674 h 5392531"/>
            <a:gd name="connsiteX67" fmla="*/ 1861579 w 3886322"/>
            <a:gd name="connsiteY67" fmla="*/ 602817 h 5392531"/>
            <a:gd name="connsiteX68" fmla="*/ 1883351 w 3886322"/>
            <a:gd name="connsiteY68" fmla="*/ 570160 h 5392531"/>
            <a:gd name="connsiteX69" fmla="*/ 1937779 w 3886322"/>
            <a:gd name="connsiteY69" fmla="*/ 504846 h 5392531"/>
            <a:gd name="connsiteX70" fmla="*/ 1948665 w 3886322"/>
            <a:gd name="connsiteY70" fmla="*/ 472188 h 5392531"/>
            <a:gd name="connsiteX71" fmla="*/ 1970437 w 3886322"/>
            <a:gd name="connsiteY71" fmla="*/ 428646 h 5392531"/>
            <a:gd name="connsiteX72" fmla="*/ 2003094 w 3886322"/>
            <a:gd name="connsiteY72" fmla="*/ 363331 h 5392531"/>
            <a:gd name="connsiteX73" fmla="*/ 2013979 w 3886322"/>
            <a:gd name="connsiteY73" fmla="*/ 330674 h 5392531"/>
            <a:gd name="connsiteX74" fmla="*/ 2079294 w 3886322"/>
            <a:gd name="connsiteY74" fmla="*/ 254474 h 5392531"/>
            <a:gd name="connsiteX75" fmla="*/ 2133722 w 3886322"/>
            <a:gd name="connsiteY75" fmla="*/ 167388 h 5392531"/>
            <a:gd name="connsiteX76" fmla="*/ 2144608 w 3886322"/>
            <a:gd name="connsiteY76" fmla="*/ 134731 h 5392531"/>
            <a:gd name="connsiteX77" fmla="*/ 2166379 w 3886322"/>
            <a:gd name="connsiteY77" fmla="*/ 102074 h 5392531"/>
            <a:gd name="connsiteX78" fmla="*/ 2177265 w 3886322"/>
            <a:gd name="connsiteY78" fmla="*/ 58531 h 5392531"/>
            <a:gd name="connsiteX79" fmla="*/ 2199037 w 3886322"/>
            <a:gd name="connsiteY79" fmla="*/ 4103 h 5392531"/>
            <a:gd name="connsiteX80" fmla="*/ 2209922 w 3886322"/>
            <a:gd name="connsiteY80" fmla="*/ 679017 h 5392531"/>
            <a:gd name="connsiteX81" fmla="*/ 2231694 w 3886322"/>
            <a:gd name="connsiteY81" fmla="*/ 820531 h 5392531"/>
            <a:gd name="connsiteX82" fmla="*/ 2297008 w 3886322"/>
            <a:gd name="connsiteY82" fmla="*/ 2496931 h 5392531"/>
            <a:gd name="connsiteX83" fmla="*/ 2307894 w 3886322"/>
            <a:gd name="connsiteY83" fmla="*/ 2573131 h 5392531"/>
            <a:gd name="connsiteX84" fmla="*/ 2351437 w 3886322"/>
            <a:gd name="connsiteY84" fmla="*/ 2747303 h 5392531"/>
            <a:gd name="connsiteX85" fmla="*/ 2329665 w 3886322"/>
            <a:gd name="connsiteY85" fmla="*/ 5022417 h 5392531"/>
            <a:gd name="connsiteX86" fmla="*/ 2286122 w 3886322"/>
            <a:gd name="connsiteY86" fmla="*/ 5131274 h 5392531"/>
            <a:gd name="connsiteX87" fmla="*/ 2275237 w 3886322"/>
            <a:gd name="connsiteY87" fmla="*/ 5392531 h 539253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</a:cxnLst>
          <a:rect l="l" t="t" r="r" b="b"/>
          <a:pathLst>
            <a:path w="3886322" h="5392531">
              <a:moveTo>
                <a:pt x="3886322" y="3966503"/>
              </a:moveTo>
              <a:cubicBezTo>
                <a:pt x="3842779" y="3959246"/>
                <a:pt x="3799586" y="3949434"/>
                <a:pt x="3755694" y="3944731"/>
              </a:cubicBezTo>
              <a:cubicBezTo>
                <a:pt x="3443095" y="3911238"/>
                <a:pt x="3703127" y="3958168"/>
                <a:pt x="3472665" y="3912074"/>
              </a:cubicBezTo>
              <a:cubicBezTo>
                <a:pt x="3436379" y="3893931"/>
                <a:pt x="3402619" y="3869458"/>
                <a:pt x="3363808" y="3857646"/>
              </a:cubicBezTo>
              <a:cubicBezTo>
                <a:pt x="3318149" y="3843750"/>
                <a:pt x="3269315" y="3844052"/>
                <a:pt x="3222294" y="3835874"/>
              </a:cubicBezTo>
              <a:cubicBezTo>
                <a:pt x="3185837" y="3829534"/>
                <a:pt x="3149647" y="3821726"/>
                <a:pt x="3113437" y="3814103"/>
              </a:cubicBezTo>
              <a:cubicBezTo>
                <a:pt x="3080701" y="3807211"/>
                <a:pt x="3048510" y="3797549"/>
                <a:pt x="3015465" y="3792331"/>
              </a:cubicBezTo>
              <a:cubicBezTo>
                <a:pt x="2979445" y="3786644"/>
                <a:pt x="2942894" y="3785074"/>
                <a:pt x="2906608" y="3781446"/>
              </a:cubicBezTo>
              <a:cubicBezTo>
                <a:pt x="2881208" y="3774189"/>
                <a:pt x="2856195" y="3765405"/>
                <a:pt x="2830408" y="3759674"/>
              </a:cubicBezTo>
              <a:cubicBezTo>
                <a:pt x="2686775" y="3727755"/>
                <a:pt x="2657148" y="3723539"/>
                <a:pt x="2547379" y="3705246"/>
              </a:cubicBezTo>
              <a:cubicBezTo>
                <a:pt x="2536493" y="3697989"/>
                <a:pt x="2526424" y="3689325"/>
                <a:pt x="2514722" y="3683474"/>
              </a:cubicBezTo>
              <a:cubicBezTo>
                <a:pt x="2442526" y="3647376"/>
                <a:pt x="2428781" y="3659077"/>
                <a:pt x="2329665" y="3650817"/>
              </a:cubicBezTo>
              <a:lnTo>
                <a:pt x="2166379" y="3618160"/>
              </a:lnTo>
              <a:lnTo>
                <a:pt x="2057522" y="3596388"/>
              </a:lnTo>
              <a:cubicBezTo>
                <a:pt x="1969793" y="3537903"/>
                <a:pt x="2087336" y="3608496"/>
                <a:pt x="1872465" y="3563731"/>
              </a:cubicBezTo>
              <a:cubicBezTo>
                <a:pt x="1834206" y="3555760"/>
                <a:pt x="1800684" y="3532546"/>
                <a:pt x="1763608" y="3520188"/>
              </a:cubicBezTo>
              <a:cubicBezTo>
                <a:pt x="1752722" y="3516560"/>
                <a:pt x="1741695" y="3513332"/>
                <a:pt x="1730951" y="3509303"/>
              </a:cubicBezTo>
              <a:cubicBezTo>
                <a:pt x="1712654" y="3502442"/>
                <a:pt x="1695562" y="3491925"/>
                <a:pt x="1676522" y="3487531"/>
              </a:cubicBezTo>
              <a:cubicBezTo>
                <a:pt x="1648017" y="3480953"/>
                <a:pt x="1618333" y="3481209"/>
                <a:pt x="1589437" y="3476646"/>
              </a:cubicBezTo>
              <a:cubicBezTo>
                <a:pt x="1549365" y="3470319"/>
                <a:pt x="1509393" y="3463232"/>
                <a:pt x="1469694" y="3454874"/>
              </a:cubicBezTo>
              <a:cubicBezTo>
                <a:pt x="1440414" y="3448710"/>
                <a:pt x="1411866" y="3439373"/>
                <a:pt x="1382608" y="3433103"/>
              </a:cubicBezTo>
              <a:cubicBezTo>
                <a:pt x="1361026" y="3428478"/>
                <a:pt x="1338800" y="3427180"/>
                <a:pt x="1317294" y="3422217"/>
              </a:cubicBezTo>
              <a:cubicBezTo>
                <a:pt x="1291554" y="3416277"/>
                <a:pt x="1266997" y="3405627"/>
                <a:pt x="1241094" y="3400446"/>
              </a:cubicBezTo>
              <a:cubicBezTo>
                <a:pt x="1212408" y="3394709"/>
                <a:pt x="1182939" y="3393900"/>
                <a:pt x="1154008" y="3389560"/>
              </a:cubicBezTo>
              <a:cubicBezTo>
                <a:pt x="931885" y="3356241"/>
                <a:pt x="1113171" y="3376767"/>
                <a:pt x="914522" y="3356903"/>
              </a:cubicBezTo>
              <a:cubicBezTo>
                <a:pt x="713234" y="3306579"/>
                <a:pt x="955281" y="3360979"/>
                <a:pt x="587951" y="3324246"/>
              </a:cubicBezTo>
              <a:cubicBezTo>
                <a:pt x="558177" y="3321269"/>
                <a:pt x="530590" y="3305904"/>
                <a:pt x="500865" y="3302474"/>
              </a:cubicBezTo>
              <a:cubicBezTo>
                <a:pt x="435881" y="3294976"/>
                <a:pt x="370236" y="3295217"/>
                <a:pt x="304922" y="3291588"/>
              </a:cubicBezTo>
              <a:cubicBezTo>
                <a:pt x="261379" y="3284331"/>
                <a:pt x="217681" y="3277952"/>
                <a:pt x="174294" y="3269817"/>
              </a:cubicBezTo>
              <a:cubicBezTo>
                <a:pt x="159589" y="3267060"/>
                <a:pt x="145562" y="3261047"/>
                <a:pt x="130751" y="3258931"/>
              </a:cubicBezTo>
              <a:cubicBezTo>
                <a:pt x="94651" y="3253774"/>
                <a:pt x="58180" y="3251674"/>
                <a:pt x="21894" y="3248046"/>
              </a:cubicBezTo>
              <a:cubicBezTo>
                <a:pt x="14637" y="3240789"/>
                <a:pt x="-1565" y="3236398"/>
                <a:pt x="122" y="3226274"/>
              </a:cubicBezTo>
              <a:cubicBezTo>
                <a:pt x="3104" y="3208378"/>
                <a:pt x="23163" y="3198116"/>
                <a:pt x="32779" y="3182731"/>
              </a:cubicBezTo>
              <a:cubicBezTo>
                <a:pt x="41380" y="3168970"/>
                <a:pt x="44814" y="3152170"/>
                <a:pt x="54551" y="3139188"/>
              </a:cubicBezTo>
              <a:cubicBezTo>
                <a:pt x="78708" y="3106979"/>
                <a:pt x="110148" y="3086605"/>
                <a:pt x="141637" y="3062988"/>
              </a:cubicBezTo>
              <a:cubicBezTo>
                <a:pt x="152523" y="3044845"/>
                <a:pt x="161599" y="3025486"/>
                <a:pt x="174294" y="3008560"/>
              </a:cubicBezTo>
              <a:cubicBezTo>
                <a:pt x="183531" y="2996244"/>
                <a:pt x="196814" y="2987489"/>
                <a:pt x="206951" y="2975903"/>
              </a:cubicBezTo>
              <a:cubicBezTo>
                <a:pt x="222251" y="2958417"/>
                <a:pt x="235194" y="2938960"/>
                <a:pt x="250494" y="2921474"/>
              </a:cubicBezTo>
              <a:cubicBezTo>
                <a:pt x="260631" y="2909888"/>
                <a:pt x="274612" y="2901626"/>
                <a:pt x="283151" y="2888817"/>
              </a:cubicBezTo>
              <a:cubicBezTo>
                <a:pt x="296653" y="2868564"/>
                <a:pt x="304152" y="2844872"/>
                <a:pt x="315808" y="2823503"/>
              </a:cubicBezTo>
              <a:cubicBezTo>
                <a:pt x="364857" y="2733580"/>
                <a:pt x="330374" y="2802694"/>
                <a:pt x="392008" y="2714646"/>
              </a:cubicBezTo>
              <a:cubicBezTo>
                <a:pt x="404141" y="2697313"/>
                <a:pt x="411970" y="2677144"/>
                <a:pt x="424665" y="2660217"/>
              </a:cubicBezTo>
              <a:cubicBezTo>
                <a:pt x="433902" y="2647901"/>
                <a:pt x="447185" y="2639146"/>
                <a:pt x="457322" y="2627560"/>
              </a:cubicBezTo>
              <a:cubicBezTo>
                <a:pt x="472622" y="2610074"/>
                <a:pt x="487541" y="2592165"/>
                <a:pt x="500865" y="2573131"/>
              </a:cubicBezTo>
              <a:cubicBezTo>
                <a:pt x="512998" y="2555798"/>
                <a:pt x="521389" y="2536036"/>
                <a:pt x="533522" y="2518703"/>
              </a:cubicBezTo>
              <a:cubicBezTo>
                <a:pt x="546846" y="2499669"/>
                <a:pt x="565358" y="2484343"/>
                <a:pt x="577065" y="2464274"/>
              </a:cubicBezTo>
              <a:cubicBezTo>
                <a:pt x="628757" y="2375659"/>
                <a:pt x="590023" y="2392337"/>
                <a:pt x="653265" y="2300988"/>
              </a:cubicBezTo>
              <a:cubicBezTo>
                <a:pt x="667870" y="2279892"/>
                <a:pt x="692299" y="2267086"/>
                <a:pt x="707694" y="2246560"/>
              </a:cubicBezTo>
              <a:cubicBezTo>
                <a:pt x="725247" y="2223156"/>
                <a:pt x="735010" y="2194701"/>
                <a:pt x="751237" y="2170360"/>
              </a:cubicBezTo>
              <a:cubicBezTo>
                <a:pt x="771365" y="2140168"/>
                <a:pt x="798762" y="2114900"/>
                <a:pt x="816551" y="2083274"/>
              </a:cubicBezTo>
              <a:cubicBezTo>
                <a:pt x="940647" y="1862657"/>
                <a:pt x="757236" y="2123260"/>
                <a:pt x="892751" y="1919988"/>
              </a:cubicBezTo>
              <a:cubicBezTo>
                <a:pt x="1032909" y="1709752"/>
                <a:pt x="890370" y="1931128"/>
                <a:pt x="1012494" y="1778474"/>
              </a:cubicBezTo>
              <a:cubicBezTo>
                <a:pt x="1025711" y="1761953"/>
                <a:pt x="1033018" y="1741379"/>
                <a:pt x="1045151" y="1724046"/>
              </a:cubicBezTo>
              <a:cubicBezTo>
                <a:pt x="1058475" y="1705012"/>
                <a:pt x="1075370" y="1688651"/>
                <a:pt x="1088694" y="1669617"/>
              </a:cubicBezTo>
              <a:cubicBezTo>
                <a:pt x="1100827" y="1652284"/>
                <a:pt x="1109218" y="1632521"/>
                <a:pt x="1121351" y="1615188"/>
              </a:cubicBezTo>
              <a:cubicBezTo>
                <a:pt x="1211173" y="1486871"/>
                <a:pt x="1115059" y="1636660"/>
                <a:pt x="1219322" y="1506331"/>
              </a:cubicBezTo>
              <a:cubicBezTo>
                <a:pt x="1232539" y="1489809"/>
                <a:pt x="1240765" y="1469845"/>
                <a:pt x="1251979" y="1451903"/>
              </a:cubicBezTo>
              <a:cubicBezTo>
                <a:pt x="1286007" y="1397459"/>
                <a:pt x="1266180" y="1437229"/>
                <a:pt x="1306408" y="1364817"/>
              </a:cubicBezTo>
              <a:cubicBezTo>
                <a:pt x="1328567" y="1324930"/>
                <a:pt x="1331661" y="1305747"/>
                <a:pt x="1360837" y="1266846"/>
              </a:cubicBezTo>
              <a:cubicBezTo>
                <a:pt x="1370074" y="1254530"/>
                <a:pt x="1384257" y="1246504"/>
                <a:pt x="1393494" y="1234188"/>
              </a:cubicBezTo>
              <a:cubicBezTo>
                <a:pt x="1487093" y="1109388"/>
                <a:pt x="1359138" y="1251681"/>
                <a:pt x="1469694" y="1125331"/>
              </a:cubicBezTo>
              <a:cubicBezTo>
                <a:pt x="1479831" y="1113745"/>
                <a:pt x="1493114" y="1104990"/>
                <a:pt x="1502351" y="1092674"/>
              </a:cubicBezTo>
              <a:cubicBezTo>
                <a:pt x="1581578" y="987039"/>
                <a:pt x="1483778" y="1089122"/>
                <a:pt x="1578551" y="983817"/>
              </a:cubicBezTo>
              <a:cubicBezTo>
                <a:pt x="1595715" y="964746"/>
                <a:pt x="1616951" y="949423"/>
                <a:pt x="1632979" y="929388"/>
              </a:cubicBezTo>
              <a:cubicBezTo>
                <a:pt x="1748228" y="785327"/>
                <a:pt x="1580797" y="959802"/>
                <a:pt x="1709179" y="831417"/>
              </a:cubicBezTo>
              <a:cubicBezTo>
                <a:pt x="1720857" y="796384"/>
                <a:pt x="1725038" y="775969"/>
                <a:pt x="1752722" y="744331"/>
              </a:cubicBezTo>
              <a:cubicBezTo>
                <a:pt x="1764669" y="730677"/>
                <a:pt x="1781751" y="722560"/>
                <a:pt x="1796265" y="711674"/>
              </a:cubicBezTo>
              <a:cubicBezTo>
                <a:pt x="1818036" y="675388"/>
                <a:pt x="1838106" y="638026"/>
                <a:pt x="1861579" y="602817"/>
              </a:cubicBezTo>
              <a:cubicBezTo>
                <a:pt x="1868836" y="591931"/>
                <a:pt x="1874975" y="580211"/>
                <a:pt x="1883351" y="570160"/>
              </a:cubicBezTo>
              <a:cubicBezTo>
                <a:pt x="1913444" y="534049"/>
                <a:pt x="1917509" y="545386"/>
                <a:pt x="1937779" y="504846"/>
              </a:cubicBezTo>
              <a:cubicBezTo>
                <a:pt x="1942911" y="494583"/>
                <a:pt x="1944145" y="482735"/>
                <a:pt x="1948665" y="472188"/>
              </a:cubicBezTo>
              <a:cubicBezTo>
                <a:pt x="1955057" y="457273"/>
                <a:pt x="1964045" y="443561"/>
                <a:pt x="1970437" y="428646"/>
              </a:cubicBezTo>
              <a:cubicBezTo>
                <a:pt x="1997480" y="365545"/>
                <a:pt x="1961250" y="426095"/>
                <a:pt x="2003094" y="363331"/>
              </a:cubicBezTo>
              <a:cubicBezTo>
                <a:pt x="2006722" y="352445"/>
                <a:pt x="2008847" y="340937"/>
                <a:pt x="2013979" y="330674"/>
              </a:cubicBezTo>
              <a:cubicBezTo>
                <a:pt x="2033971" y="290691"/>
                <a:pt x="2047157" y="291967"/>
                <a:pt x="2079294" y="254474"/>
              </a:cubicBezTo>
              <a:cubicBezTo>
                <a:pt x="2089656" y="242385"/>
                <a:pt x="2131765" y="171301"/>
                <a:pt x="2133722" y="167388"/>
              </a:cubicBezTo>
              <a:cubicBezTo>
                <a:pt x="2138854" y="157125"/>
                <a:pt x="2139476" y="144994"/>
                <a:pt x="2144608" y="134731"/>
              </a:cubicBezTo>
              <a:cubicBezTo>
                <a:pt x="2150459" y="123029"/>
                <a:pt x="2159122" y="112960"/>
                <a:pt x="2166379" y="102074"/>
              </a:cubicBezTo>
              <a:cubicBezTo>
                <a:pt x="2170008" y="87560"/>
                <a:pt x="2172534" y="72724"/>
                <a:pt x="2177265" y="58531"/>
              </a:cubicBezTo>
              <a:cubicBezTo>
                <a:pt x="2183444" y="39993"/>
                <a:pt x="2198010" y="-15410"/>
                <a:pt x="2199037" y="4103"/>
              </a:cubicBezTo>
              <a:cubicBezTo>
                <a:pt x="2210863" y="228793"/>
                <a:pt x="2200929" y="454196"/>
                <a:pt x="2209922" y="679017"/>
              </a:cubicBezTo>
              <a:cubicBezTo>
                <a:pt x="2211830" y="726705"/>
                <a:pt x="2224437" y="773360"/>
                <a:pt x="2231694" y="820531"/>
              </a:cubicBezTo>
              <a:cubicBezTo>
                <a:pt x="2257705" y="2524300"/>
                <a:pt x="2171484" y="1743795"/>
                <a:pt x="2297008" y="2496931"/>
              </a:cubicBezTo>
              <a:cubicBezTo>
                <a:pt x="2301226" y="2522240"/>
                <a:pt x="2303166" y="2547913"/>
                <a:pt x="2307894" y="2573131"/>
              </a:cubicBezTo>
              <a:cubicBezTo>
                <a:pt x="2322897" y="2653146"/>
                <a:pt x="2330344" y="2673478"/>
                <a:pt x="2351437" y="2747303"/>
              </a:cubicBezTo>
              <a:cubicBezTo>
                <a:pt x="2344180" y="3505674"/>
                <a:pt x="2340247" y="4264085"/>
                <a:pt x="2329665" y="5022417"/>
              </a:cubicBezTo>
              <a:cubicBezTo>
                <a:pt x="2328745" y="5088362"/>
                <a:pt x="2321378" y="5084265"/>
                <a:pt x="2286122" y="5131274"/>
              </a:cubicBezTo>
              <a:cubicBezTo>
                <a:pt x="2272652" y="5319867"/>
                <a:pt x="2275237" y="5232745"/>
                <a:pt x="2275237" y="5392531"/>
              </a:cubicBezTo>
            </a:path>
          </a:pathLst>
        </a:custGeom>
        <a:ln w="7302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29</xdr:col>
      <xdr:colOff>201930</xdr:colOff>
      <xdr:row>26</xdr:row>
      <xdr:rowOff>167640</xdr:rowOff>
    </xdr:from>
    <xdr:to>
      <xdr:col>40</xdr:col>
      <xdr:colOff>96523</xdr:colOff>
      <xdr:row>43</xdr:row>
      <xdr:rowOff>180103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84505" y="4958715"/>
          <a:ext cx="5895343" cy="3089038"/>
        </a:xfrm>
        <a:prstGeom prst="rect">
          <a:avLst/>
        </a:prstGeom>
      </xdr:spPr>
    </xdr:pic>
    <xdr:clientData/>
  </xdr:twoCellAnchor>
  <xdr:twoCellAnchor>
    <xdr:from>
      <xdr:col>10</xdr:col>
      <xdr:colOff>22860</xdr:colOff>
      <xdr:row>1</xdr:row>
      <xdr:rowOff>93346</xdr:rowOff>
    </xdr:from>
    <xdr:to>
      <xdr:col>19</xdr:col>
      <xdr:colOff>440460</xdr:colOff>
      <xdr:row>18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72390</xdr:colOff>
      <xdr:row>1</xdr:row>
      <xdr:rowOff>19050</xdr:rowOff>
    </xdr:from>
    <xdr:to>
      <xdr:col>29</xdr:col>
      <xdr:colOff>489990</xdr:colOff>
      <xdr:row>23</xdr:row>
      <xdr:rowOff>143445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901488</xdr:colOff>
      <xdr:row>19</xdr:row>
      <xdr:rowOff>92498</xdr:rowOff>
    </xdr:from>
    <xdr:to>
      <xdr:col>45</xdr:col>
      <xdr:colOff>1380281</xdr:colOff>
      <xdr:row>35</xdr:row>
      <xdr:rowOff>177987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08430" y="3653790"/>
          <a:ext cx="5895343" cy="3089038"/>
        </a:xfrm>
        <a:prstGeom prst="rect">
          <a:avLst/>
        </a:prstGeom>
      </xdr:spPr>
    </xdr:pic>
    <xdr:clientData/>
  </xdr:twoCellAnchor>
  <xdr:twoCellAnchor editAs="absolute">
    <xdr:from>
      <xdr:col>12</xdr:col>
      <xdr:colOff>132292</xdr:colOff>
      <xdr:row>21</xdr:row>
      <xdr:rowOff>139700</xdr:rowOff>
    </xdr:from>
    <xdr:to>
      <xdr:col>22</xdr:col>
      <xdr:colOff>510725</xdr:colOff>
      <xdr:row>40</xdr:row>
      <xdr:rowOff>163592</xdr:rowOff>
    </xdr:to>
    <xdr:graphicFrame macro="">
      <xdr:nvGraphicFramePr>
        <xdr:cNvPr id="5" name="Chart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298450</xdr:colOff>
      <xdr:row>54</xdr:row>
      <xdr:rowOff>136525</xdr:rowOff>
    </xdr:from>
    <xdr:to>
      <xdr:col>16</xdr:col>
      <xdr:colOff>547766</xdr:colOff>
      <xdr:row>68</xdr:row>
      <xdr:rowOff>153009</xdr:rowOff>
    </xdr:to>
    <xdr:graphicFrame macro="">
      <xdr:nvGraphicFramePr>
        <xdr:cNvPr id="6" name="Chart 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21</xdr:col>
      <xdr:colOff>233891</xdr:colOff>
      <xdr:row>54</xdr:row>
      <xdr:rowOff>136525</xdr:rowOff>
    </xdr:from>
    <xdr:to>
      <xdr:col>31</xdr:col>
      <xdr:colOff>346683</xdr:colOff>
      <xdr:row>68</xdr:row>
      <xdr:rowOff>153009</xdr:rowOff>
    </xdr:to>
    <xdr:graphicFrame macro="">
      <xdr:nvGraphicFramePr>
        <xdr:cNvPr id="7" name="Chart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33</xdr:col>
      <xdr:colOff>180975</xdr:colOff>
      <xdr:row>54</xdr:row>
      <xdr:rowOff>111125</xdr:rowOff>
    </xdr:from>
    <xdr:to>
      <xdr:col>41</xdr:col>
      <xdr:colOff>182641</xdr:colOff>
      <xdr:row>68</xdr:row>
      <xdr:rowOff>128667</xdr:rowOff>
    </xdr:to>
    <xdr:graphicFrame macro="">
      <xdr:nvGraphicFramePr>
        <xdr:cNvPr id="8" name="Chart 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30</xdr:col>
      <xdr:colOff>26457</xdr:colOff>
      <xdr:row>81</xdr:row>
      <xdr:rowOff>144992</xdr:rowOff>
    </xdr:from>
    <xdr:to>
      <xdr:col>38</xdr:col>
      <xdr:colOff>310698</xdr:colOff>
      <xdr:row>99</xdr:row>
      <xdr:rowOff>79983</xdr:rowOff>
    </xdr:to>
    <xdr:graphicFrame macro="">
      <xdr:nvGraphicFramePr>
        <xdr:cNvPr id="9" name="Chart 8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40</xdr:col>
      <xdr:colOff>22224</xdr:colOff>
      <xdr:row>81</xdr:row>
      <xdr:rowOff>159807</xdr:rowOff>
    </xdr:from>
    <xdr:to>
      <xdr:col>45</xdr:col>
      <xdr:colOff>583749</xdr:colOff>
      <xdr:row>99</xdr:row>
      <xdr:rowOff>94798</xdr:rowOff>
    </xdr:to>
    <xdr:graphicFrame macro="">
      <xdr:nvGraphicFramePr>
        <xdr:cNvPr id="10" name="Chart 9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14</xdr:col>
      <xdr:colOff>294641</xdr:colOff>
      <xdr:row>122</xdr:row>
      <xdr:rowOff>151765</xdr:rowOff>
    </xdr:from>
    <xdr:to>
      <xdr:col>26</xdr:col>
      <xdr:colOff>242333</xdr:colOff>
      <xdr:row>142</xdr:row>
      <xdr:rowOff>132265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</xdr:col>
      <xdr:colOff>484505</xdr:colOff>
      <xdr:row>122</xdr:row>
      <xdr:rowOff>132715</xdr:rowOff>
    </xdr:from>
    <xdr:to>
      <xdr:col>14</xdr:col>
      <xdr:colOff>90356</xdr:colOff>
      <xdr:row>142</xdr:row>
      <xdr:rowOff>113215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27</xdr:col>
      <xdr:colOff>70909</xdr:colOff>
      <xdr:row>122</xdr:row>
      <xdr:rowOff>165103</xdr:rowOff>
    </xdr:from>
    <xdr:to>
      <xdr:col>35</xdr:col>
      <xdr:colOff>341392</xdr:colOff>
      <xdr:row>125</xdr:row>
      <xdr:rowOff>12700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12</xdr:col>
      <xdr:colOff>110067</xdr:colOff>
      <xdr:row>1</xdr:row>
      <xdr:rowOff>118533</xdr:rowOff>
    </xdr:from>
    <xdr:to>
      <xdr:col>22</xdr:col>
      <xdr:colOff>488500</xdr:colOff>
      <xdr:row>20</xdr:row>
      <xdr:rowOff>150892</xdr:rowOff>
    </xdr:to>
    <xdr:graphicFrame macro="">
      <xdr:nvGraphicFramePr>
        <xdr:cNvPr id="14" name="Chart 1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45</xdr:col>
      <xdr:colOff>1481666</xdr:colOff>
      <xdr:row>51</xdr:row>
      <xdr:rowOff>207432</xdr:rowOff>
    </xdr:from>
    <xdr:to>
      <xdr:col>48</xdr:col>
      <xdr:colOff>575732</xdr:colOff>
      <xdr:row>62</xdr:row>
      <xdr:rowOff>254000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35</xdr:col>
      <xdr:colOff>901488</xdr:colOff>
      <xdr:row>19</xdr:row>
      <xdr:rowOff>44873</xdr:rowOff>
    </xdr:from>
    <xdr:to>
      <xdr:col>45</xdr:col>
      <xdr:colOff>1380281</xdr:colOff>
      <xdr:row>35</xdr:row>
      <xdr:rowOff>106550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1663" y="3664373"/>
          <a:ext cx="5860418" cy="3114439"/>
        </a:xfrm>
        <a:prstGeom prst="rect">
          <a:avLst/>
        </a:prstGeom>
      </xdr:spPr>
    </xdr:pic>
    <xdr:clientData/>
  </xdr:twoCellAnchor>
  <xdr:twoCellAnchor editAs="absolute">
    <xdr:from>
      <xdr:col>12</xdr:col>
      <xdr:colOff>132292</xdr:colOff>
      <xdr:row>21</xdr:row>
      <xdr:rowOff>92075</xdr:rowOff>
    </xdr:from>
    <xdr:to>
      <xdr:col>22</xdr:col>
      <xdr:colOff>510725</xdr:colOff>
      <xdr:row>40</xdr:row>
      <xdr:rowOff>92155</xdr:rowOff>
    </xdr:to>
    <xdr:graphicFrame macro="">
      <xdr:nvGraphicFramePr>
        <xdr:cNvPr id="3" name="Chart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298450</xdr:colOff>
      <xdr:row>54</xdr:row>
      <xdr:rowOff>41275</xdr:rowOff>
    </xdr:from>
    <xdr:to>
      <xdr:col>16</xdr:col>
      <xdr:colOff>538241</xdr:colOff>
      <xdr:row>68</xdr:row>
      <xdr:rowOff>57759</xdr:rowOff>
    </xdr:to>
    <xdr:graphicFrame macro="">
      <xdr:nvGraphicFramePr>
        <xdr:cNvPr id="4" name="Chart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21</xdr:col>
      <xdr:colOff>233891</xdr:colOff>
      <xdr:row>54</xdr:row>
      <xdr:rowOff>41275</xdr:rowOff>
    </xdr:from>
    <xdr:to>
      <xdr:col>31</xdr:col>
      <xdr:colOff>346683</xdr:colOff>
      <xdr:row>68</xdr:row>
      <xdr:rowOff>57759</xdr:rowOff>
    </xdr:to>
    <xdr:graphicFrame macro="">
      <xdr:nvGraphicFramePr>
        <xdr:cNvPr id="5" name="Chart 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33</xdr:col>
      <xdr:colOff>180975</xdr:colOff>
      <xdr:row>54</xdr:row>
      <xdr:rowOff>15875</xdr:rowOff>
    </xdr:from>
    <xdr:to>
      <xdr:col>41</xdr:col>
      <xdr:colOff>182641</xdr:colOff>
      <xdr:row>68</xdr:row>
      <xdr:rowOff>33417</xdr:rowOff>
    </xdr:to>
    <xdr:graphicFrame macro="">
      <xdr:nvGraphicFramePr>
        <xdr:cNvPr id="6" name="Chart 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30</xdr:col>
      <xdr:colOff>26457</xdr:colOff>
      <xdr:row>81</xdr:row>
      <xdr:rowOff>49742</xdr:rowOff>
    </xdr:from>
    <xdr:to>
      <xdr:col>38</xdr:col>
      <xdr:colOff>310698</xdr:colOff>
      <xdr:row>98</xdr:row>
      <xdr:rowOff>167296</xdr:rowOff>
    </xdr:to>
    <xdr:graphicFrame macro="">
      <xdr:nvGraphicFramePr>
        <xdr:cNvPr id="7" name="Chart 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40</xdr:col>
      <xdr:colOff>22224</xdr:colOff>
      <xdr:row>81</xdr:row>
      <xdr:rowOff>64557</xdr:rowOff>
    </xdr:from>
    <xdr:to>
      <xdr:col>45</xdr:col>
      <xdr:colOff>583749</xdr:colOff>
      <xdr:row>98</xdr:row>
      <xdr:rowOff>182111</xdr:rowOff>
    </xdr:to>
    <xdr:graphicFrame macro="">
      <xdr:nvGraphicFramePr>
        <xdr:cNvPr id="8" name="Chart 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15</xdr:col>
      <xdr:colOff>954</xdr:colOff>
      <xdr:row>121</xdr:row>
      <xdr:rowOff>80328</xdr:rowOff>
    </xdr:from>
    <xdr:to>
      <xdr:col>26</xdr:col>
      <xdr:colOff>242333</xdr:colOff>
      <xdr:row>141</xdr:row>
      <xdr:rowOff>60828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</xdr:col>
      <xdr:colOff>484505</xdr:colOff>
      <xdr:row>121</xdr:row>
      <xdr:rowOff>61278</xdr:rowOff>
    </xdr:from>
    <xdr:to>
      <xdr:col>14</xdr:col>
      <xdr:colOff>90356</xdr:colOff>
      <xdr:row>141</xdr:row>
      <xdr:rowOff>41778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27</xdr:col>
      <xdr:colOff>70909</xdr:colOff>
      <xdr:row>121</xdr:row>
      <xdr:rowOff>93666</xdr:rowOff>
    </xdr:from>
    <xdr:to>
      <xdr:col>35</xdr:col>
      <xdr:colOff>341392</xdr:colOff>
      <xdr:row>123</xdr:row>
      <xdr:rowOff>131763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12</xdr:col>
      <xdr:colOff>110067</xdr:colOff>
      <xdr:row>1</xdr:row>
      <xdr:rowOff>110596</xdr:rowOff>
    </xdr:from>
    <xdr:to>
      <xdr:col>22</xdr:col>
      <xdr:colOff>488500</xdr:colOff>
      <xdr:row>20</xdr:row>
      <xdr:rowOff>103267</xdr:rowOff>
    </xdr:to>
    <xdr:graphicFrame macro="">
      <xdr:nvGraphicFramePr>
        <xdr:cNvPr id="12" name="Chart 1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45</xdr:col>
      <xdr:colOff>1481666</xdr:colOff>
      <xdr:row>51</xdr:row>
      <xdr:rowOff>207432</xdr:rowOff>
    </xdr:from>
    <xdr:to>
      <xdr:col>48</xdr:col>
      <xdr:colOff>575732</xdr:colOff>
      <xdr:row>62</xdr:row>
      <xdr:rowOff>254000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G488"/>
  <sheetViews>
    <sheetView showGridLines="0" topLeftCell="A31" zoomScale="60" zoomScaleNormal="60" workbookViewId="0">
      <selection activeCell="AE74" sqref="AE74"/>
    </sheetView>
  </sheetViews>
  <sheetFormatPr defaultRowHeight="15" x14ac:dyDescent="0.25"/>
  <cols>
    <col min="1" max="1" width="13.85546875" bestFit="1" customWidth="1"/>
    <col min="2" max="21" width="6.85546875" customWidth="1"/>
    <col min="23" max="23" width="8.85546875" style="1"/>
    <col min="24" max="25" width="10.85546875" customWidth="1"/>
    <col min="26" max="26" width="10.85546875" style="1" customWidth="1"/>
    <col min="27" max="27" width="10.85546875" customWidth="1"/>
    <col min="28" max="29" width="14.7109375" customWidth="1"/>
    <col min="30" max="43" width="10.85546875" customWidth="1"/>
    <col min="53" max="53" width="9.5703125" bestFit="1" customWidth="1"/>
  </cols>
  <sheetData>
    <row r="1" spans="1:423" thickBot="1" x14ac:dyDescent="0.35">
      <c r="A1" s="5" t="s">
        <v>5</v>
      </c>
      <c r="B1" s="1">
        <v>0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 s="1">
        <v>0</v>
      </c>
      <c r="J1" s="1">
        <v>0</v>
      </c>
      <c r="K1" s="1">
        <v>0</v>
      </c>
      <c r="L1" s="1">
        <v>0</v>
      </c>
      <c r="M1" s="1">
        <v>0</v>
      </c>
      <c r="N1" s="1">
        <v>0</v>
      </c>
      <c r="O1" s="1">
        <v>0</v>
      </c>
      <c r="P1" s="1">
        <v>0</v>
      </c>
      <c r="Q1" s="1">
        <v>0</v>
      </c>
      <c r="R1" s="1">
        <v>0</v>
      </c>
      <c r="S1" s="1">
        <v>0</v>
      </c>
      <c r="T1" s="1">
        <v>0</v>
      </c>
      <c r="U1" s="1">
        <v>0</v>
      </c>
    </row>
    <row r="2" spans="1:423" s="3" customFormat="1" ht="27.6" thickBot="1" x14ac:dyDescent="0.35">
      <c r="B2" s="12" t="s">
        <v>405</v>
      </c>
      <c r="C2" s="13" t="s">
        <v>406</v>
      </c>
      <c r="D2" s="13" t="s">
        <v>407</v>
      </c>
      <c r="E2" s="13" t="s">
        <v>408</v>
      </c>
      <c r="F2" s="13" t="s">
        <v>409</v>
      </c>
      <c r="G2" s="13" t="s">
        <v>410</v>
      </c>
      <c r="H2" s="13" t="s">
        <v>411</v>
      </c>
      <c r="I2" s="13" t="s">
        <v>412</v>
      </c>
      <c r="J2" s="13" t="s">
        <v>413</v>
      </c>
      <c r="K2" s="13" t="s">
        <v>414</v>
      </c>
      <c r="L2" s="13" t="s">
        <v>415</v>
      </c>
      <c r="M2" s="13" t="s">
        <v>416</v>
      </c>
      <c r="N2" s="13" t="s">
        <v>417</v>
      </c>
      <c r="O2" s="13" t="s">
        <v>418</v>
      </c>
      <c r="P2" s="13" t="s">
        <v>419</v>
      </c>
      <c r="Q2" s="13" t="s">
        <v>420</v>
      </c>
      <c r="R2" s="13" t="s">
        <v>421</v>
      </c>
      <c r="S2" s="13" t="s">
        <v>422</v>
      </c>
      <c r="T2" s="13" t="s">
        <v>423</v>
      </c>
      <c r="U2" s="14" t="s">
        <v>424</v>
      </c>
      <c r="V2" s="2"/>
      <c r="W2" s="1" t="s">
        <v>5</v>
      </c>
      <c r="X2" s="51"/>
      <c r="Y2" s="52" t="s">
        <v>425</v>
      </c>
      <c r="Z2" s="70" t="s">
        <v>426</v>
      </c>
      <c r="AA2" s="70" t="s">
        <v>427</v>
      </c>
      <c r="AB2" s="70" t="s">
        <v>428</v>
      </c>
      <c r="AC2" s="53" t="s">
        <v>429</v>
      </c>
      <c r="AD2" s="69" t="s">
        <v>430</v>
      </c>
      <c r="AE2" s="52" t="s">
        <v>431</v>
      </c>
      <c r="AF2" s="52" t="s">
        <v>432</v>
      </c>
      <c r="AG2" s="52" t="s">
        <v>433</v>
      </c>
      <c r="AH2" s="52" t="s">
        <v>434</v>
      </c>
      <c r="AI2" s="52" t="s">
        <v>435</v>
      </c>
      <c r="AJ2" s="52" t="s">
        <v>436</v>
      </c>
      <c r="AK2" s="52" t="s">
        <v>437</v>
      </c>
      <c r="AL2" s="52" t="s">
        <v>438</v>
      </c>
      <c r="AM2" s="52" t="s">
        <v>439</v>
      </c>
      <c r="AN2" s="52" t="s">
        <v>440</v>
      </c>
      <c r="AO2" s="52" t="s">
        <v>441</v>
      </c>
      <c r="AP2" s="52" t="s">
        <v>442</v>
      </c>
      <c r="AQ2" s="52" t="s">
        <v>443</v>
      </c>
      <c r="AR2" s="52" t="s">
        <v>444</v>
      </c>
      <c r="AS2" s="52" t="s">
        <v>445</v>
      </c>
      <c r="AT2" s="52" t="s">
        <v>446</v>
      </c>
      <c r="AU2" s="52" t="s">
        <v>447</v>
      </c>
      <c r="AV2" s="52" t="s">
        <v>448</v>
      </c>
      <c r="AW2" s="52" t="s">
        <v>449</v>
      </c>
      <c r="AX2" s="52" t="s">
        <v>450</v>
      </c>
      <c r="AY2" s="52" t="s">
        <v>451</v>
      </c>
      <c r="AZ2" s="52" t="s">
        <v>452</v>
      </c>
      <c r="BA2" s="52" t="s">
        <v>453</v>
      </c>
      <c r="BB2" s="52" t="s">
        <v>454</v>
      </c>
      <c r="BC2" s="52" t="s">
        <v>455</v>
      </c>
      <c r="BD2" s="52" t="s">
        <v>456</v>
      </c>
      <c r="BE2" s="52" t="s">
        <v>457</v>
      </c>
      <c r="BF2" s="52" t="s">
        <v>458</v>
      </c>
      <c r="BG2" s="52" t="s">
        <v>459</v>
      </c>
      <c r="BH2" s="52" t="s">
        <v>460</v>
      </c>
      <c r="BI2" s="52" t="s">
        <v>461</v>
      </c>
      <c r="BJ2" s="52" t="s">
        <v>462</v>
      </c>
      <c r="BK2" s="52" t="s">
        <v>463</v>
      </c>
      <c r="BL2" s="52" t="s">
        <v>464</v>
      </c>
      <c r="BM2" s="52" t="s">
        <v>465</v>
      </c>
      <c r="BN2" s="52" t="s">
        <v>466</v>
      </c>
      <c r="BO2" s="52" t="s">
        <v>467</v>
      </c>
      <c r="BP2" s="52" t="s">
        <v>468</v>
      </c>
      <c r="BQ2" s="52" t="s">
        <v>469</v>
      </c>
      <c r="BR2" s="52" t="s">
        <v>470</v>
      </c>
      <c r="BS2" s="52" t="s">
        <v>471</v>
      </c>
      <c r="BT2" s="52" t="s">
        <v>472</v>
      </c>
      <c r="BU2" s="52" t="s">
        <v>473</v>
      </c>
      <c r="BV2" s="52" t="s">
        <v>474</v>
      </c>
      <c r="BW2" s="52" t="s">
        <v>475</v>
      </c>
      <c r="BX2" s="52" t="s">
        <v>476</v>
      </c>
      <c r="BY2" s="52" t="s">
        <v>477</v>
      </c>
      <c r="BZ2" s="52" t="s">
        <v>478</v>
      </c>
      <c r="CA2" s="52" t="s">
        <v>479</v>
      </c>
      <c r="CB2" s="52" t="s">
        <v>480</v>
      </c>
      <c r="CC2" s="52" t="s">
        <v>481</v>
      </c>
      <c r="CD2" s="52" t="s">
        <v>482</v>
      </c>
      <c r="CE2" s="52" t="s">
        <v>483</v>
      </c>
      <c r="CF2" s="52" t="s">
        <v>484</v>
      </c>
      <c r="CG2" s="52" t="s">
        <v>485</v>
      </c>
      <c r="CH2" s="52" t="s">
        <v>486</v>
      </c>
      <c r="CI2" s="52" t="s">
        <v>487</v>
      </c>
      <c r="CJ2" s="52" t="s">
        <v>488</v>
      </c>
      <c r="CK2" s="52" t="s">
        <v>489</v>
      </c>
      <c r="CL2" s="52" t="s">
        <v>490</v>
      </c>
      <c r="CM2" s="52" t="s">
        <v>491</v>
      </c>
      <c r="CN2" s="52" t="s">
        <v>492</v>
      </c>
      <c r="CO2" s="52" t="s">
        <v>493</v>
      </c>
      <c r="CP2" s="52" t="s">
        <v>494</v>
      </c>
      <c r="CQ2" s="52" t="s">
        <v>495</v>
      </c>
      <c r="CR2" s="52" t="s">
        <v>496</v>
      </c>
      <c r="CS2" s="52" t="s">
        <v>497</v>
      </c>
      <c r="CT2" s="52" t="s">
        <v>498</v>
      </c>
      <c r="CU2" s="52" t="s">
        <v>499</v>
      </c>
      <c r="CV2" s="52" t="s">
        <v>500</v>
      </c>
      <c r="CW2" s="52" t="s">
        <v>501</v>
      </c>
      <c r="CX2" s="52" t="s">
        <v>502</v>
      </c>
      <c r="CY2" s="52" t="s">
        <v>503</v>
      </c>
      <c r="CZ2" s="52" t="s">
        <v>504</v>
      </c>
      <c r="DA2" s="52" t="s">
        <v>505</v>
      </c>
      <c r="DB2" s="52" t="s">
        <v>506</v>
      </c>
      <c r="DC2" s="52" t="s">
        <v>507</v>
      </c>
      <c r="DD2" s="52" t="s">
        <v>508</v>
      </c>
      <c r="DE2" s="52" t="s">
        <v>509</v>
      </c>
      <c r="DF2" s="52" t="s">
        <v>510</v>
      </c>
      <c r="DG2" s="52" t="s">
        <v>511</v>
      </c>
      <c r="DH2" s="52" t="s">
        <v>512</v>
      </c>
      <c r="DI2" s="52" t="s">
        <v>513</v>
      </c>
      <c r="DJ2" s="52" t="s">
        <v>514</v>
      </c>
      <c r="DK2" s="52" t="s">
        <v>515</v>
      </c>
      <c r="DL2" s="52" t="s">
        <v>516</v>
      </c>
      <c r="DM2" s="52" t="s">
        <v>517</v>
      </c>
      <c r="DN2" s="52" t="s">
        <v>518</v>
      </c>
      <c r="DO2" s="52" t="s">
        <v>519</v>
      </c>
      <c r="DP2" s="52" t="s">
        <v>520</v>
      </c>
      <c r="DQ2" s="52" t="s">
        <v>521</v>
      </c>
      <c r="DR2" s="52" t="s">
        <v>522</v>
      </c>
      <c r="DS2" s="52" t="s">
        <v>523</v>
      </c>
      <c r="DT2" s="52" t="s">
        <v>524</v>
      </c>
      <c r="DU2" s="52" t="s">
        <v>525</v>
      </c>
      <c r="DV2" s="52" t="s">
        <v>526</v>
      </c>
      <c r="DW2" s="52" t="s">
        <v>527</v>
      </c>
      <c r="DX2" s="52" t="s">
        <v>528</v>
      </c>
      <c r="DY2" s="52" t="s">
        <v>529</v>
      </c>
      <c r="DZ2" s="52" t="s">
        <v>530</v>
      </c>
      <c r="EA2" s="52" t="s">
        <v>531</v>
      </c>
      <c r="EB2" s="52" t="s">
        <v>532</v>
      </c>
      <c r="EC2" s="52" t="s">
        <v>533</v>
      </c>
      <c r="ED2" s="52" t="s">
        <v>534</v>
      </c>
      <c r="EE2" s="52" t="s">
        <v>535</v>
      </c>
      <c r="EF2" s="52" t="s">
        <v>536</v>
      </c>
      <c r="EG2" s="52" t="s">
        <v>537</v>
      </c>
      <c r="EH2" s="52" t="s">
        <v>538</v>
      </c>
      <c r="EI2" s="52" t="s">
        <v>539</v>
      </c>
      <c r="EJ2" s="52" t="s">
        <v>540</v>
      </c>
      <c r="EK2" s="52" t="s">
        <v>541</v>
      </c>
      <c r="EL2" s="52" t="s">
        <v>542</v>
      </c>
      <c r="EM2" s="52" t="s">
        <v>543</v>
      </c>
      <c r="EN2" s="52" t="s">
        <v>544</v>
      </c>
      <c r="EO2" s="52" t="s">
        <v>545</v>
      </c>
      <c r="EP2" s="52" t="s">
        <v>546</v>
      </c>
      <c r="EQ2" s="52" t="s">
        <v>547</v>
      </c>
      <c r="ER2" s="52" t="s">
        <v>548</v>
      </c>
      <c r="ES2" s="52" t="s">
        <v>549</v>
      </c>
      <c r="ET2" s="52" t="s">
        <v>550</v>
      </c>
      <c r="EU2" s="52" t="s">
        <v>551</v>
      </c>
      <c r="EV2" s="52" t="s">
        <v>552</v>
      </c>
      <c r="EW2" s="52" t="s">
        <v>553</v>
      </c>
      <c r="EX2" s="52" t="s">
        <v>554</v>
      </c>
      <c r="EY2" s="52" t="s">
        <v>555</v>
      </c>
      <c r="EZ2" s="52" t="s">
        <v>556</v>
      </c>
      <c r="FA2" s="52" t="s">
        <v>557</v>
      </c>
      <c r="FB2" s="52" t="s">
        <v>558</v>
      </c>
      <c r="FC2" s="52" t="s">
        <v>559</v>
      </c>
      <c r="FD2" s="52" t="s">
        <v>560</v>
      </c>
      <c r="FE2" s="52" t="s">
        <v>561</v>
      </c>
      <c r="FF2" s="52" t="s">
        <v>562</v>
      </c>
      <c r="FG2" s="52" t="s">
        <v>563</v>
      </c>
      <c r="FH2" s="52" t="s">
        <v>564</v>
      </c>
      <c r="FI2" s="52" t="s">
        <v>565</v>
      </c>
      <c r="FJ2" s="52" t="s">
        <v>566</v>
      </c>
      <c r="FK2" s="52" t="s">
        <v>567</v>
      </c>
      <c r="FL2" s="52" t="s">
        <v>568</v>
      </c>
      <c r="FM2" s="52" t="s">
        <v>569</v>
      </c>
      <c r="FN2" s="52" t="s">
        <v>570</v>
      </c>
      <c r="FO2" s="52" t="s">
        <v>571</v>
      </c>
      <c r="FP2" s="52" t="s">
        <v>572</v>
      </c>
      <c r="FQ2" s="52" t="s">
        <v>573</v>
      </c>
      <c r="FR2" s="52" t="s">
        <v>574</v>
      </c>
      <c r="FS2" s="52" t="s">
        <v>575</v>
      </c>
      <c r="FT2" s="52" t="s">
        <v>576</v>
      </c>
      <c r="FU2" s="52" t="s">
        <v>577</v>
      </c>
      <c r="FV2" s="52" t="s">
        <v>578</v>
      </c>
      <c r="FW2" s="52" t="s">
        <v>579</v>
      </c>
      <c r="FX2" s="52" t="s">
        <v>580</v>
      </c>
      <c r="FY2" s="52" t="s">
        <v>581</v>
      </c>
      <c r="FZ2" s="52" t="s">
        <v>582</v>
      </c>
      <c r="GA2" s="52" t="s">
        <v>583</v>
      </c>
      <c r="GB2" s="52" t="s">
        <v>584</v>
      </c>
      <c r="GC2" s="52" t="s">
        <v>585</v>
      </c>
      <c r="GD2" s="52" t="s">
        <v>586</v>
      </c>
      <c r="GE2" s="52" t="s">
        <v>587</v>
      </c>
      <c r="GF2" s="52" t="s">
        <v>588</v>
      </c>
      <c r="GG2" s="52" t="s">
        <v>589</v>
      </c>
      <c r="GH2" s="52" t="s">
        <v>590</v>
      </c>
      <c r="GI2" s="52" t="s">
        <v>591</v>
      </c>
      <c r="GJ2" s="52" t="s">
        <v>592</v>
      </c>
      <c r="GK2" s="52" t="s">
        <v>593</v>
      </c>
      <c r="GL2" s="52" t="s">
        <v>594</v>
      </c>
      <c r="GM2" s="52" t="s">
        <v>595</v>
      </c>
      <c r="GN2" s="52" t="s">
        <v>596</v>
      </c>
      <c r="GO2" s="52" t="s">
        <v>597</v>
      </c>
      <c r="GP2" s="52" t="s">
        <v>598</v>
      </c>
      <c r="GQ2" s="52" t="s">
        <v>599</v>
      </c>
      <c r="GR2" s="52" t="s">
        <v>600</v>
      </c>
      <c r="GS2" s="52" t="s">
        <v>601</v>
      </c>
      <c r="GT2" s="52" t="s">
        <v>602</v>
      </c>
      <c r="GU2" s="52" t="s">
        <v>603</v>
      </c>
      <c r="GV2" s="52" t="s">
        <v>604</v>
      </c>
      <c r="GW2" s="52" t="s">
        <v>605</v>
      </c>
      <c r="GX2" s="52" t="s">
        <v>606</v>
      </c>
      <c r="GY2" s="52" t="s">
        <v>607</v>
      </c>
      <c r="GZ2" s="52" t="s">
        <v>608</v>
      </c>
      <c r="HA2" s="52" t="s">
        <v>609</v>
      </c>
      <c r="HB2" s="52" t="s">
        <v>610</v>
      </c>
      <c r="HC2" s="52" t="s">
        <v>611</v>
      </c>
      <c r="HD2" s="52" t="s">
        <v>612</v>
      </c>
      <c r="HE2" s="52" t="s">
        <v>613</v>
      </c>
      <c r="HF2" s="52" t="s">
        <v>614</v>
      </c>
      <c r="HG2" s="52" t="s">
        <v>615</v>
      </c>
      <c r="HH2" s="52" t="s">
        <v>616</v>
      </c>
      <c r="HI2" s="52" t="s">
        <v>617</v>
      </c>
      <c r="HJ2" s="52" t="s">
        <v>618</v>
      </c>
      <c r="HK2" s="52" t="s">
        <v>619</v>
      </c>
      <c r="HL2" s="52" t="s">
        <v>620</v>
      </c>
      <c r="HM2" s="52" t="s">
        <v>621</v>
      </c>
      <c r="HN2" s="52" t="s">
        <v>622</v>
      </c>
      <c r="HO2" s="52" t="s">
        <v>623</v>
      </c>
      <c r="HP2" s="52" t="s">
        <v>624</v>
      </c>
      <c r="HQ2" s="52" t="s">
        <v>625</v>
      </c>
      <c r="HR2" s="52" t="s">
        <v>626</v>
      </c>
      <c r="HS2" s="52" t="s">
        <v>627</v>
      </c>
      <c r="HT2" s="52" t="s">
        <v>628</v>
      </c>
      <c r="HU2" s="52" t="s">
        <v>629</v>
      </c>
      <c r="HV2" s="52" t="s">
        <v>630</v>
      </c>
      <c r="HW2" s="52" t="s">
        <v>631</v>
      </c>
      <c r="HX2" s="52" t="s">
        <v>632</v>
      </c>
      <c r="HY2" s="52" t="s">
        <v>633</v>
      </c>
      <c r="HZ2" s="52" t="s">
        <v>634</v>
      </c>
      <c r="IA2" s="52" t="s">
        <v>635</v>
      </c>
      <c r="IB2" s="52" t="s">
        <v>636</v>
      </c>
      <c r="IC2" s="52" t="s">
        <v>637</v>
      </c>
      <c r="ID2" s="52" t="s">
        <v>638</v>
      </c>
      <c r="IE2" s="52" t="s">
        <v>639</v>
      </c>
      <c r="IF2" s="52" t="s">
        <v>640</v>
      </c>
      <c r="IG2" s="52" t="s">
        <v>641</v>
      </c>
      <c r="IH2" s="52" t="s">
        <v>642</v>
      </c>
      <c r="II2" s="52" t="s">
        <v>643</v>
      </c>
      <c r="IJ2" s="52" t="s">
        <v>644</v>
      </c>
      <c r="IK2" s="52" t="s">
        <v>645</v>
      </c>
      <c r="IL2" s="52" t="s">
        <v>646</v>
      </c>
      <c r="IM2" s="52" t="s">
        <v>647</v>
      </c>
      <c r="IN2" s="52" t="s">
        <v>648</v>
      </c>
      <c r="IO2" s="52" t="s">
        <v>649</v>
      </c>
      <c r="IP2" s="52" t="s">
        <v>650</v>
      </c>
      <c r="IQ2" s="52" t="s">
        <v>651</v>
      </c>
      <c r="IR2" s="52" t="s">
        <v>652</v>
      </c>
      <c r="IS2" s="52" t="s">
        <v>653</v>
      </c>
      <c r="IT2" s="52" t="s">
        <v>654</v>
      </c>
      <c r="IU2" s="52" t="s">
        <v>655</v>
      </c>
      <c r="IV2" s="52" t="s">
        <v>656</v>
      </c>
      <c r="IW2" s="52" t="s">
        <v>657</v>
      </c>
      <c r="IX2" s="52" t="s">
        <v>658</v>
      </c>
      <c r="IY2" s="52" t="s">
        <v>659</v>
      </c>
      <c r="IZ2" s="52" t="s">
        <v>660</v>
      </c>
      <c r="JA2" s="52" t="s">
        <v>661</v>
      </c>
      <c r="JB2" s="52" t="s">
        <v>662</v>
      </c>
      <c r="JC2" s="52" t="s">
        <v>663</v>
      </c>
      <c r="JD2" s="52" t="s">
        <v>664</v>
      </c>
      <c r="JE2" s="52" t="s">
        <v>665</v>
      </c>
      <c r="JF2" s="52" t="s">
        <v>666</v>
      </c>
      <c r="JG2" s="52" t="s">
        <v>667</v>
      </c>
      <c r="JH2" s="52" t="s">
        <v>668</v>
      </c>
      <c r="JI2" s="52" t="s">
        <v>669</v>
      </c>
      <c r="JJ2" s="52" t="s">
        <v>670</v>
      </c>
      <c r="JK2" s="52" t="s">
        <v>671</v>
      </c>
      <c r="JL2" s="52" t="s">
        <v>672</v>
      </c>
      <c r="JM2" s="52" t="s">
        <v>673</v>
      </c>
      <c r="JN2" s="52" t="s">
        <v>674</v>
      </c>
      <c r="JO2" s="52" t="s">
        <v>675</v>
      </c>
      <c r="JP2" s="52" t="s">
        <v>676</v>
      </c>
      <c r="JQ2" s="52" t="s">
        <v>677</v>
      </c>
      <c r="JR2" s="52" t="s">
        <v>678</v>
      </c>
      <c r="JS2" s="52" t="s">
        <v>679</v>
      </c>
      <c r="JT2" s="52" t="s">
        <v>680</v>
      </c>
      <c r="JU2" s="52" t="s">
        <v>681</v>
      </c>
      <c r="JV2" s="52" t="s">
        <v>682</v>
      </c>
      <c r="JW2" s="52" t="s">
        <v>683</v>
      </c>
      <c r="JX2" s="52" t="s">
        <v>684</v>
      </c>
      <c r="JY2" s="52" t="s">
        <v>685</v>
      </c>
      <c r="JZ2" s="52" t="s">
        <v>686</v>
      </c>
      <c r="KA2" s="52" t="s">
        <v>687</v>
      </c>
      <c r="KB2" s="52" t="s">
        <v>688</v>
      </c>
      <c r="KC2" s="52" t="s">
        <v>689</v>
      </c>
      <c r="KD2" s="52" t="s">
        <v>690</v>
      </c>
      <c r="KE2" s="52" t="s">
        <v>691</v>
      </c>
      <c r="KF2" s="52" t="s">
        <v>692</v>
      </c>
      <c r="KG2" s="52" t="s">
        <v>693</v>
      </c>
      <c r="KH2" s="52" t="s">
        <v>694</v>
      </c>
      <c r="KI2" s="52" t="s">
        <v>695</v>
      </c>
      <c r="KJ2" s="52" t="s">
        <v>696</v>
      </c>
      <c r="KK2" s="52" t="s">
        <v>697</v>
      </c>
      <c r="KL2" s="52" t="s">
        <v>698</v>
      </c>
      <c r="KM2" s="52" t="s">
        <v>699</v>
      </c>
      <c r="KN2" s="52" t="s">
        <v>700</v>
      </c>
      <c r="KO2" s="52" t="s">
        <v>701</v>
      </c>
      <c r="KP2" s="52" t="s">
        <v>702</v>
      </c>
      <c r="KQ2" s="52" t="s">
        <v>703</v>
      </c>
      <c r="KR2" s="52" t="s">
        <v>704</v>
      </c>
      <c r="KS2" s="52" t="s">
        <v>705</v>
      </c>
      <c r="KT2" s="52" t="s">
        <v>706</v>
      </c>
      <c r="KU2" s="52" t="s">
        <v>707</v>
      </c>
      <c r="KV2" s="52" t="s">
        <v>708</v>
      </c>
      <c r="KW2" s="52" t="s">
        <v>709</v>
      </c>
      <c r="KX2" s="52" t="s">
        <v>710</v>
      </c>
      <c r="KY2" s="52" t="s">
        <v>711</v>
      </c>
      <c r="KZ2" s="52" t="s">
        <v>712</v>
      </c>
      <c r="LA2" s="52" t="s">
        <v>713</v>
      </c>
      <c r="LB2" s="52" t="s">
        <v>714</v>
      </c>
      <c r="LC2" s="52" t="s">
        <v>715</v>
      </c>
      <c r="LD2" s="52" t="s">
        <v>716</v>
      </c>
      <c r="LE2" s="52" t="s">
        <v>717</v>
      </c>
      <c r="LF2" s="52" t="s">
        <v>718</v>
      </c>
      <c r="LG2" s="52" t="s">
        <v>719</v>
      </c>
      <c r="LH2" s="52" t="s">
        <v>720</v>
      </c>
      <c r="LI2" s="52" t="s">
        <v>721</v>
      </c>
      <c r="LJ2" s="52" t="s">
        <v>722</v>
      </c>
      <c r="LK2" s="52" t="s">
        <v>723</v>
      </c>
      <c r="LL2" s="52" t="s">
        <v>724</v>
      </c>
      <c r="LM2" s="52" t="s">
        <v>725</v>
      </c>
      <c r="LN2" s="52" t="s">
        <v>726</v>
      </c>
      <c r="LO2" s="52" t="s">
        <v>727</v>
      </c>
      <c r="LP2" s="52" t="s">
        <v>728</v>
      </c>
      <c r="LQ2" s="52" t="s">
        <v>729</v>
      </c>
      <c r="LR2" s="52" t="s">
        <v>730</v>
      </c>
      <c r="LS2" s="52" t="s">
        <v>731</v>
      </c>
      <c r="LT2" s="52" t="s">
        <v>732</v>
      </c>
      <c r="LU2" s="52" t="s">
        <v>733</v>
      </c>
      <c r="LV2" s="52" t="s">
        <v>734</v>
      </c>
      <c r="LW2" s="52" t="s">
        <v>735</v>
      </c>
      <c r="LX2" s="52" t="s">
        <v>736</v>
      </c>
      <c r="LY2" s="52" t="s">
        <v>737</v>
      </c>
      <c r="LZ2" s="52" t="s">
        <v>738</v>
      </c>
      <c r="MA2" s="52" t="s">
        <v>739</v>
      </c>
      <c r="MB2" s="52" t="s">
        <v>740</v>
      </c>
      <c r="MC2" s="52" t="s">
        <v>741</v>
      </c>
      <c r="MD2" s="52" t="s">
        <v>742</v>
      </c>
      <c r="ME2" s="52" t="s">
        <v>743</v>
      </c>
      <c r="MF2" s="52" t="s">
        <v>744</v>
      </c>
      <c r="MG2" s="52" t="s">
        <v>745</v>
      </c>
      <c r="MH2" s="52" t="s">
        <v>746</v>
      </c>
      <c r="MI2" s="52" t="s">
        <v>747</v>
      </c>
      <c r="MJ2" s="52" t="s">
        <v>748</v>
      </c>
      <c r="MK2" s="52" t="s">
        <v>749</v>
      </c>
      <c r="ML2" s="52" t="s">
        <v>750</v>
      </c>
      <c r="MM2" s="52" t="s">
        <v>751</v>
      </c>
      <c r="MN2" s="52" t="s">
        <v>752</v>
      </c>
      <c r="MO2" s="52" t="s">
        <v>753</v>
      </c>
      <c r="MP2" s="52" t="s">
        <v>754</v>
      </c>
      <c r="MQ2" s="52" t="s">
        <v>755</v>
      </c>
      <c r="MR2" s="52" t="s">
        <v>756</v>
      </c>
      <c r="MS2" s="52" t="s">
        <v>757</v>
      </c>
      <c r="MT2" s="52" t="s">
        <v>758</v>
      </c>
      <c r="MU2" s="52" t="s">
        <v>759</v>
      </c>
      <c r="MV2" s="52" t="s">
        <v>760</v>
      </c>
      <c r="MW2" s="52" t="s">
        <v>761</v>
      </c>
      <c r="MX2" s="52" t="s">
        <v>762</v>
      </c>
      <c r="MY2" s="52" t="s">
        <v>763</v>
      </c>
      <c r="MZ2" s="52" t="s">
        <v>764</v>
      </c>
      <c r="NA2" s="52" t="s">
        <v>765</v>
      </c>
      <c r="NB2" s="52" t="s">
        <v>766</v>
      </c>
      <c r="NC2" s="52" t="s">
        <v>767</v>
      </c>
      <c r="ND2" s="52" t="s">
        <v>768</v>
      </c>
      <c r="NE2" s="52" t="s">
        <v>769</v>
      </c>
      <c r="NF2" s="52" t="s">
        <v>770</v>
      </c>
      <c r="NG2" s="52" t="s">
        <v>771</v>
      </c>
      <c r="NH2" s="52" t="s">
        <v>772</v>
      </c>
      <c r="NI2" s="52" t="s">
        <v>773</v>
      </c>
      <c r="NJ2" s="52" t="s">
        <v>774</v>
      </c>
      <c r="NK2" s="52" t="s">
        <v>775</v>
      </c>
      <c r="NL2" s="52" t="s">
        <v>776</v>
      </c>
      <c r="NM2" s="52" t="s">
        <v>777</v>
      </c>
      <c r="NN2" s="52" t="s">
        <v>778</v>
      </c>
      <c r="NO2" s="52" t="s">
        <v>779</v>
      </c>
      <c r="NP2" s="52" t="s">
        <v>780</v>
      </c>
      <c r="NQ2" s="52" t="s">
        <v>781</v>
      </c>
      <c r="NR2" s="52" t="s">
        <v>782</v>
      </c>
      <c r="NS2" s="52" t="s">
        <v>783</v>
      </c>
      <c r="NT2" s="52" t="s">
        <v>784</v>
      </c>
      <c r="NU2" s="52" t="s">
        <v>785</v>
      </c>
      <c r="NV2" s="52" t="s">
        <v>786</v>
      </c>
      <c r="NW2" s="52" t="s">
        <v>787</v>
      </c>
      <c r="NX2" s="52" t="s">
        <v>788</v>
      </c>
      <c r="NY2" s="52" t="s">
        <v>789</v>
      </c>
      <c r="NZ2" s="52" t="s">
        <v>790</v>
      </c>
      <c r="OA2" s="52" t="s">
        <v>791</v>
      </c>
      <c r="OB2" s="52" t="s">
        <v>792</v>
      </c>
      <c r="OC2" s="52" t="s">
        <v>793</v>
      </c>
      <c r="OD2" s="52" t="s">
        <v>794</v>
      </c>
      <c r="OE2" s="52" t="s">
        <v>795</v>
      </c>
      <c r="OF2" s="52" t="s">
        <v>796</v>
      </c>
      <c r="OG2" s="52" t="s">
        <v>797</v>
      </c>
      <c r="OH2" s="52" t="s">
        <v>798</v>
      </c>
      <c r="OI2" s="52" t="s">
        <v>799</v>
      </c>
      <c r="OJ2" s="52" t="s">
        <v>800</v>
      </c>
      <c r="OK2" s="52" t="s">
        <v>801</v>
      </c>
      <c r="OL2" s="52" t="s">
        <v>802</v>
      </c>
      <c r="OM2" s="52" t="s">
        <v>803</v>
      </c>
      <c r="ON2" s="52" t="s">
        <v>804</v>
      </c>
      <c r="OO2" s="52" t="s">
        <v>805</v>
      </c>
      <c r="OP2" s="52" t="s">
        <v>806</v>
      </c>
      <c r="OQ2" s="52" t="s">
        <v>807</v>
      </c>
      <c r="OR2" s="52" t="s">
        <v>808</v>
      </c>
      <c r="OS2" s="52" t="s">
        <v>809</v>
      </c>
      <c r="OT2" s="52" t="s">
        <v>810</v>
      </c>
      <c r="OU2" s="52" t="s">
        <v>811</v>
      </c>
      <c r="OV2" s="52" t="s">
        <v>812</v>
      </c>
      <c r="OW2" s="52" t="s">
        <v>813</v>
      </c>
      <c r="OX2" s="52" t="s">
        <v>814</v>
      </c>
      <c r="OY2" s="52" t="s">
        <v>815</v>
      </c>
      <c r="OZ2" s="52" t="s">
        <v>816</v>
      </c>
      <c r="PA2" s="52" t="s">
        <v>817</v>
      </c>
      <c r="PB2" s="52" t="s">
        <v>818</v>
      </c>
      <c r="PC2" s="52" t="s">
        <v>819</v>
      </c>
      <c r="PD2" s="52" t="s">
        <v>820</v>
      </c>
      <c r="PE2" s="52" t="s">
        <v>821</v>
      </c>
      <c r="PF2" s="52" t="s">
        <v>822</v>
      </c>
      <c r="PG2" s="52" t="s">
        <v>823</v>
      </c>
    </row>
    <row r="3" spans="1:423" s="19" customFormat="1" ht="19.149999999999999" customHeight="1" x14ac:dyDescent="0.6">
      <c r="A3" s="32" t="s">
        <v>6</v>
      </c>
      <c r="B3" s="16">
        <v>9192</v>
      </c>
      <c r="C3" s="17">
        <v>9899</v>
      </c>
      <c r="D3" s="17">
        <v>5757</v>
      </c>
      <c r="E3" s="17">
        <v>1550</v>
      </c>
      <c r="F3" s="17">
        <v>1693</v>
      </c>
      <c r="G3" s="17">
        <v>6015</v>
      </c>
      <c r="H3" s="17">
        <v>9187</v>
      </c>
      <c r="I3" s="17">
        <v>405</v>
      </c>
      <c r="J3" s="17">
        <v>4712</v>
      </c>
      <c r="K3" s="17">
        <v>7718</v>
      </c>
      <c r="L3" s="17">
        <v>2096</v>
      </c>
      <c r="M3" s="17">
        <v>6184</v>
      </c>
      <c r="N3" s="17">
        <v>9601</v>
      </c>
      <c r="O3" s="17">
        <v>6158</v>
      </c>
      <c r="P3" s="17">
        <v>4680</v>
      </c>
      <c r="Q3" s="17">
        <v>1817</v>
      </c>
      <c r="R3" s="17">
        <v>2066</v>
      </c>
      <c r="S3" s="17">
        <v>8378</v>
      </c>
      <c r="T3" s="17">
        <v>8418</v>
      </c>
      <c r="U3" s="18">
        <v>7288</v>
      </c>
      <c r="V3" s="15"/>
      <c r="W3" s="1">
        <v>0</v>
      </c>
      <c r="X3" s="39" t="s">
        <v>405</v>
      </c>
      <c r="Y3" s="54">
        <v>528</v>
      </c>
      <c r="Z3" s="34">
        <v>7655</v>
      </c>
      <c r="AA3" s="34">
        <v>8001</v>
      </c>
      <c r="AB3" s="34">
        <v>1112</v>
      </c>
      <c r="AC3" s="35">
        <v>4479</v>
      </c>
      <c r="AD3" s="36">
        <v>1143</v>
      </c>
      <c r="AE3" s="34">
        <v>2134</v>
      </c>
      <c r="AF3" s="34">
        <v>466</v>
      </c>
      <c r="AG3" s="34">
        <v>8600</v>
      </c>
      <c r="AH3" s="34">
        <v>4524</v>
      </c>
      <c r="AI3" s="34">
        <v>6177</v>
      </c>
      <c r="AJ3" s="34">
        <v>5945</v>
      </c>
      <c r="AK3" s="34">
        <v>7906</v>
      </c>
      <c r="AL3" s="34">
        <v>9314</v>
      </c>
      <c r="AM3" s="34">
        <v>3249</v>
      </c>
      <c r="AN3" s="34">
        <v>7422</v>
      </c>
      <c r="AO3" s="34">
        <v>4632</v>
      </c>
      <c r="AP3" s="34">
        <v>5208</v>
      </c>
      <c r="AQ3" s="34">
        <v>934</v>
      </c>
      <c r="AR3" s="34">
        <v>9892</v>
      </c>
      <c r="AS3" s="34">
        <v>3007</v>
      </c>
      <c r="AT3" s="34">
        <v>8917</v>
      </c>
      <c r="AU3" s="34">
        <v>6891</v>
      </c>
      <c r="AV3" s="34">
        <v>3434</v>
      </c>
      <c r="AW3" s="34">
        <v>3984</v>
      </c>
      <c r="AX3" s="34">
        <v>3152</v>
      </c>
      <c r="AY3" s="34">
        <v>9502</v>
      </c>
      <c r="AZ3" s="34">
        <v>8307</v>
      </c>
      <c r="BA3" s="34">
        <v>9481</v>
      </c>
      <c r="BB3" s="34">
        <v>3452</v>
      </c>
      <c r="BC3" s="34">
        <v>6516</v>
      </c>
      <c r="BD3" s="34">
        <v>3317</v>
      </c>
      <c r="BE3" s="34">
        <v>8292</v>
      </c>
      <c r="BF3" s="34">
        <v>2352</v>
      </c>
      <c r="BG3" s="34">
        <v>3852</v>
      </c>
      <c r="BH3" s="34">
        <v>9648</v>
      </c>
      <c r="BI3" s="34">
        <v>6164</v>
      </c>
      <c r="BJ3" s="34">
        <v>1561</v>
      </c>
      <c r="BK3" s="34">
        <v>2394</v>
      </c>
      <c r="BL3" s="34">
        <v>259</v>
      </c>
      <c r="BM3" s="34">
        <v>1514</v>
      </c>
      <c r="BN3" s="34">
        <v>9778</v>
      </c>
      <c r="BO3" s="34">
        <v>5793</v>
      </c>
      <c r="BP3" s="34">
        <v>8736</v>
      </c>
      <c r="BQ3" s="34">
        <v>9890</v>
      </c>
      <c r="BR3" s="34">
        <v>7789</v>
      </c>
      <c r="BS3" s="34">
        <v>5289</v>
      </c>
      <c r="BT3" s="34">
        <v>3013</v>
      </c>
      <c r="BU3" s="34">
        <v>2212</v>
      </c>
      <c r="BV3" s="34">
        <v>5171</v>
      </c>
      <c r="BW3" s="34">
        <v>2631</v>
      </c>
      <c r="BX3" s="34">
        <v>1894</v>
      </c>
      <c r="BY3" s="34">
        <v>8585</v>
      </c>
      <c r="BZ3" s="34">
        <v>1262</v>
      </c>
      <c r="CA3" s="34">
        <v>1011</v>
      </c>
      <c r="CB3" s="34">
        <v>7361</v>
      </c>
      <c r="CC3" s="34">
        <v>7692</v>
      </c>
      <c r="CD3" s="34">
        <v>6367</v>
      </c>
      <c r="CE3" s="34">
        <v>4643</v>
      </c>
      <c r="CF3" s="34">
        <v>791</v>
      </c>
      <c r="CG3" s="34">
        <v>6395</v>
      </c>
      <c r="CH3" s="34">
        <v>7865</v>
      </c>
      <c r="CI3" s="34">
        <v>9076</v>
      </c>
      <c r="CJ3" s="34">
        <v>7811</v>
      </c>
      <c r="CK3" s="34">
        <v>5315</v>
      </c>
      <c r="CL3" s="34">
        <v>7048</v>
      </c>
      <c r="CM3" s="34">
        <v>6344</v>
      </c>
      <c r="CN3" s="34">
        <v>21</v>
      </c>
      <c r="CO3" s="34">
        <v>4908</v>
      </c>
      <c r="CP3" s="34">
        <v>7349</v>
      </c>
      <c r="CQ3" s="34">
        <v>7672</v>
      </c>
      <c r="CR3" s="34">
        <v>2822</v>
      </c>
      <c r="CS3" s="34">
        <v>5920</v>
      </c>
      <c r="CT3" s="34">
        <v>2717</v>
      </c>
      <c r="CU3" s="34">
        <v>3782</v>
      </c>
      <c r="CV3" s="34">
        <v>9835</v>
      </c>
      <c r="CW3" s="34">
        <v>2204</v>
      </c>
      <c r="CX3" s="34">
        <v>8467</v>
      </c>
      <c r="CY3" s="34">
        <v>9597</v>
      </c>
      <c r="CZ3" s="34">
        <v>6929</v>
      </c>
      <c r="DA3" s="34">
        <v>1979</v>
      </c>
      <c r="DB3" s="34">
        <v>5869</v>
      </c>
      <c r="DC3" s="34">
        <v>3505</v>
      </c>
      <c r="DD3" s="34">
        <v>1873</v>
      </c>
      <c r="DE3" s="34">
        <v>1104</v>
      </c>
      <c r="DF3" s="34">
        <v>6388</v>
      </c>
      <c r="DG3" s="34">
        <v>6646</v>
      </c>
      <c r="DH3" s="34">
        <v>7371</v>
      </c>
      <c r="DI3" s="34">
        <v>446</v>
      </c>
      <c r="DJ3" s="34">
        <v>1742</v>
      </c>
      <c r="DK3" s="34">
        <v>184</v>
      </c>
      <c r="DL3" s="34">
        <v>616</v>
      </c>
      <c r="DM3" s="34">
        <v>5557</v>
      </c>
      <c r="DN3" s="34">
        <v>1683</v>
      </c>
      <c r="DO3" s="34">
        <v>4539</v>
      </c>
      <c r="DP3" s="34">
        <v>6504</v>
      </c>
      <c r="DQ3" s="34">
        <v>7302</v>
      </c>
      <c r="DR3" s="34">
        <v>6945</v>
      </c>
      <c r="DS3" s="34">
        <v>2614</v>
      </c>
      <c r="DT3" s="34">
        <v>4849</v>
      </c>
      <c r="DU3" s="34">
        <v>706</v>
      </c>
      <c r="DV3" s="34">
        <v>509</v>
      </c>
      <c r="DW3" s="34">
        <v>6092</v>
      </c>
      <c r="DX3" s="34">
        <v>2794</v>
      </c>
      <c r="DY3" s="34">
        <v>3663</v>
      </c>
      <c r="DZ3" s="34">
        <v>1692</v>
      </c>
      <c r="EA3" s="34">
        <v>4941</v>
      </c>
      <c r="EB3" s="34">
        <v>1560</v>
      </c>
      <c r="EC3" s="34">
        <v>3787</v>
      </c>
      <c r="ED3" s="34">
        <v>5226</v>
      </c>
      <c r="EE3" s="34">
        <v>4113</v>
      </c>
      <c r="EF3" s="34">
        <v>6163</v>
      </c>
      <c r="EG3" s="34">
        <v>9663</v>
      </c>
      <c r="EH3" s="34">
        <v>3045</v>
      </c>
      <c r="EI3" s="34">
        <v>1088</v>
      </c>
      <c r="EJ3" s="34">
        <v>2306</v>
      </c>
      <c r="EK3" s="34">
        <v>1026</v>
      </c>
      <c r="EL3" s="34">
        <v>5398</v>
      </c>
      <c r="EM3" s="34">
        <v>2439</v>
      </c>
      <c r="EN3" s="34">
        <v>6569</v>
      </c>
      <c r="EO3" s="34">
        <v>2742</v>
      </c>
      <c r="EP3" s="34">
        <v>5343</v>
      </c>
      <c r="EQ3" s="34">
        <v>3459</v>
      </c>
      <c r="ER3" s="34">
        <v>5705</v>
      </c>
      <c r="ES3" s="34">
        <v>4306</v>
      </c>
      <c r="ET3" s="34">
        <v>691</v>
      </c>
      <c r="EU3" s="34">
        <v>3611</v>
      </c>
      <c r="EV3" s="34">
        <v>1097</v>
      </c>
      <c r="EW3" s="34">
        <v>7171</v>
      </c>
      <c r="EX3" s="34">
        <v>5903</v>
      </c>
      <c r="EY3" s="34">
        <v>1706</v>
      </c>
      <c r="EZ3" s="34">
        <v>4260</v>
      </c>
      <c r="FA3" s="34">
        <v>9079</v>
      </c>
      <c r="FB3" s="34">
        <v>3456</v>
      </c>
      <c r="FC3" s="34">
        <v>2685</v>
      </c>
      <c r="FD3" s="34">
        <v>595</v>
      </c>
      <c r="FE3" s="34">
        <v>9264</v>
      </c>
      <c r="FF3" s="34">
        <v>7304</v>
      </c>
      <c r="FG3" s="34">
        <v>5648</v>
      </c>
      <c r="FH3" s="34">
        <v>5924</v>
      </c>
      <c r="FI3" s="34">
        <v>8224</v>
      </c>
      <c r="FJ3" s="34">
        <v>7899</v>
      </c>
      <c r="FK3" s="34">
        <v>9978</v>
      </c>
      <c r="FL3" s="34">
        <v>8750</v>
      </c>
      <c r="FM3" s="34">
        <v>4317</v>
      </c>
      <c r="FN3" s="34">
        <v>9600</v>
      </c>
      <c r="FO3" s="34">
        <v>4208</v>
      </c>
      <c r="FP3" s="34">
        <v>434</v>
      </c>
      <c r="FQ3" s="34">
        <v>3126</v>
      </c>
      <c r="FR3" s="34">
        <v>539</v>
      </c>
      <c r="FS3" s="34">
        <v>9168</v>
      </c>
      <c r="FT3" s="34">
        <v>6378</v>
      </c>
      <c r="FU3" s="34">
        <v>7904</v>
      </c>
      <c r="FV3" s="34">
        <v>5404</v>
      </c>
      <c r="FW3" s="34">
        <v>3037</v>
      </c>
      <c r="FX3" s="34">
        <v>5550</v>
      </c>
      <c r="FY3" s="34">
        <v>6885</v>
      </c>
      <c r="FZ3" s="34">
        <v>6837</v>
      </c>
      <c r="GA3" s="34">
        <v>301</v>
      </c>
      <c r="GB3" s="34">
        <v>8380</v>
      </c>
      <c r="GC3" s="34">
        <v>6563</v>
      </c>
      <c r="GD3" s="34">
        <v>7428</v>
      </c>
      <c r="GE3" s="34">
        <v>590</v>
      </c>
      <c r="GF3" s="34">
        <v>3165</v>
      </c>
      <c r="GG3" s="34">
        <v>5359</v>
      </c>
      <c r="GH3" s="34">
        <v>5839</v>
      </c>
      <c r="GI3" s="34">
        <v>2201</v>
      </c>
      <c r="GJ3" s="34">
        <v>6126</v>
      </c>
      <c r="GK3" s="34">
        <v>3032</v>
      </c>
      <c r="GL3" s="34">
        <v>6133</v>
      </c>
      <c r="GM3" s="34">
        <v>104</v>
      </c>
      <c r="GN3" s="34">
        <v>1861</v>
      </c>
      <c r="GO3" s="34">
        <v>4195</v>
      </c>
      <c r="GP3" s="34">
        <v>7616</v>
      </c>
      <c r="GQ3" s="34">
        <v>1567</v>
      </c>
      <c r="GR3" s="34">
        <v>1573</v>
      </c>
      <c r="GS3" s="34">
        <v>4799</v>
      </c>
      <c r="GT3" s="34">
        <v>6506</v>
      </c>
      <c r="GU3" s="34">
        <v>7542</v>
      </c>
      <c r="GV3" s="34">
        <v>2702</v>
      </c>
      <c r="GW3" s="34">
        <v>4578</v>
      </c>
      <c r="GX3" s="34">
        <v>6930</v>
      </c>
      <c r="GY3" s="34">
        <v>992</v>
      </c>
      <c r="GZ3" s="34">
        <v>1398</v>
      </c>
      <c r="HA3" s="34">
        <v>1691</v>
      </c>
      <c r="HB3" s="34">
        <v>1387</v>
      </c>
      <c r="HC3" s="34">
        <v>3910</v>
      </c>
      <c r="HD3" s="34">
        <v>587</v>
      </c>
      <c r="HE3" s="34">
        <v>5009</v>
      </c>
      <c r="HF3" s="34">
        <v>2382</v>
      </c>
      <c r="HG3" s="34">
        <v>2451</v>
      </c>
      <c r="HH3" s="34">
        <v>4913</v>
      </c>
      <c r="HI3" s="34">
        <v>9613</v>
      </c>
      <c r="HJ3" s="34">
        <v>5543</v>
      </c>
      <c r="HK3" s="34">
        <v>3419</v>
      </c>
      <c r="HL3" s="34">
        <v>7254</v>
      </c>
      <c r="HM3" s="34">
        <v>2621</v>
      </c>
      <c r="HN3" s="34">
        <v>1782</v>
      </c>
      <c r="HO3" s="34">
        <v>8196</v>
      </c>
      <c r="HP3" s="34">
        <v>1206</v>
      </c>
      <c r="HQ3" s="34">
        <v>6538</v>
      </c>
      <c r="HR3" s="34">
        <v>5632</v>
      </c>
      <c r="HS3" s="34">
        <v>972</v>
      </c>
      <c r="HT3" s="34">
        <v>8754</v>
      </c>
      <c r="HU3" s="34">
        <v>4851</v>
      </c>
      <c r="HV3" s="34">
        <v>8328</v>
      </c>
      <c r="HW3" s="34">
        <v>8472</v>
      </c>
      <c r="HX3" s="34">
        <v>7307</v>
      </c>
      <c r="HY3" s="34">
        <v>9988</v>
      </c>
      <c r="HZ3" s="34">
        <v>3913</v>
      </c>
      <c r="IA3" s="34">
        <v>2463</v>
      </c>
      <c r="IB3" s="34">
        <v>6571</v>
      </c>
      <c r="IC3" s="34">
        <v>1771</v>
      </c>
      <c r="ID3" s="34">
        <v>9387</v>
      </c>
      <c r="IE3" s="34">
        <v>9982</v>
      </c>
      <c r="IF3" s="34">
        <v>6639</v>
      </c>
      <c r="IG3" s="34">
        <v>9574</v>
      </c>
      <c r="IH3" s="34">
        <v>2042</v>
      </c>
      <c r="II3" s="34">
        <v>2130</v>
      </c>
      <c r="IJ3" s="34">
        <v>4409</v>
      </c>
      <c r="IK3" s="34">
        <v>5805</v>
      </c>
      <c r="IL3" s="34">
        <v>2031</v>
      </c>
      <c r="IM3" s="34">
        <v>1358</v>
      </c>
      <c r="IN3" s="34">
        <v>4167</v>
      </c>
      <c r="IO3" s="34">
        <v>5636</v>
      </c>
      <c r="IP3" s="34">
        <v>8198</v>
      </c>
      <c r="IQ3" s="34">
        <v>6595</v>
      </c>
      <c r="IR3" s="34">
        <v>1853</v>
      </c>
      <c r="IS3" s="34">
        <v>7228</v>
      </c>
      <c r="IT3" s="34">
        <v>5890</v>
      </c>
      <c r="IU3" s="34">
        <v>9966</v>
      </c>
      <c r="IV3" s="34">
        <v>7653</v>
      </c>
      <c r="IW3" s="34">
        <v>3075</v>
      </c>
      <c r="IX3" s="34">
        <v>4777</v>
      </c>
      <c r="IY3" s="34">
        <v>2688</v>
      </c>
      <c r="IZ3" s="34">
        <v>5589</v>
      </c>
      <c r="JA3" s="34">
        <v>1181</v>
      </c>
      <c r="JB3" s="34">
        <v>485</v>
      </c>
      <c r="JC3" s="34">
        <v>9425</v>
      </c>
      <c r="JD3" s="34">
        <v>3759</v>
      </c>
      <c r="JE3" s="34">
        <v>8596</v>
      </c>
      <c r="JF3" s="34">
        <v>3843</v>
      </c>
      <c r="JG3" s="34">
        <v>450</v>
      </c>
      <c r="JH3" s="34">
        <v>2611</v>
      </c>
      <c r="JI3" s="34">
        <v>1127</v>
      </c>
      <c r="JJ3" s="34">
        <v>9392</v>
      </c>
      <c r="JK3" s="34">
        <v>381</v>
      </c>
      <c r="JL3" s="34">
        <v>3035</v>
      </c>
      <c r="JM3" s="34">
        <v>2373</v>
      </c>
      <c r="JN3" s="34">
        <v>9429</v>
      </c>
      <c r="JO3" s="34">
        <v>6516</v>
      </c>
      <c r="JP3" s="34">
        <v>4168</v>
      </c>
      <c r="JQ3" s="34">
        <v>7591</v>
      </c>
      <c r="JR3" s="34">
        <v>5077</v>
      </c>
      <c r="JS3" s="34">
        <v>343</v>
      </c>
      <c r="JT3" s="34">
        <v>6891</v>
      </c>
      <c r="JU3" s="34">
        <v>7327</v>
      </c>
      <c r="JV3" s="34">
        <v>2889</v>
      </c>
      <c r="JW3" s="34">
        <v>8881</v>
      </c>
      <c r="JX3" s="34">
        <v>566</v>
      </c>
      <c r="JY3" s="34">
        <v>658</v>
      </c>
      <c r="JZ3" s="34">
        <v>8318</v>
      </c>
      <c r="KA3" s="34">
        <v>9640</v>
      </c>
      <c r="KB3" s="34">
        <v>7269</v>
      </c>
      <c r="KC3" s="34">
        <v>814</v>
      </c>
      <c r="KD3" s="34">
        <v>9634</v>
      </c>
      <c r="KE3" s="34">
        <v>8563</v>
      </c>
      <c r="KF3" s="34">
        <v>8880</v>
      </c>
      <c r="KG3" s="34">
        <v>2768</v>
      </c>
      <c r="KH3" s="34">
        <v>2080</v>
      </c>
      <c r="KI3" s="34">
        <v>8360</v>
      </c>
      <c r="KJ3" s="34">
        <v>1238</v>
      </c>
      <c r="KK3" s="34">
        <v>3480</v>
      </c>
      <c r="KL3" s="34">
        <v>67</v>
      </c>
      <c r="KM3" s="34">
        <v>4571</v>
      </c>
      <c r="KN3" s="34">
        <v>2728</v>
      </c>
      <c r="KO3" s="34">
        <v>9176</v>
      </c>
      <c r="KP3" s="34">
        <v>7061</v>
      </c>
      <c r="KQ3" s="34">
        <v>9244</v>
      </c>
      <c r="KR3" s="34">
        <v>4465</v>
      </c>
      <c r="KS3" s="34">
        <v>6887</v>
      </c>
      <c r="KT3" s="34">
        <v>5710</v>
      </c>
      <c r="KU3" s="34">
        <v>1212</v>
      </c>
      <c r="KV3" s="34">
        <v>2032</v>
      </c>
      <c r="KW3" s="34">
        <v>8783</v>
      </c>
      <c r="KX3" s="34">
        <v>3625</v>
      </c>
      <c r="KY3" s="34">
        <v>6969</v>
      </c>
      <c r="KZ3" s="34">
        <v>2138</v>
      </c>
      <c r="LA3" s="34">
        <v>9475</v>
      </c>
      <c r="LB3" s="34">
        <v>3620</v>
      </c>
      <c r="LC3" s="34">
        <v>6623</v>
      </c>
      <c r="LD3" s="34">
        <v>3410</v>
      </c>
      <c r="LE3" s="34">
        <v>9201</v>
      </c>
      <c r="LF3" s="34">
        <v>2991</v>
      </c>
      <c r="LG3" s="34">
        <v>7117</v>
      </c>
      <c r="LH3" s="34">
        <v>6851</v>
      </c>
      <c r="LI3" s="34">
        <v>2175</v>
      </c>
      <c r="LJ3" s="34">
        <v>4054</v>
      </c>
      <c r="LK3" s="34">
        <v>2817</v>
      </c>
      <c r="LL3" s="34">
        <v>9430</v>
      </c>
      <c r="LM3" s="34">
        <v>102</v>
      </c>
      <c r="LN3" s="34">
        <v>4156</v>
      </c>
      <c r="LO3" s="34">
        <v>8315</v>
      </c>
      <c r="LP3" s="34">
        <v>1901</v>
      </c>
      <c r="LQ3" s="34">
        <v>1585</v>
      </c>
      <c r="LR3" s="34">
        <v>4513</v>
      </c>
      <c r="LS3" s="34">
        <v>323</v>
      </c>
      <c r="LT3" s="34">
        <v>6799</v>
      </c>
      <c r="LU3" s="34">
        <v>5164</v>
      </c>
      <c r="LV3" s="34">
        <v>3873</v>
      </c>
      <c r="LW3" s="34">
        <v>7644</v>
      </c>
      <c r="LX3" s="34">
        <v>6478</v>
      </c>
      <c r="LY3" s="34">
        <v>2512</v>
      </c>
      <c r="LZ3" s="34">
        <v>9939</v>
      </c>
      <c r="MA3" s="34">
        <v>1048</v>
      </c>
      <c r="MB3" s="34">
        <v>8830</v>
      </c>
      <c r="MC3" s="34">
        <v>4699</v>
      </c>
      <c r="MD3" s="34">
        <v>8521</v>
      </c>
      <c r="ME3" s="34">
        <v>9564</v>
      </c>
      <c r="MF3" s="34">
        <v>2309</v>
      </c>
      <c r="MG3" s="34">
        <v>5746</v>
      </c>
      <c r="MH3" s="34">
        <v>6684</v>
      </c>
      <c r="MI3" s="34">
        <v>7278</v>
      </c>
      <c r="MJ3" s="34">
        <v>7865</v>
      </c>
      <c r="MK3" s="34">
        <v>5763</v>
      </c>
      <c r="ML3" s="34">
        <v>7182</v>
      </c>
      <c r="MM3" s="34">
        <v>8139</v>
      </c>
      <c r="MN3" s="34">
        <v>9967</v>
      </c>
      <c r="MO3" s="34">
        <v>1739</v>
      </c>
      <c r="MP3" s="34">
        <v>115</v>
      </c>
      <c r="MQ3" s="34">
        <v>2848</v>
      </c>
      <c r="MR3" s="34">
        <v>1542</v>
      </c>
      <c r="MS3" s="34">
        <v>7247</v>
      </c>
      <c r="MT3" s="34">
        <v>5927</v>
      </c>
      <c r="MU3" s="34">
        <v>6333</v>
      </c>
      <c r="MV3" s="34">
        <v>2017</v>
      </c>
      <c r="MW3" s="34">
        <v>5360</v>
      </c>
      <c r="MX3" s="34">
        <v>7457</v>
      </c>
      <c r="MY3" s="34">
        <v>2013</v>
      </c>
      <c r="MZ3" s="34">
        <v>3982</v>
      </c>
      <c r="NA3" s="34">
        <v>8327</v>
      </c>
      <c r="NB3" s="34">
        <v>8380</v>
      </c>
      <c r="NC3" s="34">
        <v>7074</v>
      </c>
      <c r="ND3" s="34">
        <v>8793</v>
      </c>
      <c r="NE3" s="34">
        <v>652</v>
      </c>
      <c r="NF3" s="34">
        <v>4557</v>
      </c>
      <c r="NG3" s="34">
        <v>8713</v>
      </c>
      <c r="NH3" s="34">
        <v>6829</v>
      </c>
      <c r="NI3" s="34">
        <v>46</v>
      </c>
      <c r="NJ3" s="34">
        <v>1452</v>
      </c>
      <c r="NK3" s="34">
        <v>977</v>
      </c>
      <c r="NL3" s="34">
        <v>1221</v>
      </c>
      <c r="NM3" s="34">
        <v>9052</v>
      </c>
      <c r="NN3" s="34">
        <v>271</v>
      </c>
      <c r="NO3" s="34">
        <v>9895</v>
      </c>
      <c r="NP3" s="34">
        <v>4952</v>
      </c>
      <c r="NQ3" s="34">
        <v>2908</v>
      </c>
      <c r="NR3" s="34">
        <v>4612</v>
      </c>
      <c r="NS3" s="34">
        <v>7078</v>
      </c>
      <c r="NT3" s="34">
        <v>7248</v>
      </c>
      <c r="NU3" s="34">
        <v>3768</v>
      </c>
      <c r="NV3" s="34">
        <v>2131</v>
      </c>
      <c r="NW3" s="34">
        <v>1017</v>
      </c>
      <c r="NX3" s="34">
        <v>1699</v>
      </c>
      <c r="NY3" s="34">
        <v>7236</v>
      </c>
      <c r="NZ3" s="34">
        <v>9015</v>
      </c>
      <c r="OA3" s="34">
        <v>2590</v>
      </c>
      <c r="OB3" s="34">
        <v>7052</v>
      </c>
      <c r="OC3" s="34">
        <v>6069</v>
      </c>
      <c r="OD3" s="34">
        <v>6602</v>
      </c>
      <c r="OE3" s="34">
        <v>6229</v>
      </c>
      <c r="OF3" s="34">
        <v>2089</v>
      </c>
      <c r="OG3" s="34">
        <v>7922</v>
      </c>
      <c r="OH3" s="34">
        <v>6863</v>
      </c>
      <c r="OI3" s="34">
        <v>3867</v>
      </c>
      <c r="OJ3" s="34">
        <v>2989</v>
      </c>
      <c r="OK3" s="34">
        <v>2866</v>
      </c>
      <c r="OL3" s="34">
        <v>3067</v>
      </c>
      <c r="OM3" s="34">
        <v>9972</v>
      </c>
      <c r="ON3" s="34">
        <v>7082</v>
      </c>
      <c r="OO3" s="34">
        <v>4485</v>
      </c>
      <c r="OP3" s="34">
        <v>7521</v>
      </c>
      <c r="OQ3" s="34">
        <v>8705</v>
      </c>
      <c r="OR3" s="34">
        <v>4726</v>
      </c>
      <c r="OS3" s="34">
        <v>9830</v>
      </c>
      <c r="OT3" s="34">
        <v>6689</v>
      </c>
      <c r="OU3" s="34">
        <v>6899</v>
      </c>
      <c r="OV3" s="34">
        <v>5333</v>
      </c>
      <c r="OW3" s="34">
        <v>891</v>
      </c>
      <c r="OX3" s="34">
        <v>4824</v>
      </c>
      <c r="OY3" s="34">
        <v>861</v>
      </c>
      <c r="OZ3" s="34">
        <v>1280</v>
      </c>
      <c r="PA3" s="34">
        <v>266</v>
      </c>
      <c r="PB3" s="34">
        <v>2772</v>
      </c>
      <c r="PC3" s="34">
        <v>8232</v>
      </c>
      <c r="PD3" s="34">
        <v>2753</v>
      </c>
      <c r="PE3" s="34">
        <v>5666</v>
      </c>
      <c r="PF3" s="34">
        <v>5919</v>
      </c>
      <c r="PG3" s="35">
        <v>2225</v>
      </c>
    </row>
    <row r="4" spans="1:423" s="19" customFormat="1" ht="19.149999999999999" customHeight="1" x14ac:dyDescent="0.6">
      <c r="A4" s="32" t="s">
        <v>7</v>
      </c>
      <c r="B4" s="20">
        <v>8701</v>
      </c>
      <c r="C4" s="21">
        <v>3621</v>
      </c>
      <c r="D4" s="21">
        <v>7855</v>
      </c>
      <c r="E4" s="21">
        <v>2541</v>
      </c>
      <c r="F4" s="21">
        <v>433</v>
      </c>
      <c r="G4" s="21">
        <v>9696</v>
      </c>
      <c r="H4" s="21">
        <v>1523</v>
      </c>
      <c r="I4" s="21">
        <v>491</v>
      </c>
      <c r="J4" s="21">
        <v>8531</v>
      </c>
      <c r="K4" s="21">
        <v>6863</v>
      </c>
      <c r="L4" s="21">
        <v>4614</v>
      </c>
      <c r="M4" s="21">
        <v>8083</v>
      </c>
      <c r="N4" s="21">
        <v>138</v>
      </c>
      <c r="O4" s="21">
        <v>7337</v>
      </c>
      <c r="P4" s="21">
        <v>1628</v>
      </c>
      <c r="Q4" s="21">
        <v>3558</v>
      </c>
      <c r="R4" s="21">
        <v>7320</v>
      </c>
      <c r="S4" s="21">
        <v>2392</v>
      </c>
      <c r="T4" s="21">
        <v>6011</v>
      </c>
      <c r="U4" s="22">
        <v>1810</v>
      </c>
      <c r="V4" s="15"/>
      <c r="W4" s="1">
        <v>0</v>
      </c>
      <c r="X4" s="40" t="s">
        <v>406</v>
      </c>
      <c r="Y4" s="7">
        <v>7298</v>
      </c>
      <c r="Z4" s="6">
        <v>6078</v>
      </c>
      <c r="AA4" s="6">
        <v>336</v>
      </c>
      <c r="AB4" s="6">
        <v>999</v>
      </c>
      <c r="AC4" s="8">
        <v>2981</v>
      </c>
      <c r="AD4" s="37">
        <v>6850</v>
      </c>
      <c r="AE4" s="6">
        <v>4494</v>
      </c>
      <c r="AF4" s="6">
        <v>4993</v>
      </c>
      <c r="AG4" s="6">
        <v>2644</v>
      </c>
      <c r="AH4" s="6">
        <v>2155</v>
      </c>
      <c r="AI4" s="6">
        <v>3049</v>
      </c>
      <c r="AJ4" s="6">
        <v>3240</v>
      </c>
      <c r="AK4" s="6">
        <v>6015</v>
      </c>
      <c r="AL4" s="6">
        <v>1146</v>
      </c>
      <c r="AM4" s="6">
        <v>2848</v>
      </c>
      <c r="AN4" s="6">
        <v>5335</v>
      </c>
      <c r="AO4" s="6">
        <v>4911</v>
      </c>
      <c r="AP4" s="6">
        <v>4721</v>
      </c>
      <c r="AQ4" s="6">
        <v>6170</v>
      </c>
      <c r="AR4" s="6">
        <v>4536</v>
      </c>
      <c r="AS4" s="6">
        <v>2043</v>
      </c>
      <c r="AT4" s="6">
        <v>528</v>
      </c>
      <c r="AU4" s="6">
        <v>280</v>
      </c>
      <c r="AV4" s="6">
        <v>575</v>
      </c>
      <c r="AW4" s="6">
        <v>2944</v>
      </c>
      <c r="AX4" s="6">
        <v>5149</v>
      </c>
      <c r="AY4" s="6">
        <v>2113</v>
      </c>
      <c r="AZ4" s="6">
        <v>9572</v>
      </c>
      <c r="BA4" s="6">
        <v>8256</v>
      </c>
      <c r="BB4" s="6">
        <v>3546</v>
      </c>
      <c r="BC4" s="6">
        <v>2077</v>
      </c>
      <c r="BD4" s="6">
        <v>6591</v>
      </c>
      <c r="BE4" s="6">
        <v>8018</v>
      </c>
      <c r="BF4" s="6">
        <v>6655</v>
      </c>
      <c r="BG4" s="6">
        <v>1146</v>
      </c>
      <c r="BH4" s="6">
        <v>6004</v>
      </c>
      <c r="BI4" s="6">
        <v>3027</v>
      </c>
      <c r="BJ4" s="6">
        <v>443</v>
      </c>
      <c r="BK4" s="6">
        <v>8743</v>
      </c>
      <c r="BL4" s="6">
        <v>8621</v>
      </c>
      <c r="BM4" s="6">
        <v>3042</v>
      </c>
      <c r="BN4" s="6">
        <v>474</v>
      </c>
      <c r="BO4" s="6">
        <v>8492</v>
      </c>
      <c r="BP4" s="6">
        <v>3851</v>
      </c>
      <c r="BQ4" s="6">
        <v>3708</v>
      </c>
      <c r="BR4" s="6">
        <v>3305</v>
      </c>
      <c r="BS4" s="6">
        <v>6532</v>
      </c>
      <c r="BT4" s="6">
        <v>2163</v>
      </c>
      <c r="BU4" s="6">
        <v>8010</v>
      </c>
      <c r="BV4" s="6">
        <v>5091</v>
      </c>
      <c r="BW4" s="6">
        <v>8278</v>
      </c>
      <c r="BX4" s="6">
        <v>1071</v>
      </c>
      <c r="BY4" s="6">
        <v>7719</v>
      </c>
      <c r="BZ4" s="6">
        <v>8765</v>
      </c>
      <c r="CA4" s="6">
        <v>7897</v>
      </c>
      <c r="CB4" s="6">
        <v>44</v>
      </c>
      <c r="CC4" s="6">
        <v>9983</v>
      </c>
      <c r="CD4" s="6">
        <v>3517</v>
      </c>
      <c r="CE4" s="6">
        <v>8128</v>
      </c>
      <c r="CF4" s="6">
        <v>2529</v>
      </c>
      <c r="CG4" s="6">
        <v>6201</v>
      </c>
      <c r="CH4" s="6">
        <v>6584</v>
      </c>
      <c r="CI4" s="6">
        <v>9768</v>
      </c>
      <c r="CJ4" s="6">
        <v>2222</v>
      </c>
      <c r="CK4" s="6">
        <v>7435</v>
      </c>
      <c r="CL4" s="6">
        <v>3289</v>
      </c>
      <c r="CM4" s="6">
        <v>5578</v>
      </c>
      <c r="CN4" s="6">
        <v>3197</v>
      </c>
      <c r="CO4" s="6">
        <v>9824</v>
      </c>
      <c r="CP4" s="6">
        <v>9160</v>
      </c>
      <c r="CQ4" s="6">
        <v>8360</v>
      </c>
      <c r="CR4" s="6">
        <v>8093</v>
      </c>
      <c r="CS4" s="6">
        <v>4781</v>
      </c>
      <c r="CT4" s="6">
        <v>5247</v>
      </c>
      <c r="CU4" s="6">
        <v>7968</v>
      </c>
      <c r="CV4" s="6">
        <v>3024</v>
      </c>
      <c r="CW4" s="6">
        <v>4862</v>
      </c>
      <c r="CX4" s="6">
        <v>6714</v>
      </c>
      <c r="CY4" s="6">
        <v>7392</v>
      </c>
      <c r="CZ4" s="6">
        <v>9229</v>
      </c>
      <c r="DA4" s="6">
        <v>2474</v>
      </c>
      <c r="DB4" s="6">
        <v>6640</v>
      </c>
      <c r="DC4" s="6">
        <v>4845</v>
      </c>
      <c r="DD4" s="6">
        <v>3513</v>
      </c>
      <c r="DE4" s="6">
        <v>2265</v>
      </c>
      <c r="DF4" s="6">
        <v>988</v>
      </c>
      <c r="DG4" s="6">
        <v>4939</v>
      </c>
      <c r="DH4" s="6">
        <v>8424</v>
      </c>
      <c r="DI4" s="6">
        <v>626</v>
      </c>
      <c r="DJ4" s="6">
        <v>1319</v>
      </c>
      <c r="DK4" s="6">
        <v>6075</v>
      </c>
      <c r="DL4" s="6">
        <v>1710</v>
      </c>
      <c r="DM4" s="6">
        <v>6031</v>
      </c>
      <c r="DN4" s="6">
        <v>643</v>
      </c>
      <c r="DO4" s="6">
        <v>2229</v>
      </c>
      <c r="DP4" s="6">
        <v>1675</v>
      </c>
      <c r="DQ4" s="6">
        <v>3561</v>
      </c>
      <c r="DR4" s="6">
        <v>9433</v>
      </c>
      <c r="DS4" s="6">
        <v>9333</v>
      </c>
      <c r="DT4" s="6">
        <v>3105</v>
      </c>
      <c r="DU4" s="6">
        <v>8931</v>
      </c>
      <c r="DV4" s="6">
        <v>7045</v>
      </c>
      <c r="DW4" s="6">
        <v>6799</v>
      </c>
      <c r="DX4" s="6">
        <v>6264</v>
      </c>
      <c r="DY4" s="6">
        <v>9438</v>
      </c>
      <c r="DZ4" s="6">
        <v>4503</v>
      </c>
      <c r="EA4" s="6">
        <v>7288</v>
      </c>
      <c r="EB4" s="6">
        <v>9311</v>
      </c>
      <c r="EC4" s="6">
        <v>9956</v>
      </c>
      <c r="ED4" s="6">
        <v>9763</v>
      </c>
      <c r="EE4" s="6">
        <v>592</v>
      </c>
      <c r="EF4" s="6">
        <v>4346</v>
      </c>
      <c r="EG4" s="6">
        <v>1769</v>
      </c>
      <c r="EH4" s="6">
        <v>4118</v>
      </c>
      <c r="EI4" s="6">
        <v>8184</v>
      </c>
      <c r="EJ4" s="6">
        <v>5196</v>
      </c>
      <c r="EK4" s="6">
        <v>3117</v>
      </c>
      <c r="EL4" s="6">
        <v>9139</v>
      </c>
      <c r="EM4" s="6">
        <v>6740</v>
      </c>
      <c r="EN4" s="6">
        <v>8535</v>
      </c>
      <c r="EO4" s="6">
        <v>7470</v>
      </c>
      <c r="EP4" s="6">
        <v>8352</v>
      </c>
      <c r="EQ4" s="6">
        <v>4251</v>
      </c>
      <c r="ER4" s="6">
        <v>9513</v>
      </c>
      <c r="ES4" s="6">
        <v>9256</v>
      </c>
      <c r="ET4" s="6">
        <v>6314</v>
      </c>
      <c r="EU4" s="6">
        <v>9385</v>
      </c>
      <c r="EV4" s="6">
        <v>3274</v>
      </c>
      <c r="EW4" s="6">
        <v>7260</v>
      </c>
      <c r="EX4" s="6">
        <v>2346</v>
      </c>
      <c r="EY4" s="6">
        <v>7247</v>
      </c>
      <c r="EZ4" s="6">
        <v>3845</v>
      </c>
      <c r="FA4" s="6">
        <v>9013</v>
      </c>
      <c r="FB4" s="6">
        <v>5229</v>
      </c>
      <c r="FC4" s="6">
        <v>4732</v>
      </c>
      <c r="FD4" s="6">
        <v>94</v>
      </c>
      <c r="FE4" s="6">
        <v>4238</v>
      </c>
      <c r="FF4" s="6">
        <v>9858</v>
      </c>
      <c r="FG4" s="6">
        <v>8186</v>
      </c>
      <c r="FH4" s="6">
        <v>5394</v>
      </c>
      <c r="FI4" s="6">
        <v>9736</v>
      </c>
      <c r="FJ4" s="6">
        <v>3442</v>
      </c>
      <c r="FK4" s="6">
        <v>6859</v>
      </c>
      <c r="FL4" s="6">
        <v>8068</v>
      </c>
      <c r="FM4" s="6">
        <v>3915</v>
      </c>
      <c r="FN4" s="6">
        <v>7942</v>
      </c>
      <c r="FO4" s="6">
        <v>9084</v>
      </c>
      <c r="FP4" s="6">
        <v>1880</v>
      </c>
      <c r="FQ4" s="6">
        <v>6963</v>
      </c>
      <c r="FR4" s="6">
        <v>4967</v>
      </c>
      <c r="FS4" s="6">
        <v>6098</v>
      </c>
      <c r="FT4" s="6">
        <v>4113</v>
      </c>
      <c r="FU4" s="6">
        <v>6448</v>
      </c>
      <c r="FV4" s="6">
        <v>7514</v>
      </c>
      <c r="FW4" s="6">
        <v>4047</v>
      </c>
      <c r="FX4" s="6">
        <v>5115</v>
      </c>
      <c r="FY4" s="6">
        <v>378</v>
      </c>
      <c r="FZ4" s="6">
        <v>6494</v>
      </c>
      <c r="GA4" s="6">
        <v>488</v>
      </c>
      <c r="GB4" s="6">
        <v>5341</v>
      </c>
      <c r="GC4" s="6">
        <v>5608</v>
      </c>
      <c r="GD4" s="6">
        <v>6162</v>
      </c>
      <c r="GE4" s="6">
        <v>4967</v>
      </c>
      <c r="GF4" s="6">
        <v>1258</v>
      </c>
      <c r="GG4" s="6">
        <v>6832</v>
      </c>
      <c r="GH4" s="6">
        <v>8760</v>
      </c>
      <c r="GI4" s="6">
        <v>1894</v>
      </c>
      <c r="GJ4" s="6">
        <v>3395</v>
      </c>
      <c r="GK4" s="6">
        <v>3944</v>
      </c>
      <c r="GL4" s="6">
        <v>7997</v>
      </c>
      <c r="GM4" s="6">
        <v>2364</v>
      </c>
      <c r="GN4" s="6">
        <v>226</v>
      </c>
      <c r="GO4" s="6">
        <v>9583</v>
      </c>
      <c r="GP4" s="6">
        <v>3929</v>
      </c>
      <c r="GQ4" s="6">
        <v>706</v>
      </c>
      <c r="GR4" s="6">
        <v>3462</v>
      </c>
      <c r="GS4" s="6">
        <v>3510</v>
      </c>
      <c r="GT4" s="6">
        <v>1320</v>
      </c>
      <c r="GU4" s="6">
        <v>7363</v>
      </c>
      <c r="GV4" s="6">
        <v>9120</v>
      </c>
      <c r="GW4" s="6">
        <v>9619</v>
      </c>
      <c r="GX4" s="6">
        <v>1581</v>
      </c>
      <c r="GY4" s="6">
        <v>2734</v>
      </c>
      <c r="GZ4" s="6">
        <v>3738</v>
      </c>
      <c r="HA4" s="6">
        <v>9080</v>
      </c>
      <c r="HB4" s="6">
        <v>9712</v>
      </c>
      <c r="HC4" s="6">
        <v>5564</v>
      </c>
      <c r="HD4" s="6">
        <v>4500</v>
      </c>
      <c r="HE4" s="6">
        <v>6333</v>
      </c>
      <c r="HF4" s="6">
        <v>1914</v>
      </c>
      <c r="HG4" s="6">
        <v>7314</v>
      </c>
      <c r="HH4" s="6">
        <v>3316</v>
      </c>
      <c r="HI4" s="6">
        <v>8743</v>
      </c>
      <c r="HJ4" s="6">
        <v>2590</v>
      </c>
      <c r="HK4" s="6">
        <v>1835</v>
      </c>
      <c r="HL4" s="6">
        <v>5614</v>
      </c>
      <c r="HM4" s="6">
        <v>8721</v>
      </c>
      <c r="HN4" s="6">
        <v>7200</v>
      </c>
      <c r="HO4" s="6">
        <v>9124</v>
      </c>
      <c r="HP4" s="6">
        <v>9503</v>
      </c>
      <c r="HQ4" s="6">
        <v>1029</v>
      </c>
      <c r="HR4" s="6">
        <v>2834</v>
      </c>
      <c r="HS4" s="6">
        <v>5557</v>
      </c>
      <c r="HT4" s="6">
        <v>5779</v>
      </c>
      <c r="HU4" s="6">
        <v>8290</v>
      </c>
      <c r="HV4" s="6">
        <v>8687</v>
      </c>
      <c r="HW4" s="6">
        <v>7702</v>
      </c>
      <c r="HX4" s="6">
        <v>3230</v>
      </c>
      <c r="HY4" s="6">
        <v>4078</v>
      </c>
      <c r="HZ4" s="6">
        <v>9594</v>
      </c>
      <c r="IA4" s="6">
        <v>5215</v>
      </c>
      <c r="IB4" s="6">
        <v>2384</v>
      </c>
      <c r="IC4" s="6">
        <v>5761</v>
      </c>
      <c r="ID4" s="6">
        <v>12</v>
      </c>
      <c r="IE4" s="6">
        <v>4019</v>
      </c>
      <c r="IF4" s="6">
        <v>3743</v>
      </c>
      <c r="IG4" s="6">
        <v>6753</v>
      </c>
      <c r="IH4" s="6">
        <v>7891</v>
      </c>
      <c r="II4" s="6">
        <v>2197</v>
      </c>
      <c r="IJ4" s="6">
        <v>9671</v>
      </c>
      <c r="IK4" s="6">
        <v>7947</v>
      </c>
      <c r="IL4" s="6">
        <v>7832</v>
      </c>
      <c r="IM4" s="6">
        <v>8074</v>
      </c>
      <c r="IN4" s="6">
        <v>96</v>
      </c>
      <c r="IO4" s="6">
        <v>6741</v>
      </c>
      <c r="IP4" s="6">
        <v>9464</v>
      </c>
      <c r="IQ4" s="6">
        <v>9494</v>
      </c>
      <c r="IR4" s="6">
        <v>9318</v>
      </c>
      <c r="IS4" s="6">
        <v>3908</v>
      </c>
      <c r="IT4" s="6">
        <v>7135</v>
      </c>
      <c r="IU4" s="6">
        <v>2310</v>
      </c>
      <c r="IV4" s="6">
        <v>5119</v>
      </c>
      <c r="IW4" s="6">
        <v>1348</v>
      </c>
      <c r="IX4" s="6">
        <v>4000</v>
      </c>
      <c r="IY4" s="6">
        <v>3922</v>
      </c>
      <c r="IZ4" s="6">
        <v>8528</v>
      </c>
      <c r="JA4" s="6">
        <v>5718</v>
      </c>
      <c r="JB4" s="6">
        <v>7891</v>
      </c>
      <c r="JC4" s="6">
        <v>3706</v>
      </c>
      <c r="JD4" s="6">
        <v>2314</v>
      </c>
      <c r="JE4" s="6">
        <v>9800</v>
      </c>
      <c r="JF4" s="6">
        <v>684</v>
      </c>
      <c r="JG4" s="6">
        <v>4694</v>
      </c>
      <c r="JH4" s="6">
        <v>763</v>
      </c>
      <c r="JI4" s="6">
        <v>8244</v>
      </c>
      <c r="JJ4" s="6">
        <v>4811</v>
      </c>
      <c r="JK4" s="6">
        <v>8990</v>
      </c>
      <c r="JL4" s="6">
        <v>6439</v>
      </c>
      <c r="JM4" s="6">
        <v>9615</v>
      </c>
      <c r="JN4" s="6">
        <v>9570</v>
      </c>
      <c r="JO4" s="6">
        <v>8098</v>
      </c>
      <c r="JP4" s="6">
        <v>2333</v>
      </c>
      <c r="JQ4" s="6">
        <v>4132</v>
      </c>
      <c r="JR4" s="6">
        <v>1373</v>
      </c>
      <c r="JS4" s="6">
        <v>7004</v>
      </c>
      <c r="JT4" s="6">
        <v>4929</v>
      </c>
      <c r="JU4" s="6">
        <v>4664</v>
      </c>
      <c r="JV4" s="6">
        <v>7176</v>
      </c>
      <c r="JW4" s="6">
        <v>7118</v>
      </c>
      <c r="JX4" s="6">
        <v>3756</v>
      </c>
      <c r="JY4" s="6">
        <v>7458</v>
      </c>
      <c r="JZ4" s="6">
        <v>9302</v>
      </c>
      <c r="KA4" s="6">
        <v>6872</v>
      </c>
      <c r="KB4" s="6">
        <v>5164</v>
      </c>
      <c r="KC4" s="6">
        <v>7487</v>
      </c>
      <c r="KD4" s="6">
        <v>8238</v>
      </c>
      <c r="KE4" s="6">
        <v>5923</v>
      </c>
      <c r="KF4" s="6">
        <v>876</v>
      </c>
      <c r="KG4" s="6">
        <v>1820</v>
      </c>
      <c r="KH4" s="6">
        <v>8447</v>
      </c>
      <c r="KI4" s="6">
        <v>5985</v>
      </c>
      <c r="KJ4" s="6">
        <v>8036</v>
      </c>
      <c r="KK4" s="6">
        <v>3243</v>
      </c>
      <c r="KL4" s="6">
        <v>9782</v>
      </c>
      <c r="KM4" s="6">
        <v>6603</v>
      </c>
      <c r="KN4" s="6">
        <v>5465</v>
      </c>
      <c r="KO4" s="6">
        <v>5232</v>
      </c>
      <c r="KP4" s="6">
        <v>9433</v>
      </c>
      <c r="KQ4" s="6">
        <v>6408</v>
      </c>
      <c r="KR4" s="6">
        <v>8896</v>
      </c>
      <c r="KS4" s="6">
        <v>1070</v>
      </c>
      <c r="KT4" s="6">
        <v>3395</v>
      </c>
      <c r="KU4" s="6">
        <v>9736</v>
      </c>
      <c r="KV4" s="6">
        <v>7120</v>
      </c>
      <c r="KW4" s="6">
        <v>5628</v>
      </c>
      <c r="KX4" s="6">
        <v>6496</v>
      </c>
      <c r="KY4" s="6">
        <v>1974</v>
      </c>
      <c r="KZ4" s="6">
        <v>8170</v>
      </c>
      <c r="LA4" s="6">
        <v>7635</v>
      </c>
      <c r="LB4" s="6">
        <v>7274</v>
      </c>
      <c r="LC4" s="6">
        <v>8772</v>
      </c>
      <c r="LD4" s="6">
        <v>9938</v>
      </c>
      <c r="LE4" s="6">
        <v>9953</v>
      </c>
      <c r="LF4" s="6">
        <v>6710</v>
      </c>
      <c r="LG4" s="6">
        <v>901</v>
      </c>
      <c r="LH4" s="6">
        <v>8776</v>
      </c>
      <c r="LI4" s="6">
        <v>6540</v>
      </c>
      <c r="LJ4" s="6">
        <v>9097</v>
      </c>
      <c r="LK4" s="6">
        <v>3871</v>
      </c>
      <c r="LL4" s="6">
        <v>1354</v>
      </c>
      <c r="LM4" s="6">
        <v>4363</v>
      </c>
      <c r="LN4" s="6">
        <v>8607</v>
      </c>
      <c r="LO4" s="6">
        <v>9541</v>
      </c>
      <c r="LP4" s="6">
        <v>2289</v>
      </c>
      <c r="LQ4" s="6">
        <v>9685</v>
      </c>
      <c r="LR4" s="6">
        <v>1870</v>
      </c>
      <c r="LS4" s="6">
        <v>4497</v>
      </c>
      <c r="LT4" s="6">
        <v>4107</v>
      </c>
      <c r="LU4" s="6">
        <v>4061</v>
      </c>
      <c r="LV4" s="6">
        <v>6542</v>
      </c>
      <c r="LW4" s="6">
        <v>7705</v>
      </c>
      <c r="LX4" s="6">
        <v>6124</v>
      </c>
      <c r="LY4" s="6">
        <v>5723</v>
      </c>
      <c r="LZ4" s="6">
        <v>158</v>
      </c>
      <c r="MA4" s="6">
        <v>2851</v>
      </c>
      <c r="MB4" s="6">
        <v>9835</v>
      </c>
      <c r="MC4" s="6">
        <v>8564</v>
      </c>
      <c r="MD4" s="6">
        <v>1692</v>
      </c>
      <c r="ME4" s="6">
        <v>7828</v>
      </c>
      <c r="MF4" s="6">
        <v>4356</v>
      </c>
      <c r="MG4" s="6">
        <v>7259</v>
      </c>
      <c r="MH4" s="6">
        <v>5319</v>
      </c>
      <c r="MI4" s="6">
        <v>7071</v>
      </c>
      <c r="MJ4" s="6">
        <v>3845</v>
      </c>
      <c r="MK4" s="6">
        <v>6499</v>
      </c>
      <c r="ML4" s="6">
        <v>9020</v>
      </c>
      <c r="MM4" s="6">
        <v>2828</v>
      </c>
      <c r="MN4" s="6">
        <v>2881</v>
      </c>
      <c r="MO4" s="6">
        <v>6851</v>
      </c>
      <c r="MP4" s="6">
        <v>1058</v>
      </c>
      <c r="MQ4" s="6">
        <v>7773</v>
      </c>
      <c r="MR4" s="6">
        <v>20</v>
      </c>
      <c r="MS4" s="6">
        <v>6470</v>
      </c>
      <c r="MT4" s="6">
        <v>1607</v>
      </c>
      <c r="MU4" s="6">
        <v>3031</v>
      </c>
      <c r="MV4" s="6">
        <v>7999</v>
      </c>
      <c r="MW4" s="6">
        <v>9276</v>
      </c>
      <c r="MX4" s="6">
        <v>980</v>
      </c>
      <c r="MY4" s="6">
        <v>8570</v>
      </c>
      <c r="MZ4" s="6">
        <v>2285</v>
      </c>
      <c r="NA4" s="6">
        <v>1708</v>
      </c>
      <c r="NB4" s="6">
        <v>1737</v>
      </c>
      <c r="NC4" s="6">
        <v>5674</v>
      </c>
      <c r="ND4" s="6">
        <v>4325</v>
      </c>
      <c r="NE4" s="6">
        <v>9526</v>
      </c>
      <c r="NF4" s="6">
        <v>8216</v>
      </c>
      <c r="NG4" s="6">
        <v>1193</v>
      </c>
      <c r="NH4" s="6">
        <v>5949</v>
      </c>
      <c r="NI4" s="6">
        <v>5774</v>
      </c>
      <c r="NJ4" s="6">
        <v>6521</v>
      </c>
      <c r="NK4" s="6">
        <v>4724</v>
      </c>
      <c r="NL4" s="6">
        <v>4440</v>
      </c>
      <c r="NM4" s="6">
        <v>5532</v>
      </c>
      <c r="NN4" s="6">
        <v>5176</v>
      </c>
      <c r="NO4" s="6">
        <v>5054</v>
      </c>
      <c r="NP4" s="6">
        <v>6911</v>
      </c>
      <c r="NQ4" s="6">
        <v>4610</v>
      </c>
      <c r="NR4" s="6">
        <v>4891</v>
      </c>
      <c r="NS4" s="6">
        <v>4469</v>
      </c>
      <c r="NT4" s="6">
        <v>5480</v>
      </c>
      <c r="NU4" s="6">
        <v>604</v>
      </c>
      <c r="NV4" s="6">
        <v>6346</v>
      </c>
      <c r="NW4" s="6">
        <v>5152</v>
      </c>
      <c r="NX4" s="6">
        <v>98</v>
      </c>
      <c r="NY4" s="6">
        <v>13</v>
      </c>
      <c r="NZ4" s="6">
        <v>9325</v>
      </c>
      <c r="OA4" s="6">
        <v>6791</v>
      </c>
      <c r="OB4" s="6">
        <v>6797</v>
      </c>
      <c r="OC4" s="6">
        <v>5868</v>
      </c>
      <c r="OD4" s="6">
        <v>5224</v>
      </c>
      <c r="OE4" s="6">
        <v>9853</v>
      </c>
      <c r="OF4" s="6">
        <v>9898</v>
      </c>
      <c r="OG4" s="6">
        <v>2353</v>
      </c>
      <c r="OH4" s="6">
        <v>1380</v>
      </c>
      <c r="OI4" s="6">
        <v>6230</v>
      </c>
      <c r="OJ4" s="6">
        <v>6025</v>
      </c>
      <c r="OK4" s="6">
        <v>5018</v>
      </c>
      <c r="OL4" s="6">
        <v>3848</v>
      </c>
      <c r="OM4" s="6">
        <v>2203</v>
      </c>
      <c r="ON4" s="6">
        <v>9490</v>
      </c>
      <c r="OO4" s="6">
        <v>2646</v>
      </c>
      <c r="OP4" s="6">
        <v>7062</v>
      </c>
      <c r="OQ4" s="6">
        <v>2744</v>
      </c>
      <c r="OR4" s="6">
        <v>4197</v>
      </c>
      <c r="OS4" s="6">
        <v>7725</v>
      </c>
      <c r="OT4" s="6">
        <v>7535</v>
      </c>
      <c r="OU4" s="6">
        <v>8746</v>
      </c>
      <c r="OV4" s="6">
        <v>6316</v>
      </c>
      <c r="OW4" s="6">
        <v>1</v>
      </c>
      <c r="OX4" s="6">
        <v>1078</v>
      </c>
      <c r="OY4" s="6">
        <v>5547</v>
      </c>
      <c r="OZ4" s="6">
        <v>7740</v>
      </c>
      <c r="PA4" s="6">
        <v>6906</v>
      </c>
      <c r="PB4" s="6">
        <v>156</v>
      </c>
      <c r="PC4" s="6">
        <v>3920</v>
      </c>
      <c r="PD4" s="6">
        <v>9529</v>
      </c>
      <c r="PE4" s="6">
        <v>5035</v>
      </c>
      <c r="PF4" s="6">
        <v>8351</v>
      </c>
      <c r="PG4" s="8">
        <v>3580</v>
      </c>
    </row>
    <row r="5" spans="1:423" s="19" customFormat="1" ht="19.149999999999999" customHeight="1" x14ac:dyDescent="0.6">
      <c r="A5" s="32" t="s">
        <v>8</v>
      </c>
      <c r="B5" s="20">
        <v>4326</v>
      </c>
      <c r="C5" s="21">
        <v>5576</v>
      </c>
      <c r="D5" s="21">
        <v>9308</v>
      </c>
      <c r="E5" s="21">
        <v>2531</v>
      </c>
      <c r="F5" s="21">
        <v>590</v>
      </c>
      <c r="G5" s="21">
        <v>9838</v>
      </c>
      <c r="H5" s="21">
        <v>6063</v>
      </c>
      <c r="I5" s="21">
        <v>9061</v>
      </c>
      <c r="J5" s="21">
        <v>7348</v>
      </c>
      <c r="K5" s="21">
        <v>862</v>
      </c>
      <c r="L5" s="21">
        <v>6729</v>
      </c>
      <c r="M5" s="21">
        <v>8703</v>
      </c>
      <c r="N5" s="21">
        <v>8460</v>
      </c>
      <c r="O5" s="21">
        <v>2285</v>
      </c>
      <c r="P5" s="21">
        <v>3609</v>
      </c>
      <c r="Q5" s="21">
        <v>7992</v>
      </c>
      <c r="R5" s="21">
        <v>6481</v>
      </c>
      <c r="S5" s="21">
        <v>2791</v>
      </c>
      <c r="T5" s="21">
        <v>1488</v>
      </c>
      <c r="U5" s="22">
        <v>7818</v>
      </c>
      <c r="V5" s="15"/>
      <c r="W5" s="1">
        <v>0</v>
      </c>
      <c r="X5" s="40" t="s">
        <v>407</v>
      </c>
      <c r="Y5" s="7">
        <v>9502</v>
      </c>
      <c r="Z5" s="6">
        <v>7071</v>
      </c>
      <c r="AA5" s="6">
        <v>3986</v>
      </c>
      <c r="AB5" s="6">
        <v>9700</v>
      </c>
      <c r="AC5" s="8">
        <v>5744</v>
      </c>
      <c r="AD5" s="37">
        <v>3512</v>
      </c>
      <c r="AE5" s="6">
        <v>4659</v>
      </c>
      <c r="AF5" s="6">
        <v>1676</v>
      </c>
      <c r="AG5" s="6">
        <v>7508</v>
      </c>
      <c r="AH5" s="6">
        <v>8802</v>
      </c>
      <c r="AI5" s="6">
        <v>5649</v>
      </c>
      <c r="AJ5" s="6">
        <v>664</v>
      </c>
      <c r="AK5" s="6">
        <v>6235</v>
      </c>
      <c r="AL5" s="6">
        <v>7220</v>
      </c>
      <c r="AM5" s="6">
        <v>2139</v>
      </c>
      <c r="AN5" s="6">
        <v>8982</v>
      </c>
      <c r="AO5" s="6">
        <v>6708</v>
      </c>
      <c r="AP5" s="6">
        <v>6199</v>
      </c>
      <c r="AQ5" s="6">
        <v>8735</v>
      </c>
      <c r="AR5" s="6">
        <v>5801</v>
      </c>
      <c r="AS5" s="6">
        <v>1021</v>
      </c>
      <c r="AT5" s="6">
        <v>3600</v>
      </c>
      <c r="AU5" s="6">
        <v>9393</v>
      </c>
      <c r="AV5" s="6">
        <v>5030</v>
      </c>
      <c r="AW5" s="6">
        <v>8949</v>
      </c>
      <c r="AX5" s="6">
        <v>9282</v>
      </c>
      <c r="AY5" s="6">
        <v>2110</v>
      </c>
      <c r="AZ5" s="6">
        <v>4383</v>
      </c>
      <c r="BA5" s="6">
        <v>9310</v>
      </c>
      <c r="BB5" s="6">
        <v>9983</v>
      </c>
      <c r="BC5" s="6">
        <v>9802</v>
      </c>
      <c r="BD5" s="6">
        <v>6426</v>
      </c>
      <c r="BE5" s="6">
        <v>762</v>
      </c>
      <c r="BF5" s="6">
        <v>6408</v>
      </c>
      <c r="BG5" s="6">
        <v>9302</v>
      </c>
      <c r="BH5" s="6">
        <v>9173</v>
      </c>
      <c r="BI5" s="6">
        <v>6183</v>
      </c>
      <c r="BJ5" s="6">
        <v>6492</v>
      </c>
      <c r="BK5" s="6">
        <v>4718</v>
      </c>
      <c r="BL5" s="6">
        <v>2005</v>
      </c>
      <c r="BM5" s="6">
        <v>6993</v>
      </c>
      <c r="BN5" s="6">
        <v>1618</v>
      </c>
      <c r="BO5" s="6">
        <v>4651</v>
      </c>
      <c r="BP5" s="6">
        <v>4255</v>
      </c>
      <c r="BQ5" s="6">
        <v>182</v>
      </c>
      <c r="BR5" s="6">
        <v>4538</v>
      </c>
      <c r="BS5" s="6">
        <v>6974</v>
      </c>
      <c r="BT5" s="6">
        <v>5597</v>
      </c>
      <c r="BU5" s="6">
        <v>8219</v>
      </c>
      <c r="BV5" s="6">
        <v>4821</v>
      </c>
      <c r="BW5" s="6">
        <v>4917</v>
      </c>
      <c r="BX5" s="6">
        <v>5960</v>
      </c>
      <c r="BY5" s="6">
        <v>2761</v>
      </c>
      <c r="BZ5" s="6">
        <v>1449</v>
      </c>
      <c r="CA5" s="6">
        <v>7983</v>
      </c>
      <c r="CB5" s="6">
        <v>369</v>
      </c>
      <c r="CC5" s="6">
        <v>7203</v>
      </c>
      <c r="CD5" s="6">
        <v>5634</v>
      </c>
      <c r="CE5" s="6">
        <v>6744</v>
      </c>
      <c r="CF5" s="6">
        <v>5396</v>
      </c>
      <c r="CG5" s="6">
        <v>8530</v>
      </c>
      <c r="CH5" s="6">
        <v>9952</v>
      </c>
      <c r="CI5" s="6">
        <v>3645</v>
      </c>
      <c r="CJ5" s="6">
        <v>3220</v>
      </c>
      <c r="CK5" s="6">
        <v>3072</v>
      </c>
      <c r="CL5" s="6">
        <v>9512</v>
      </c>
      <c r="CM5" s="6">
        <v>1828</v>
      </c>
      <c r="CN5" s="6">
        <v>3470</v>
      </c>
      <c r="CO5" s="6">
        <v>2726</v>
      </c>
      <c r="CP5" s="6">
        <v>6608</v>
      </c>
      <c r="CQ5" s="6">
        <v>939</v>
      </c>
      <c r="CR5" s="6">
        <v>2249</v>
      </c>
      <c r="CS5" s="6">
        <v>4126</v>
      </c>
      <c r="CT5" s="6">
        <v>447</v>
      </c>
      <c r="CU5" s="6">
        <v>5877</v>
      </c>
      <c r="CV5" s="6">
        <v>4613</v>
      </c>
      <c r="CW5" s="6">
        <v>6581</v>
      </c>
      <c r="CX5" s="6">
        <v>7173</v>
      </c>
      <c r="CY5" s="6">
        <v>161</v>
      </c>
      <c r="CZ5" s="6">
        <v>6263</v>
      </c>
      <c r="DA5" s="6">
        <v>8448</v>
      </c>
      <c r="DB5" s="6">
        <v>6322</v>
      </c>
      <c r="DC5" s="6">
        <v>6532</v>
      </c>
      <c r="DD5" s="6">
        <v>3558</v>
      </c>
      <c r="DE5" s="6">
        <v>1721</v>
      </c>
      <c r="DF5" s="6">
        <v>9596</v>
      </c>
      <c r="DG5" s="6">
        <v>8421</v>
      </c>
      <c r="DH5" s="6">
        <v>2032</v>
      </c>
      <c r="DI5" s="6">
        <v>444</v>
      </c>
      <c r="DJ5" s="6">
        <v>7619</v>
      </c>
      <c r="DK5" s="6">
        <v>7952</v>
      </c>
      <c r="DL5" s="6">
        <v>8613</v>
      </c>
      <c r="DM5" s="6">
        <v>3513</v>
      </c>
      <c r="DN5" s="6">
        <v>1360</v>
      </c>
      <c r="DO5" s="6">
        <v>7933</v>
      </c>
      <c r="DP5" s="6">
        <v>2586</v>
      </c>
      <c r="DQ5" s="6">
        <v>9566</v>
      </c>
      <c r="DR5" s="6">
        <v>226</v>
      </c>
      <c r="DS5" s="6">
        <v>9259</v>
      </c>
      <c r="DT5" s="6">
        <v>2467</v>
      </c>
      <c r="DU5" s="6">
        <v>703</v>
      </c>
      <c r="DV5" s="6">
        <v>3921</v>
      </c>
      <c r="DW5" s="6">
        <v>2348</v>
      </c>
      <c r="DX5" s="6">
        <v>7818</v>
      </c>
      <c r="DY5" s="6">
        <v>2641</v>
      </c>
      <c r="DZ5" s="6">
        <v>1602</v>
      </c>
      <c r="EA5" s="6">
        <v>92</v>
      </c>
      <c r="EB5" s="6">
        <v>6079</v>
      </c>
      <c r="EC5" s="6">
        <v>7312</v>
      </c>
      <c r="ED5" s="6">
        <v>9498</v>
      </c>
      <c r="EE5" s="6">
        <v>9359</v>
      </c>
      <c r="EF5" s="6">
        <v>9581</v>
      </c>
      <c r="EG5" s="6">
        <v>7986</v>
      </c>
      <c r="EH5" s="6">
        <v>7781</v>
      </c>
      <c r="EI5" s="6">
        <v>7184</v>
      </c>
      <c r="EJ5" s="6">
        <v>4638</v>
      </c>
      <c r="EK5" s="6">
        <v>3536</v>
      </c>
      <c r="EL5" s="6">
        <v>6001</v>
      </c>
      <c r="EM5" s="6">
        <v>668</v>
      </c>
      <c r="EN5" s="6">
        <v>3560</v>
      </c>
      <c r="EO5" s="6">
        <v>4951</v>
      </c>
      <c r="EP5" s="6">
        <v>9270</v>
      </c>
      <c r="EQ5" s="6">
        <v>6602</v>
      </c>
      <c r="ER5" s="6">
        <v>8857</v>
      </c>
      <c r="ES5" s="6">
        <v>6036</v>
      </c>
      <c r="ET5" s="6">
        <v>8930</v>
      </c>
      <c r="EU5" s="6">
        <v>8931</v>
      </c>
      <c r="EV5" s="6">
        <v>9105</v>
      </c>
      <c r="EW5" s="6">
        <v>2894</v>
      </c>
      <c r="EX5" s="6">
        <v>6957</v>
      </c>
      <c r="EY5" s="6">
        <v>3271</v>
      </c>
      <c r="EZ5" s="6">
        <v>3123</v>
      </c>
      <c r="FA5" s="6">
        <v>1090</v>
      </c>
      <c r="FB5" s="6">
        <v>2010</v>
      </c>
      <c r="FC5" s="6">
        <v>9051</v>
      </c>
      <c r="FD5" s="6">
        <v>6342</v>
      </c>
      <c r="FE5" s="6">
        <v>7906</v>
      </c>
      <c r="FF5" s="6">
        <v>1929</v>
      </c>
      <c r="FG5" s="6">
        <v>3836</v>
      </c>
      <c r="FH5" s="6">
        <v>7800</v>
      </c>
      <c r="FI5" s="6">
        <v>1023</v>
      </c>
      <c r="FJ5" s="6">
        <v>2314</v>
      </c>
      <c r="FK5" s="6">
        <v>2384</v>
      </c>
      <c r="FL5" s="6">
        <v>5435</v>
      </c>
      <c r="FM5" s="6">
        <v>2217</v>
      </c>
      <c r="FN5" s="6">
        <v>8494</v>
      </c>
      <c r="FO5" s="6">
        <v>3474</v>
      </c>
      <c r="FP5" s="6">
        <v>5044</v>
      </c>
      <c r="FQ5" s="6">
        <v>964</v>
      </c>
      <c r="FR5" s="6">
        <v>8288</v>
      </c>
      <c r="FS5" s="6">
        <v>2588</v>
      </c>
      <c r="FT5" s="6">
        <v>7852</v>
      </c>
      <c r="FU5" s="6">
        <v>2045</v>
      </c>
      <c r="FV5" s="6">
        <v>4217</v>
      </c>
      <c r="FW5" s="6">
        <v>131</v>
      </c>
      <c r="FX5" s="6">
        <v>6150</v>
      </c>
      <c r="FY5" s="6">
        <v>9977</v>
      </c>
      <c r="FZ5" s="6">
        <v>9775</v>
      </c>
      <c r="GA5" s="6">
        <v>5164</v>
      </c>
      <c r="GB5" s="6">
        <v>7792</v>
      </c>
      <c r="GC5" s="6">
        <v>9374</v>
      </c>
      <c r="GD5" s="6">
        <v>8633</v>
      </c>
      <c r="GE5" s="6">
        <v>2773</v>
      </c>
      <c r="GF5" s="6">
        <v>9602</v>
      </c>
      <c r="GG5" s="6">
        <v>8287</v>
      </c>
      <c r="GH5" s="6">
        <v>3292</v>
      </c>
      <c r="GI5" s="6">
        <v>3601</v>
      </c>
      <c r="GJ5" s="6">
        <v>67</v>
      </c>
      <c r="GK5" s="6">
        <v>8471</v>
      </c>
      <c r="GL5" s="6">
        <v>2663</v>
      </c>
      <c r="GM5" s="6">
        <v>25</v>
      </c>
      <c r="GN5" s="6">
        <v>7936</v>
      </c>
      <c r="GO5" s="6">
        <v>9271</v>
      </c>
      <c r="GP5" s="6">
        <v>3582</v>
      </c>
      <c r="GQ5" s="6">
        <v>7994</v>
      </c>
      <c r="GR5" s="6">
        <v>6775</v>
      </c>
      <c r="GS5" s="6">
        <v>5065</v>
      </c>
      <c r="GT5" s="6">
        <v>2873</v>
      </c>
      <c r="GU5" s="6">
        <v>8130</v>
      </c>
      <c r="GV5" s="6">
        <v>7476</v>
      </c>
      <c r="GW5" s="6">
        <v>6590</v>
      </c>
      <c r="GX5" s="6">
        <v>8494</v>
      </c>
      <c r="GY5" s="6">
        <v>5497</v>
      </c>
      <c r="GZ5" s="6">
        <v>5666</v>
      </c>
      <c r="HA5" s="6">
        <v>7638</v>
      </c>
      <c r="HB5" s="6">
        <v>1285</v>
      </c>
      <c r="HC5" s="6">
        <v>1231</v>
      </c>
      <c r="HD5" s="6">
        <v>8309</v>
      </c>
      <c r="HE5" s="6">
        <v>4026</v>
      </c>
      <c r="HF5" s="6">
        <v>9096</v>
      </c>
      <c r="HG5" s="6">
        <v>3792</v>
      </c>
      <c r="HH5" s="6">
        <v>4090</v>
      </c>
      <c r="HI5" s="6">
        <v>4452</v>
      </c>
      <c r="HJ5" s="6">
        <v>1166</v>
      </c>
      <c r="HK5" s="6">
        <v>6067</v>
      </c>
      <c r="HL5" s="6">
        <v>2786</v>
      </c>
      <c r="HM5" s="6">
        <v>4653</v>
      </c>
      <c r="HN5" s="6">
        <v>3838</v>
      </c>
      <c r="HO5" s="6">
        <v>1758</v>
      </c>
      <c r="HP5" s="6">
        <v>1117</v>
      </c>
      <c r="HQ5" s="6">
        <v>2254</v>
      </c>
      <c r="HR5" s="6">
        <v>3512</v>
      </c>
      <c r="HS5" s="6">
        <v>5309</v>
      </c>
      <c r="HT5" s="6">
        <v>2602</v>
      </c>
      <c r="HU5" s="6">
        <v>4415</v>
      </c>
      <c r="HV5" s="6">
        <v>2827</v>
      </c>
      <c r="HW5" s="6">
        <v>8412</v>
      </c>
      <c r="HX5" s="6">
        <v>8200</v>
      </c>
      <c r="HY5" s="6">
        <v>7188</v>
      </c>
      <c r="HZ5" s="6">
        <v>4024</v>
      </c>
      <c r="IA5" s="6">
        <v>2149</v>
      </c>
      <c r="IB5" s="6">
        <v>4529</v>
      </c>
      <c r="IC5" s="6">
        <v>7413</v>
      </c>
      <c r="ID5" s="6">
        <v>3076</v>
      </c>
      <c r="IE5" s="6">
        <v>6112</v>
      </c>
      <c r="IF5" s="6">
        <v>3123</v>
      </c>
      <c r="IG5" s="6">
        <v>5181</v>
      </c>
      <c r="IH5" s="6">
        <v>2266</v>
      </c>
      <c r="II5" s="6">
        <v>7053</v>
      </c>
      <c r="IJ5" s="6">
        <v>220</v>
      </c>
      <c r="IK5" s="6">
        <v>963</v>
      </c>
      <c r="IL5" s="6">
        <v>6619</v>
      </c>
      <c r="IM5" s="6">
        <v>5948</v>
      </c>
      <c r="IN5" s="6">
        <v>7546</v>
      </c>
      <c r="IO5" s="6">
        <v>1082</v>
      </c>
      <c r="IP5" s="6">
        <v>1808</v>
      </c>
      <c r="IQ5" s="6">
        <v>3217</v>
      </c>
      <c r="IR5" s="6">
        <v>288</v>
      </c>
      <c r="IS5" s="6">
        <v>7105</v>
      </c>
      <c r="IT5" s="6">
        <v>8672</v>
      </c>
      <c r="IU5" s="6">
        <v>8918</v>
      </c>
      <c r="IV5" s="6">
        <v>7670</v>
      </c>
      <c r="IW5" s="6">
        <v>1703</v>
      </c>
      <c r="IX5" s="6">
        <v>6341</v>
      </c>
      <c r="IY5" s="6">
        <v>9507</v>
      </c>
      <c r="IZ5" s="6">
        <v>3059</v>
      </c>
      <c r="JA5" s="6">
        <v>262</v>
      </c>
      <c r="JB5" s="6">
        <v>6345</v>
      </c>
      <c r="JC5" s="6">
        <v>4107</v>
      </c>
      <c r="JD5" s="6">
        <v>2309</v>
      </c>
      <c r="JE5" s="6">
        <v>1710</v>
      </c>
      <c r="JF5" s="6">
        <v>4460</v>
      </c>
      <c r="JG5" s="6">
        <v>5347</v>
      </c>
      <c r="JH5" s="6">
        <v>4014</v>
      </c>
      <c r="JI5" s="6">
        <v>6943</v>
      </c>
      <c r="JJ5" s="6">
        <v>1334</v>
      </c>
      <c r="JK5" s="6">
        <v>8923</v>
      </c>
      <c r="JL5" s="6">
        <v>4253</v>
      </c>
      <c r="JM5" s="6">
        <v>4731</v>
      </c>
      <c r="JN5" s="6">
        <v>4254</v>
      </c>
      <c r="JO5" s="6">
        <v>6647</v>
      </c>
      <c r="JP5" s="6">
        <v>4618</v>
      </c>
      <c r="JQ5" s="6">
        <v>8991</v>
      </c>
      <c r="JR5" s="6">
        <v>8575</v>
      </c>
      <c r="JS5" s="6">
        <v>5221</v>
      </c>
      <c r="JT5" s="6">
        <v>9379</v>
      </c>
      <c r="JU5" s="6">
        <v>1315</v>
      </c>
      <c r="JV5" s="6">
        <v>5201</v>
      </c>
      <c r="JW5" s="6">
        <v>8131</v>
      </c>
      <c r="JX5" s="6">
        <v>7693</v>
      </c>
      <c r="JY5" s="6">
        <v>1251</v>
      </c>
      <c r="JZ5" s="6">
        <v>359</v>
      </c>
      <c r="KA5" s="6">
        <v>1289</v>
      </c>
      <c r="KB5" s="6">
        <v>5002</v>
      </c>
      <c r="KC5" s="6">
        <v>4156</v>
      </c>
      <c r="KD5" s="6">
        <v>2257</v>
      </c>
      <c r="KE5" s="6">
        <v>3495</v>
      </c>
      <c r="KF5" s="6">
        <v>5069</v>
      </c>
      <c r="KG5" s="6">
        <v>4892</v>
      </c>
      <c r="KH5" s="6">
        <v>1313</v>
      </c>
      <c r="KI5" s="6">
        <v>1708</v>
      </c>
      <c r="KJ5" s="6">
        <v>5519</v>
      </c>
      <c r="KK5" s="6">
        <v>2214</v>
      </c>
      <c r="KL5" s="6">
        <v>32</v>
      </c>
      <c r="KM5" s="6">
        <v>6168</v>
      </c>
      <c r="KN5" s="6">
        <v>754</v>
      </c>
      <c r="KO5" s="6">
        <v>8230</v>
      </c>
      <c r="KP5" s="6">
        <v>1804</v>
      </c>
      <c r="KQ5" s="6">
        <v>4382</v>
      </c>
      <c r="KR5" s="6">
        <v>2096</v>
      </c>
      <c r="KS5" s="6">
        <v>7583</v>
      </c>
      <c r="KT5" s="6">
        <v>4132</v>
      </c>
      <c r="KU5" s="6">
        <v>421</v>
      </c>
      <c r="KV5" s="6">
        <v>6266</v>
      </c>
      <c r="KW5" s="6">
        <v>9942</v>
      </c>
      <c r="KX5" s="6">
        <v>8145</v>
      </c>
      <c r="KY5" s="6">
        <v>3810</v>
      </c>
      <c r="KZ5" s="6">
        <v>2713</v>
      </c>
      <c r="LA5" s="6">
        <v>9177</v>
      </c>
      <c r="LB5" s="6">
        <v>5026</v>
      </c>
      <c r="LC5" s="6">
        <v>6173</v>
      </c>
      <c r="LD5" s="6">
        <v>495</v>
      </c>
      <c r="LE5" s="6">
        <v>1280</v>
      </c>
      <c r="LF5" s="6">
        <v>9218</v>
      </c>
      <c r="LG5" s="6">
        <v>4673</v>
      </c>
      <c r="LH5" s="6">
        <v>7084</v>
      </c>
      <c r="LI5" s="6">
        <v>3258</v>
      </c>
      <c r="LJ5" s="6">
        <v>1002</v>
      </c>
      <c r="LK5" s="6">
        <v>7453</v>
      </c>
      <c r="LL5" s="6">
        <v>5384</v>
      </c>
      <c r="LM5" s="6">
        <v>8927</v>
      </c>
      <c r="LN5" s="6">
        <v>5741</v>
      </c>
      <c r="LO5" s="6">
        <v>3062</v>
      </c>
      <c r="LP5" s="6">
        <v>413</v>
      </c>
      <c r="LQ5" s="6">
        <v>1525</v>
      </c>
      <c r="LR5" s="6">
        <v>6680</v>
      </c>
      <c r="LS5" s="6">
        <v>2134</v>
      </c>
      <c r="LT5" s="6">
        <v>7083</v>
      </c>
      <c r="LU5" s="6">
        <v>1314</v>
      </c>
      <c r="LV5" s="6">
        <v>5689</v>
      </c>
      <c r="LW5" s="6">
        <v>2907</v>
      </c>
      <c r="LX5" s="6">
        <v>1795</v>
      </c>
      <c r="LY5" s="6">
        <v>2455</v>
      </c>
      <c r="LZ5" s="6">
        <v>100</v>
      </c>
      <c r="MA5" s="6">
        <v>7088</v>
      </c>
      <c r="MB5" s="6">
        <v>7860</v>
      </c>
      <c r="MC5" s="6">
        <v>8668</v>
      </c>
      <c r="MD5" s="6">
        <v>6874</v>
      </c>
      <c r="ME5" s="6">
        <v>8471</v>
      </c>
      <c r="MF5" s="6">
        <v>2526</v>
      </c>
      <c r="MG5" s="6">
        <v>3491</v>
      </c>
      <c r="MH5" s="6">
        <v>853</v>
      </c>
      <c r="MI5" s="6">
        <v>8466</v>
      </c>
      <c r="MJ5" s="6">
        <v>7018</v>
      </c>
      <c r="MK5" s="6">
        <v>147</v>
      </c>
      <c r="ML5" s="6">
        <v>4539</v>
      </c>
      <c r="MM5" s="6">
        <v>4898</v>
      </c>
      <c r="MN5" s="6">
        <v>9166</v>
      </c>
      <c r="MO5" s="6">
        <v>485</v>
      </c>
      <c r="MP5" s="6">
        <v>9750</v>
      </c>
      <c r="MQ5" s="6">
        <v>7592</v>
      </c>
      <c r="MR5" s="6">
        <v>8005</v>
      </c>
      <c r="MS5" s="6">
        <v>1624</v>
      </c>
      <c r="MT5" s="6">
        <v>2426</v>
      </c>
      <c r="MU5" s="6">
        <v>1979</v>
      </c>
      <c r="MV5" s="6">
        <v>565</v>
      </c>
      <c r="MW5" s="6">
        <v>9283</v>
      </c>
      <c r="MX5" s="6">
        <v>4981</v>
      </c>
      <c r="MY5" s="6">
        <v>1048</v>
      </c>
      <c r="MZ5" s="6">
        <v>7549</v>
      </c>
      <c r="NA5" s="6">
        <v>9998</v>
      </c>
      <c r="NB5" s="6">
        <v>7873</v>
      </c>
      <c r="NC5" s="6">
        <v>2220</v>
      </c>
      <c r="ND5" s="6">
        <v>148</v>
      </c>
      <c r="NE5" s="6">
        <v>1729</v>
      </c>
      <c r="NF5" s="6">
        <v>4906</v>
      </c>
      <c r="NG5" s="6">
        <v>5758</v>
      </c>
      <c r="NH5" s="6">
        <v>6120</v>
      </c>
      <c r="NI5" s="6">
        <v>4106</v>
      </c>
      <c r="NJ5" s="6">
        <v>6174</v>
      </c>
      <c r="NK5" s="6">
        <v>5516</v>
      </c>
      <c r="NL5" s="6">
        <v>3697</v>
      </c>
      <c r="NM5" s="6">
        <v>4024</v>
      </c>
      <c r="NN5" s="6">
        <v>2037</v>
      </c>
      <c r="NO5" s="6">
        <v>9975</v>
      </c>
      <c r="NP5" s="6">
        <v>9964</v>
      </c>
      <c r="NQ5" s="6">
        <v>10000</v>
      </c>
      <c r="NR5" s="6">
        <v>3566</v>
      </c>
      <c r="NS5" s="6">
        <v>6541</v>
      </c>
      <c r="NT5" s="6">
        <v>1796</v>
      </c>
      <c r="NU5" s="6">
        <v>8706</v>
      </c>
      <c r="NV5" s="6">
        <v>4159</v>
      </c>
      <c r="NW5" s="6">
        <v>5455</v>
      </c>
      <c r="NX5" s="6">
        <v>3881</v>
      </c>
      <c r="NY5" s="6">
        <v>6885</v>
      </c>
      <c r="NZ5" s="6">
        <v>8220</v>
      </c>
      <c r="OA5" s="6">
        <v>2724</v>
      </c>
      <c r="OB5" s="6">
        <v>8446</v>
      </c>
      <c r="OC5" s="6">
        <v>6022</v>
      </c>
      <c r="OD5" s="6">
        <v>4520</v>
      </c>
      <c r="OE5" s="6">
        <v>4024</v>
      </c>
      <c r="OF5" s="6">
        <v>5761</v>
      </c>
      <c r="OG5" s="6">
        <v>6162</v>
      </c>
      <c r="OH5" s="6">
        <v>5008</v>
      </c>
      <c r="OI5" s="6">
        <v>8914</v>
      </c>
      <c r="OJ5" s="6">
        <v>7503</v>
      </c>
      <c r="OK5" s="6">
        <v>9872</v>
      </c>
      <c r="OL5" s="6">
        <v>4341</v>
      </c>
      <c r="OM5" s="6">
        <v>7836</v>
      </c>
      <c r="ON5" s="6">
        <v>766</v>
      </c>
      <c r="OO5" s="6">
        <v>2038</v>
      </c>
      <c r="OP5" s="6">
        <v>6258</v>
      </c>
      <c r="OQ5" s="6">
        <v>6606</v>
      </c>
      <c r="OR5" s="6">
        <v>3627</v>
      </c>
      <c r="OS5" s="6">
        <v>5473</v>
      </c>
      <c r="OT5" s="6">
        <v>2966</v>
      </c>
      <c r="OU5" s="6">
        <v>9413</v>
      </c>
      <c r="OV5" s="6">
        <v>3221</v>
      </c>
      <c r="OW5" s="6">
        <v>6888</v>
      </c>
      <c r="OX5" s="6">
        <v>2329</v>
      </c>
      <c r="OY5" s="6">
        <v>7513</v>
      </c>
      <c r="OZ5" s="6">
        <v>7753</v>
      </c>
      <c r="PA5" s="6">
        <v>2418</v>
      </c>
      <c r="PB5" s="6">
        <v>936</v>
      </c>
      <c r="PC5" s="6">
        <v>3268</v>
      </c>
      <c r="PD5" s="6">
        <v>1826</v>
      </c>
      <c r="PE5" s="6">
        <v>9595</v>
      </c>
      <c r="PF5" s="6">
        <v>333</v>
      </c>
      <c r="PG5" s="8">
        <v>1501</v>
      </c>
    </row>
    <row r="6" spans="1:423" s="19" customFormat="1" ht="19.149999999999999" customHeight="1" x14ac:dyDescent="0.6">
      <c r="A6" s="32" t="s">
        <v>9</v>
      </c>
      <c r="B6" s="20">
        <v>2479</v>
      </c>
      <c r="C6" s="21">
        <v>1819</v>
      </c>
      <c r="D6" s="21">
        <v>8171</v>
      </c>
      <c r="E6" s="21">
        <v>817</v>
      </c>
      <c r="F6" s="21">
        <v>4957</v>
      </c>
      <c r="G6" s="21">
        <v>6162</v>
      </c>
      <c r="H6" s="21">
        <v>5596</v>
      </c>
      <c r="I6" s="21">
        <v>1910</v>
      </c>
      <c r="J6" s="21">
        <v>3103</v>
      </c>
      <c r="K6" s="21">
        <v>4527</v>
      </c>
      <c r="L6" s="21">
        <v>9657</v>
      </c>
      <c r="M6" s="21">
        <v>2647</v>
      </c>
      <c r="N6" s="21">
        <v>9620</v>
      </c>
      <c r="O6" s="21">
        <v>1859</v>
      </c>
      <c r="P6" s="21">
        <v>938</v>
      </c>
      <c r="Q6" s="21">
        <v>5865</v>
      </c>
      <c r="R6" s="21">
        <v>4469</v>
      </c>
      <c r="S6" s="21">
        <v>977</v>
      </c>
      <c r="T6" s="21">
        <v>1890</v>
      </c>
      <c r="U6" s="22">
        <v>7562</v>
      </c>
      <c r="V6" s="15"/>
      <c r="W6" s="1">
        <v>0</v>
      </c>
      <c r="X6" s="40" t="s">
        <v>408</v>
      </c>
      <c r="Y6" s="7">
        <v>604</v>
      </c>
      <c r="Z6" s="6">
        <v>9178</v>
      </c>
      <c r="AA6" s="6">
        <v>8922</v>
      </c>
      <c r="AB6" s="6">
        <v>7833</v>
      </c>
      <c r="AC6" s="8">
        <v>6378</v>
      </c>
      <c r="AD6" s="37">
        <v>6488</v>
      </c>
      <c r="AE6" s="6">
        <v>6238</v>
      </c>
      <c r="AF6" s="6">
        <v>4549</v>
      </c>
      <c r="AG6" s="6">
        <v>5761</v>
      </c>
      <c r="AH6" s="6">
        <v>5604</v>
      </c>
      <c r="AI6" s="6">
        <v>2765</v>
      </c>
      <c r="AJ6" s="6">
        <v>1368</v>
      </c>
      <c r="AK6" s="6">
        <v>6293</v>
      </c>
      <c r="AL6" s="6">
        <v>8070</v>
      </c>
      <c r="AM6" s="6">
        <v>3366</v>
      </c>
      <c r="AN6" s="6">
        <v>3151</v>
      </c>
      <c r="AO6" s="6">
        <v>7508</v>
      </c>
      <c r="AP6" s="6">
        <v>6224</v>
      </c>
      <c r="AQ6" s="6">
        <v>2430</v>
      </c>
      <c r="AR6" s="6">
        <v>9900</v>
      </c>
      <c r="AS6" s="6">
        <v>8333</v>
      </c>
      <c r="AT6" s="6">
        <v>2235</v>
      </c>
      <c r="AU6" s="6">
        <v>7246</v>
      </c>
      <c r="AV6" s="6">
        <v>6135</v>
      </c>
      <c r="AW6" s="6">
        <v>6253</v>
      </c>
      <c r="AX6" s="6">
        <v>3040</v>
      </c>
      <c r="AY6" s="6">
        <v>820</v>
      </c>
      <c r="AZ6" s="6">
        <v>3372</v>
      </c>
      <c r="BA6" s="6">
        <v>6856</v>
      </c>
      <c r="BB6" s="6">
        <v>5226</v>
      </c>
      <c r="BC6" s="6">
        <v>8651</v>
      </c>
      <c r="BD6" s="6">
        <v>3312</v>
      </c>
      <c r="BE6" s="6">
        <v>4039</v>
      </c>
      <c r="BF6" s="6">
        <v>9463</v>
      </c>
      <c r="BG6" s="6">
        <v>3478</v>
      </c>
      <c r="BH6" s="6">
        <v>6938</v>
      </c>
      <c r="BI6" s="6">
        <v>660</v>
      </c>
      <c r="BJ6" s="6">
        <v>7219</v>
      </c>
      <c r="BK6" s="6">
        <v>4526</v>
      </c>
      <c r="BL6" s="6">
        <v>2960</v>
      </c>
      <c r="BM6" s="6">
        <v>2307</v>
      </c>
      <c r="BN6" s="6">
        <v>9426</v>
      </c>
      <c r="BO6" s="6">
        <v>4777</v>
      </c>
      <c r="BP6" s="6">
        <v>6268</v>
      </c>
      <c r="BQ6" s="6">
        <v>5551</v>
      </c>
      <c r="BR6" s="6">
        <v>7844</v>
      </c>
      <c r="BS6" s="6">
        <v>5438</v>
      </c>
      <c r="BT6" s="6">
        <v>3909</v>
      </c>
      <c r="BU6" s="6">
        <v>3607</v>
      </c>
      <c r="BV6" s="6">
        <v>8376</v>
      </c>
      <c r="BW6" s="6">
        <v>5132</v>
      </c>
      <c r="BX6" s="6">
        <v>8439</v>
      </c>
      <c r="BY6" s="6">
        <v>218</v>
      </c>
      <c r="BZ6" s="6">
        <v>7741</v>
      </c>
      <c r="CA6" s="6">
        <v>8193</v>
      </c>
      <c r="CB6" s="6">
        <v>852</v>
      </c>
      <c r="CC6" s="6">
        <v>4621</v>
      </c>
      <c r="CD6" s="6">
        <v>1219</v>
      </c>
      <c r="CE6" s="6">
        <v>7869</v>
      </c>
      <c r="CF6" s="6">
        <v>5969</v>
      </c>
      <c r="CG6" s="6">
        <v>8592</v>
      </c>
      <c r="CH6" s="6">
        <v>4701</v>
      </c>
      <c r="CI6" s="6">
        <v>6767</v>
      </c>
      <c r="CJ6" s="6">
        <v>6815</v>
      </c>
      <c r="CK6" s="6">
        <v>3580</v>
      </c>
      <c r="CL6" s="6">
        <v>1649</v>
      </c>
      <c r="CM6" s="6">
        <v>777</v>
      </c>
      <c r="CN6" s="6">
        <v>4274</v>
      </c>
      <c r="CO6" s="6">
        <v>4663</v>
      </c>
      <c r="CP6" s="6">
        <v>8331</v>
      </c>
      <c r="CQ6" s="6">
        <v>7204</v>
      </c>
      <c r="CR6" s="6">
        <v>3954</v>
      </c>
      <c r="CS6" s="6">
        <v>3254</v>
      </c>
      <c r="CT6" s="6">
        <v>5535</v>
      </c>
      <c r="CU6" s="6">
        <v>494</v>
      </c>
      <c r="CV6" s="6">
        <v>6291</v>
      </c>
      <c r="CW6" s="6">
        <v>4826</v>
      </c>
      <c r="CX6" s="6">
        <v>8906</v>
      </c>
      <c r="CY6" s="6">
        <v>9003</v>
      </c>
      <c r="CZ6" s="6">
        <v>9457</v>
      </c>
      <c r="DA6" s="6">
        <v>8057</v>
      </c>
      <c r="DB6" s="6">
        <v>8148</v>
      </c>
      <c r="DC6" s="6">
        <v>6284</v>
      </c>
      <c r="DD6" s="6">
        <v>7573</v>
      </c>
      <c r="DE6" s="6">
        <v>7082</v>
      </c>
      <c r="DF6" s="6">
        <v>9834</v>
      </c>
      <c r="DG6" s="6">
        <v>1522</v>
      </c>
      <c r="DH6" s="6">
        <v>9973</v>
      </c>
      <c r="DI6" s="6">
        <v>3905</v>
      </c>
      <c r="DJ6" s="6">
        <v>4950</v>
      </c>
      <c r="DK6" s="6">
        <v>4812</v>
      </c>
      <c r="DL6" s="6">
        <v>3630</v>
      </c>
      <c r="DM6" s="6">
        <v>3579</v>
      </c>
      <c r="DN6" s="6">
        <v>3460</v>
      </c>
      <c r="DO6" s="6">
        <v>1103</v>
      </c>
      <c r="DP6" s="6">
        <v>513</v>
      </c>
      <c r="DQ6" s="6">
        <v>8962</v>
      </c>
      <c r="DR6" s="6">
        <v>269</v>
      </c>
      <c r="DS6" s="6">
        <v>9446</v>
      </c>
      <c r="DT6" s="6">
        <v>2373</v>
      </c>
      <c r="DU6" s="6">
        <v>9395</v>
      </c>
      <c r="DV6" s="6">
        <v>8832</v>
      </c>
      <c r="DW6" s="6">
        <v>7494</v>
      </c>
      <c r="DX6" s="6">
        <v>136</v>
      </c>
      <c r="DY6" s="6">
        <v>7731</v>
      </c>
      <c r="DZ6" s="6">
        <v>9506</v>
      </c>
      <c r="EA6" s="6">
        <v>4412</v>
      </c>
      <c r="EB6" s="6">
        <v>8642</v>
      </c>
      <c r="EC6" s="6">
        <v>9407</v>
      </c>
      <c r="ED6" s="6">
        <v>3969</v>
      </c>
      <c r="EE6" s="6">
        <v>4019</v>
      </c>
      <c r="EF6" s="6">
        <v>5087</v>
      </c>
      <c r="EG6" s="6">
        <v>7819</v>
      </c>
      <c r="EH6" s="6">
        <v>8888</v>
      </c>
      <c r="EI6" s="6">
        <v>1380</v>
      </c>
      <c r="EJ6" s="6">
        <v>6194</v>
      </c>
      <c r="EK6" s="6">
        <v>5720</v>
      </c>
      <c r="EL6" s="6">
        <v>1140</v>
      </c>
      <c r="EM6" s="6">
        <v>3447</v>
      </c>
      <c r="EN6" s="6">
        <v>2581</v>
      </c>
      <c r="EO6" s="6">
        <v>5324</v>
      </c>
      <c r="EP6" s="6">
        <v>833</v>
      </c>
      <c r="EQ6" s="6">
        <v>601</v>
      </c>
      <c r="ER6" s="6">
        <v>1130</v>
      </c>
      <c r="ES6" s="6">
        <v>9146</v>
      </c>
      <c r="ET6" s="6">
        <v>4940</v>
      </c>
      <c r="EU6" s="6">
        <v>7677</v>
      </c>
      <c r="EV6" s="6">
        <v>957</v>
      </c>
      <c r="EW6" s="6">
        <v>1410</v>
      </c>
      <c r="EX6" s="6">
        <v>8561</v>
      </c>
      <c r="EY6" s="6">
        <v>1637</v>
      </c>
      <c r="EZ6" s="6">
        <v>9530</v>
      </c>
      <c r="FA6" s="6">
        <v>470</v>
      </c>
      <c r="FB6" s="6">
        <v>5939</v>
      </c>
      <c r="FC6" s="6">
        <v>3442</v>
      </c>
      <c r="FD6" s="6">
        <v>7959</v>
      </c>
      <c r="FE6" s="6">
        <v>6436</v>
      </c>
      <c r="FF6" s="6">
        <v>3209</v>
      </c>
      <c r="FG6" s="6">
        <v>4497</v>
      </c>
      <c r="FH6" s="6">
        <v>8730</v>
      </c>
      <c r="FI6" s="6">
        <v>7026</v>
      </c>
      <c r="FJ6" s="6">
        <v>4494</v>
      </c>
      <c r="FK6" s="6">
        <v>3737</v>
      </c>
      <c r="FL6" s="6">
        <v>2705</v>
      </c>
      <c r="FM6" s="6">
        <v>8817</v>
      </c>
      <c r="FN6" s="6">
        <v>6360</v>
      </c>
      <c r="FO6" s="6">
        <v>9235</v>
      </c>
      <c r="FP6" s="6">
        <v>1510</v>
      </c>
      <c r="FQ6" s="6">
        <v>4760</v>
      </c>
      <c r="FR6" s="6">
        <v>5840</v>
      </c>
      <c r="FS6" s="6">
        <v>8635</v>
      </c>
      <c r="FT6" s="6">
        <v>8575</v>
      </c>
      <c r="FU6" s="6">
        <v>5387</v>
      </c>
      <c r="FV6" s="6">
        <v>5783</v>
      </c>
      <c r="FW6" s="6">
        <v>6156</v>
      </c>
      <c r="FX6" s="6">
        <v>3665</v>
      </c>
      <c r="FY6" s="6">
        <v>5640</v>
      </c>
      <c r="FZ6" s="6">
        <v>4135</v>
      </c>
      <c r="GA6" s="6">
        <v>8517</v>
      </c>
      <c r="GB6" s="6">
        <v>7714</v>
      </c>
      <c r="GC6" s="6">
        <v>4853</v>
      </c>
      <c r="GD6" s="6">
        <v>1705</v>
      </c>
      <c r="GE6" s="6">
        <v>1340</v>
      </c>
      <c r="GF6" s="6">
        <v>2402</v>
      </c>
      <c r="GG6" s="6">
        <v>3941</v>
      </c>
      <c r="GH6" s="6">
        <v>7683</v>
      </c>
      <c r="GI6" s="6">
        <v>1924</v>
      </c>
      <c r="GJ6" s="6">
        <v>7622</v>
      </c>
      <c r="GK6" s="6">
        <v>4920</v>
      </c>
      <c r="GL6" s="6">
        <v>1602</v>
      </c>
      <c r="GM6" s="6">
        <v>1300</v>
      </c>
      <c r="GN6" s="6">
        <v>5860</v>
      </c>
      <c r="GO6" s="6">
        <v>5760</v>
      </c>
      <c r="GP6" s="6">
        <v>5857</v>
      </c>
      <c r="GQ6" s="6">
        <v>8779</v>
      </c>
      <c r="GR6" s="6">
        <v>9237</v>
      </c>
      <c r="GS6" s="6">
        <v>4425</v>
      </c>
      <c r="GT6" s="6">
        <v>8694</v>
      </c>
      <c r="GU6" s="6">
        <v>2946</v>
      </c>
      <c r="GV6" s="6">
        <v>9352</v>
      </c>
      <c r="GW6" s="6">
        <v>8932</v>
      </c>
      <c r="GX6" s="6">
        <v>2253</v>
      </c>
      <c r="GY6" s="6">
        <v>4562</v>
      </c>
      <c r="GZ6" s="6">
        <v>7496</v>
      </c>
      <c r="HA6" s="6">
        <v>7723</v>
      </c>
      <c r="HB6" s="6">
        <v>1238</v>
      </c>
      <c r="HC6" s="6">
        <v>8117</v>
      </c>
      <c r="HD6" s="6">
        <v>4810</v>
      </c>
      <c r="HE6" s="6">
        <v>95</v>
      </c>
      <c r="HF6" s="6">
        <v>8543</v>
      </c>
      <c r="HG6" s="6">
        <v>3780</v>
      </c>
      <c r="HH6" s="6">
        <v>9260</v>
      </c>
      <c r="HI6" s="6">
        <v>5534</v>
      </c>
      <c r="HJ6" s="6">
        <v>146</v>
      </c>
      <c r="HK6" s="6">
        <v>8622</v>
      </c>
      <c r="HL6" s="6">
        <v>7178</v>
      </c>
      <c r="HM6" s="6">
        <v>9063</v>
      </c>
      <c r="HN6" s="6">
        <v>8482</v>
      </c>
      <c r="HO6" s="6">
        <v>683</v>
      </c>
      <c r="HP6" s="6">
        <v>2664</v>
      </c>
      <c r="HQ6" s="6">
        <v>9813</v>
      </c>
      <c r="HR6" s="6">
        <v>3314</v>
      </c>
      <c r="HS6" s="6">
        <v>4150</v>
      </c>
      <c r="HT6" s="6">
        <v>9001</v>
      </c>
      <c r="HU6" s="6">
        <v>9517</v>
      </c>
      <c r="HV6" s="6">
        <v>4128</v>
      </c>
      <c r="HW6" s="6">
        <v>5065</v>
      </c>
      <c r="HX6" s="6">
        <v>6890</v>
      </c>
      <c r="HY6" s="6">
        <v>1125</v>
      </c>
      <c r="HZ6" s="6">
        <v>1352</v>
      </c>
      <c r="IA6" s="6">
        <v>5479</v>
      </c>
      <c r="IB6" s="6">
        <v>6757</v>
      </c>
      <c r="IC6" s="6">
        <v>2707</v>
      </c>
      <c r="ID6" s="6">
        <v>6925</v>
      </c>
      <c r="IE6" s="6">
        <v>8653</v>
      </c>
      <c r="IF6" s="6">
        <v>2931</v>
      </c>
      <c r="IG6" s="6">
        <v>9266</v>
      </c>
      <c r="IH6" s="6">
        <v>2600</v>
      </c>
      <c r="II6" s="6">
        <v>8382</v>
      </c>
      <c r="IJ6" s="6">
        <v>2255</v>
      </c>
      <c r="IK6" s="6">
        <v>4353</v>
      </c>
      <c r="IL6" s="6">
        <v>1034</v>
      </c>
      <c r="IM6" s="6">
        <v>2641</v>
      </c>
      <c r="IN6" s="6">
        <v>1591</v>
      </c>
      <c r="IO6" s="6">
        <v>1240</v>
      </c>
      <c r="IP6" s="6">
        <v>3731</v>
      </c>
      <c r="IQ6" s="6">
        <v>1957</v>
      </c>
      <c r="IR6" s="6">
        <v>1831</v>
      </c>
      <c r="IS6" s="6">
        <v>8611</v>
      </c>
      <c r="IT6" s="6">
        <v>5658</v>
      </c>
      <c r="IU6" s="6">
        <v>9494</v>
      </c>
      <c r="IV6" s="6">
        <v>3634</v>
      </c>
      <c r="IW6" s="6">
        <v>7805</v>
      </c>
      <c r="IX6" s="6">
        <v>6877</v>
      </c>
      <c r="IY6" s="6">
        <v>3415</v>
      </c>
      <c r="IZ6" s="6">
        <v>9910</v>
      </c>
      <c r="JA6" s="6">
        <v>6195</v>
      </c>
      <c r="JB6" s="6">
        <v>9386</v>
      </c>
      <c r="JC6" s="6">
        <v>1297</v>
      </c>
      <c r="JD6" s="6">
        <v>2035</v>
      </c>
      <c r="JE6" s="6">
        <v>552</v>
      </c>
      <c r="JF6" s="6">
        <v>9063</v>
      </c>
      <c r="JG6" s="6">
        <v>3298</v>
      </c>
      <c r="JH6" s="6">
        <v>4006</v>
      </c>
      <c r="JI6" s="6">
        <v>5170</v>
      </c>
      <c r="JJ6" s="6">
        <v>6056</v>
      </c>
      <c r="JK6" s="6">
        <v>5735</v>
      </c>
      <c r="JL6" s="6">
        <v>9841</v>
      </c>
      <c r="JM6" s="6">
        <v>4950</v>
      </c>
      <c r="JN6" s="6">
        <v>9071</v>
      </c>
      <c r="JO6" s="6">
        <v>5269</v>
      </c>
      <c r="JP6" s="6">
        <v>540</v>
      </c>
      <c r="JQ6" s="6">
        <v>8524</v>
      </c>
      <c r="JR6" s="6">
        <v>355</v>
      </c>
      <c r="JS6" s="6">
        <v>6235</v>
      </c>
      <c r="JT6" s="6">
        <v>7837</v>
      </c>
      <c r="JU6" s="6">
        <v>36</v>
      </c>
      <c r="JV6" s="6">
        <v>2225</v>
      </c>
      <c r="JW6" s="6">
        <v>7504</v>
      </c>
      <c r="JX6" s="6">
        <v>6057</v>
      </c>
      <c r="JY6" s="6">
        <v>2446</v>
      </c>
      <c r="JZ6" s="6">
        <v>4066</v>
      </c>
      <c r="KA6" s="6">
        <v>8508</v>
      </c>
      <c r="KB6" s="6">
        <v>5820</v>
      </c>
      <c r="KC6" s="6">
        <v>6170</v>
      </c>
      <c r="KD6" s="6">
        <v>8107</v>
      </c>
      <c r="KE6" s="6">
        <v>9521</v>
      </c>
      <c r="KF6" s="6">
        <v>7149</v>
      </c>
      <c r="KG6" s="6">
        <v>7880</v>
      </c>
      <c r="KH6" s="6">
        <v>1076</v>
      </c>
      <c r="KI6" s="6">
        <v>1049</v>
      </c>
      <c r="KJ6" s="6">
        <v>3432</v>
      </c>
      <c r="KK6" s="6">
        <v>2258</v>
      </c>
      <c r="KL6" s="6">
        <v>7989</v>
      </c>
      <c r="KM6" s="6">
        <v>4946</v>
      </c>
      <c r="KN6" s="6">
        <v>8221</v>
      </c>
      <c r="KO6" s="6">
        <v>8726</v>
      </c>
      <c r="KP6" s="6">
        <v>1734</v>
      </c>
      <c r="KQ6" s="6">
        <v>7697</v>
      </c>
      <c r="KR6" s="6">
        <v>7914</v>
      </c>
      <c r="KS6" s="6">
        <v>457</v>
      </c>
      <c r="KT6" s="6">
        <v>4841</v>
      </c>
      <c r="KU6" s="6">
        <v>6352</v>
      </c>
      <c r="KV6" s="6">
        <v>4968</v>
      </c>
      <c r="KW6" s="6">
        <v>9091</v>
      </c>
      <c r="KX6" s="6">
        <v>793</v>
      </c>
      <c r="KY6" s="6">
        <v>4326</v>
      </c>
      <c r="KZ6" s="6">
        <v>4869</v>
      </c>
      <c r="LA6" s="6">
        <v>3792</v>
      </c>
      <c r="LB6" s="6">
        <v>9270</v>
      </c>
      <c r="LC6" s="6">
        <v>1485</v>
      </c>
      <c r="LD6" s="6">
        <v>3773</v>
      </c>
      <c r="LE6" s="6">
        <v>2910</v>
      </c>
      <c r="LF6" s="6">
        <v>6822</v>
      </c>
      <c r="LG6" s="6">
        <v>4191</v>
      </c>
      <c r="LH6" s="6">
        <v>1554</v>
      </c>
      <c r="LI6" s="6">
        <v>7993</v>
      </c>
      <c r="LJ6" s="6">
        <v>2503</v>
      </c>
      <c r="LK6" s="6">
        <v>9466</v>
      </c>
      <c r="LL6" s="6">
        <v>5479</v>
      </c>
      <c r="LM6" s="6">
        <v>6699</v>
      </c>
      <c r="LN6" s="6">
        <v>7505</v>
      </c>
      <c r="LO6" s="6">
        <v>7210</v>
      </c>
      <c r="LP6" s="6">
        <v>4438</v>
      </c>
      <c r="LQ6" s="6">
        <v>2774</v>
      </c>
      <c r="LR6" s="6">
        <v>9918</v>
      </c>
      <c r="LS6" s="6">
        <v>1422</v>
      </c>
      <c r="LT6" s="6">
        <v>6991</v>
      </c>
      <c r="LU6" s="6">
        <v>413</v>
      </c>
      <c r="LV6" s="6">
        <v>3189</v>
      </c>
      <c r="LW6" s="6">
        <v>3052</v>
      </c>
      <c r="LX6" s="6">
        <v>4311</v>
      </c>
      <c r="LY6" s="6">
        <v>6723</v>
      </c>
      <c r="LZ6" s="6">
        <v>9259</v>
      </c>
      <c r="MA6" s="6">
        <v>50</v>
      </c>
      <c r="MB6" s="6">
        <v>9302</v>
      </c>
      <c r="MC6" s="6">
        <v>2493</v>
      </c>
      <c r="MD6" s="6">
        <v>6781</v>
      </c>
      <c r="ME6" s="6">
        <v>4292</v>
      </c>
      <c r="MF6" s="6">
        <v>7728</v>
      </c>
      <c r="MG6" s="6">
        <v>1776</v>
      </c>
      <c r="MH6" s="6">
        <v>6754</v>
      </c>
      <c r="MI6" s="6">
        <v>8476</v>
      </c>
      <c r="MJ6" s="6">
        <v>5522</v>
      </c>
      <c r="MK6" s="6">
        <v>8254</v>
      </c>
      <c r="ML6" s="6">
        <v>1977</v>
      </c>
      <c r="MM6" s="6">
        <v>8501</v>
      </c>
      <c r="MN6" s="6">
        <v>3155</v>
      </c>
      <c r="MO6" s="6">
        <v>9197</v>
      </c>
      <c r="MP6" s="6">
        <v>1849</v>
      </c>
      <c r="MQ6" s="6">
        <v>9060</v>
      </c>
      <c r="MR6" s="6">
        <v>155</v>
      </c>
      <c r="MS6" s="6">
        <v>2089</v>
      </c>
      <c r="MT6" s="6">
        <v>8209</v>
      </c>
      <c r="MU6" s="6">
        <v>9312</v>
      </c>
      <c r="MV6" s="6">
        <v>9563</v>
      </c>
      <c r="MW6" s="6">
        <v>219</v>
      </c>
      <c r="MX6" s="6">
        <v>7601</v>
      </c>
      <c r="MY6" s="6">
        <v>8145</v>
      </c>
      <c r="MZ6" s="6">
        <v>5278</v>
      </c>
      <c r="NA6" s="6">
        <v>5165</v>
      </c>
      <c r="NB6" s="6">
        <v>3097</v>
      </c>
      <c r="NC6" s="6">
        <v>8332</v>
      </c>
      <c r="ND6" s="6">
        <v>3889</v>
      </c>
      <c r="NE6" s="6">
        <v>7132</v>
      </c>
      <c r="NF6" s="6">
        <v>7209</v>
      </c>
      <c r="NG6" s="6">
        <v>2722</v>
      </c>
      <c r="NH6" s="6">
        <v>9074</v>
      </c>
      <c r="NI6" s="6">
        <v>9777</v>
      </c>
      <c r="NJ6" s="6">
        <v>7192</v>
      </c>
      <c r="NK6" s="6">
        <v>6208</v>
      </c>
      <c r="NL6" s="6">
        <v>1321</v>
      </c>
      <c r="NM6" s="6">
        <v>4080</v>
      </c>
      <c r="NN6" s="6">
        <v>2277</v>
      </c>
      <c r="NO6" s="6">
        <v>9050</v>
      </c>
      <c r="NP6" s="6">
        <v>5361</v>
      </c>
      <c r="NQ6" s="6">
        <v>7187</v>
      </c>
      <c r="NR6" s="6">
        <v>1841</v>
      </c>
      <c r="NS6" s="6">
        <v>6172</v>
      </c>
      <c r="NT6" s="6">
        <v>5316</v>
      </c>
      <c r="NU6" s="6">
        <v>1440</v>
      </c>
      <c r="NV6" s="6">
        <v>9237</v>
      </c>
      <c r="NW6" s="6">
        <v>8722</v>
      </c>
      <c r="NX6" s="6">
        <v>4630</v>
      </c>
      <c r="NY6" s="6">
        <v>5270</v>
      </c>
      <c r="NZ6" s="6">
        <v>3254</v>
      </c>
      <c r="OA6" s="6">
        <v>278</v>
      </c>
      <c r="OB6" s="6">
        <v>2814</v>
      </c>
      <c r="OC6" s="6">
        <v>5735</v>
      </c>
      <c r="OD6" s="6">
        <v>28</v>
      </c>
      <c r="OE6" s="6">
        <v>3136</v>
      </c>
      <c r="OF6" s="6">
        <v>5433</v>
      </c>
      <c r="OG6" s="6">
        <v>2398</v>
      </c>
      <c r="OH6" s="6">
        <v>4748</v>
      </c>
      <c r="OI6" s="6">
        <v>6180</v>
      </c>
      <c r="OJ6" s="6">
        <v>1887</v>
      </c>
      <c r="OK6" s="6">
        <v>5336</v>
      </c>
      <c r="OL6" s="6">
        <v>1718</v>
      </c>
      <c r="OM6" s="6">
        <v>1116</v>
      </c>
      <c r="ON6" s="6">
        <v>3670</v>
      </c>
      <c r="OO6" s="6">
        <v>106</v>
      </c>
      <c r="OP6" s="6">
        <v>3734</v>
      </c>
      <c r="OQ6" s="6">
        <v>8490</v>
      </c>
      <c r="OR6" s="6">
        <v>7947</v>
      </c>
      <c r="OS6" s="6">
        <v>1813</v>
      </c>
      <c r="OT6" s="6">
        <v>6097</v>
      </c>
      <c r="OU6" s="6">
        <v>6345</v>
      </c>
      <c r="OV6" s="6">
        <v>6959</v>
      </c>
      <c r="OW6" s="6">
        <v>1978</v>
      </c>
      <c r="OX6" s="6">
        <v>3654</v>
      </c>
      <c r="OY6" s="6">
        <v>4310</v>
      </c>
      <c r="OZ6" s="6">
        <v>8830</v>
      </c>
      <c r="PA6" s="6">
        <v>9413</v>
      </c>
      <c r="PB6" s="6">
        <v>8947</v>
      </c>
      <c r="PC6" s="6">
        <v>8782</v>
      </c>
      <c r="PD6" s="6">
        <v>7967</v>
      </c>
      <c r="PE6" s="6">
        <v>5425</v>
      </c>
      <c r="PF6" s="6">
        <v>3197</v>
      </c>
      <c r="PG6" s="8">
        <v>9338</v>
      </c>
    </row>
    <row r="7" spans="1:423" s="19" customFormat="1" ht="19.149999999999999" customHeight="1" x14ac:dyDescent="0.6">
      <c r="A7" s="32" t="s">
        <v>10</v>
      </c>
      <c r="B7" s="20">
        <v>2786</v>
      </c>
      <c r="C7" s="21">
        <v>4018</v>
      </c>
      <c r="D7" s="21">
        <v>1762</v>
      </c>
      <c r="E7" s="21">
        <v>9168</v>
      </c>
      <c r="F7" s="21">
        <v>2140</v>
      </c>
      <c r="G7" s="21">
        <v>2486</v>
      </c>
      <c r="H7" s="21">
        <v>4496</v>
      </c>
      <c r="I7" s="21">
        <v>6454</v>
      </c>
      <c r="J7" s="21">
        <v>6996</v>
      </c>
      <c r="K7" s="21">
        <v>1297</v>
      </c>
      <c r="L7" s="21">
        <v>2724</v>
      </c>
      <c r="M7" s="21">
        <v>7123</v>
      </c>
      <c r="N7" s="21">
        <v>8625</v>
      </c>
      <c r="O7" s="21">
        <v>7201</v>
      </c>
      <c r="P7" s="21">
        <v>8017</v>
      </c>
      <c r="Q7" s="21">
        <v>334</v>
      </c>
      <c r="R7" s="21">
        <v>5519</v>
      </c>
      <c r="S7" s="21">
        <v>2928</v>
      </c>
      <c r="T7" s="21">
        <v>7623</v>
      </c>
      <c r="U7" s="22">
        <v>2164</v>
      </c>
      <c r="V7" s="15"/>
      <c r="W7" s="1">
        <v>0</v>
      </c>
      <c r="X7" s="40" t="s">
        <v>409</v>
      </c>
      <c r="Y7" s="7">
        <v>2875</v>
      </c>
      <c r="Z7" s="6">
        <v>8240</v>
      </c>
      <c r="AA7" s="6">
        <v>9890</v>
      </c>
      <c r="AB7" s="6">
        <v>7974</v>
      </c>
      <c r="AC7" s="8">
        <v>410</v>
      </c>
      <c r="AD7" s="37">
        <v>8473</v>
      </c>
      <c r="AE7" s="6">
        <v>5569</v>
      </c>
      <c r="AF7" s="6">
        <v>6808</v>
      </c>
      <c r="AG7" s="6">
        <v>9289</v>
      </c>
      <c r="AH7" s="6">
        <v>4372</v>
      </c>
      <c r="AI7" s="6">
        <v>6012</v>
      </c>
      <c r="AJ7" s="6">
        <v>1768</v>
      </c>
      <c r="AK7" s="6">
        <v>9904</v>
      </c>
      <c r="AL7" s="6">
        <v>3391</v>
      </c>
      <c r="AM7" s="6">
        <v>4734</v>
      </c>
      <c r="AN7" s="6">
        <v>2097</v>
      </c>
      <c r="AO7" s="6">
        <v>4202</v>
      </c>
      <c r="AP7" s="6">
        <v>9093</v>
      </c>
      <c r="AQ7" s="6">
        <v>2260</v>
      </c>
      <c r="AR7" s="6">
        <v>6135</v>
      </c>
      <c r="AS7" s="6">
        <v>5061</v>
      </c>
      <c r="AT7" s="6">
        <v>3614</v>
      </c>
      <c r="AU7" s="6">
        <v>2822</v>
      </c>
      <c r="AV7" s="6">
        <v>3666</v>
      </c>
      <c r="AW7" s="6">
        <v>6656</v>
      </c>
      <c r="AX7" s="6">
        <v>5362</v>
      </c>
      <c r="AY7" s="6">
        <v>4814</v>
      </c>
      <c r="AZ7" s="6">
        <v>5933</v>
      </c>
      <c r="BA7" s="6">
        <v>2254</v>
      </c>
      <c r="BB7" s="6">
        <v>203</v>
      </c>
      <c r="BC7" s="6">
        <v>2882</v>
      </c>
      <c r="BD7" s="6">
        <v>3984</v>
      </c>
      <c r="BE7" s="6">
        <v>2604</v>
      </c>
      <c r="BF7" s="6">
        <v>9364</v>
      </c>
      <c r="BG7" s="6">
        <v>4801</v>
      </c>
      <c r="BH7" s="6">
        <v>1818</v>
      </c>
      <c r="BI7" s="6">
        <v>2583</v>
      </c>
      <c r="BJ7" s="6">
        <v>5982</v>
      </c>
      <c r="BK7" s="6">
        <v>3779</v>
      </c>
      <c r="BL7" s="6">
        <v>3065</v>
      </c>
      <c r="BM7" s="6">
        <v>4067</v>
      </c>
      <c r="BN7" s="6">
        <v>7408</v>
      </c>
      <c r="BO7" s="6">
        <v>8401</v>
      </c>
      <c r="BP7" s="6">
        <v>9080</v>
      </c>
      <c r="BQ7" s="6">
        <v>3254</v>
      </c>
      <c r="BR7" s="6">
        <v>6882</v>
      </c>
      <c r="BS7" s="6">
        <v>7299</v>
      </c>
      <c r="BT7" s="6">
        <v>8954</v>
      </c>
      <c r="BU7" s="6">
        <v>2219</v>
      </c>
      <c r="BV7" s="6">
        <v>413</v>
      </c>
      <c r="BW7" s="6">
        <v>845</v>
      </c>
      <c r="BX7" s="6">
        <v>6128</v>
      </c>
      <c r="BY7" s="6">
        <v>7009</v>
      </c>
      <c r="BZ7" s="6">
        <v>8884</v>
      </c>
      <c r="CA7" s="6">
        <v>867</v>
      </c>
      <c r="CB7" s="6">
        <v>6912</v>
      </c>
      <c r="CC7" s="6">
        <v>4727</v>
      </c>
      <c r="CD7" s="6">
        <v>1585</v>
      </c>
      <c r="CE7" s="6">
        <v>8487</v>
      </c>
      <c r="CF7" s="6">
        <v>740</v>
      </c>
      <c r="CG7" s="6">
        <v>3386</v>
      </c>
      <c r="CH7" s="6">
        <v>7657</v>
      </c>
      <c r="CI7" s="6">
        <v>1138</v>
      </c>
      <c r="CJ7" s="6">
        <v>8376</v>
      </c>
      <c r="CK7" s="6">
        <v>6544</v>
      </c>
      <c r="CL7" s="6">
        <v>177</v>
      </c>
      <c r="CM7" s="6">
        <v>2218</v>
      </c>
      <c r="CN7" s="6">
        <v>9969</v>
      </c>
      <c r="CO7" s="6">
        <v>1349</v>
      </c>
      <c r="CP7" s="6">
        <v>7241</v>
      </c>
      <c r="CQ7" s="6">
        <v>8483</v>
      </c>
      <c r="CR7" s="6">
        <v>4774</v>
      </c>
      <c r="CS7" s="6">
        <v>3587</v>
      </c>
      <c r="CT7" s="6">
        <v>9583</v>
      </c>
      <c r="CU7" s="6">
        <v>3207</v>
      </c>
      <c r="CV7" s="6">
        <v>4043</v>
      </c>
      <c r="CW7" s="6">
        <v>1214</v>
      </c>
      <c r="CX7" s="6">
        <v>7655</v>
      </c>
      <c r="CY7" s="6">
        <v>3311</v>
      </c>
      <c r="CZ7" s="6">
        <v>1738</v>
      </c>
      <c r="DA7" s="6">
        <v>1492</v>
      </c>
      <c r="DB7" s="6">
        <v>7651</v>
      </c>
      <c r="DC7" s="6">
        <v>7593</v>
      </c>
      <c r="DD7" s="6">
        <v>3778</v>
      </c>
      <c r="DE7" s="6">
        <v>5077</v>
      </c>
      <c r="DF7" s="6">
        <v>1405</v>
      </c>
      <c r="DG7" s="6">
        <v>1935</v>
      </c>
      <c r="DH7" s="6">
        <v>9467</v>
      </c>
      <c r="DI7" s="6">
        <v>2091</v>
      </c>
      <c r="DJ7" s="6">
        <v>4657</v>
      </c>
      <c r="DK7" s="6">
        <v>2963</v>
      </c>
      <c r="DL7" s="6">
        <v>9918</v>
      </c>
      <c r="DM7" s="6">
        <v>788</v>
      </c>
      <c r="DN7" s="6">
        <v>5520</v>
      </c>
      <c r="DO7" s="6">
        <v>8350</v>
      </c>
      <c r="DP7" s="6">
        <v>2735</v>
      </c>
      <c r="DQ7" s="6">
        <v>9304</v>
      </c>
      <c r="DR7" s="6">
        <v>7870</v>
      </c>
      <c r="DS7" s="6">
        <v>3043</v>
      </c>
      <c r="DT7" s="6">
        <v>4175</v>
      </c>
      <c r="DU7" s="6">
        <v>1246</v>
      </c>
      <c r="DV7" s="6">
        <v>7048</v>
      </c>
      <c r="DW7" s="6">
        <v>7296</v>
      </c>
      <c r="DX7" s="6">
        <v>190</v>
      </c>
      <c r="DY7" s="6">
        <v>5504</v>
      </c>
      <c r="DZ7" s="6">
        <v>9387</v>
      </c>
      <c r="EA7" s="6">
        <v>2577</v>
      </c>
      <c r="EB7" s="6">
        <v>5320</v>
      </c>
      <c r="EC7" s="6">
        <v>623</v>
      </c>
      <c r="ED7" s="6">
        <v>1810</v>
      </c>
      <c r="EE7" s="6">
        <v>9551</v>
      </c>
      <c r="EF7" s="6">
        <v>8247</v>
      </c>
      <c r="EG7" s="6">
        <v>3795</v>
      </c>
      <c r="EH7" s="6">
        <v>7405</v>
      </c>
      <c r="EI7" s="6">
        <v>2772</v>
      </c>
      <c r="EJ7" s="6">
        <v>9101</v>
      </c>
      <c r="EK7" s="6">
        <v>8403</v>
      </c>
      <c r="EL7" s="6">
        <v>4437</v>
      </c>
      <c r="EM7" s="6">
        <v>357</v>
      </c>
      <c r="EN7" s="6">
        <v>245</v>
      </c>
      <c r="EO7" s="6">
        <v>1628</v>
      </c>
      <c r="EP7" s="6">
        <v>535</v>
      </c>
      <c r="EQ7" s="6">
        <v>224</v>
      </c>
      <c r="ER7" s="6">
        <v>3751</v>
      </c>
      <c r="ES7" s="6">
        <v>513</v>
      </c>
      <c r="ET7" s="6">
        <v>4668</v>
      </c>
      <c r="EU7" s="6">
        <v>4387</v>
      </c>
      <c r="EV7" s="6">
        <v>4499</v>
      </c>
      <c r="EW7" s="6">
        <v>9249</v>
      </c>
      <c r="EX7" s="6">
        <v>2386</v>
      </c>
      <c r="EY7" s="6">
        <v>9586</v>
      </c>
      <c r="EZ7" s="6">
        <v>9423</v>
      </c>
      <c r="FA7" s="6">
        <v>789</v>
      </c>
      <c r="FB7" s="6">
        <v>7886</v>
      </c>
      <c r="FC7" s="6">
        <v>7216</v>
      </c>
      <c r="FD7" s="6">
        <v>4558</v>
      </c>
      <c r="FE7" s="6">
        <v>7453</v>
      </c>
      <c r="FF7" s="6">
        <v>5376</v>
      </c>
      <c r="FG7" s="6">
        <v>6225</v>
      </c>
      <c r="FH7" s="6">
        <v>266</v>
      </c>
      <c r="FI7" s="6">
        <v>166</v>
      </c>
      <c r="FJ7" s="6">
        <v>7499</v>
      </c>
      <c r="FK7" s="6">
        <v>5868</v>
      </c>
      <c r="FL7" s="6">
        <v>6538</v>
      </c>
      <c r="FM7" s="6">
        <v>5808</v>
      </c>
      <c r="FN7" s="6">
        <v>6607</v>
      </c>
      <c r="FO7" s="6">
        <v>2457</v>
      </c>
      <c r="FP7" s="6">
        <v>5614</v>
      </c>
      <c r="FQ7" s="6">
        <v>8859</v>
      </c>
      <c r="FR7" s="6">
        <v>5158</v>
      </c>
      <c r="FS7" s="6">
        <v>700</v>
      </c>
      <c r="FT7" s="6">
        <v>5624</v>
      </c>
      <c r="FU7" s="6">
        <v>8984</v>
      </c>
      <c r="FV7" s="6">
        <v>7400</v>
      </c>
      <c r="FW7" s="6">
        <v>9555</v>
      </c>
      <c r="FX7" s="6">
        <v>8854</v>
      </c>
      <c r="FY7" s="6">
        <v>3724</v>
      </c>
      <c r="FZ7" s="6">
        <v>9322</v>
      </c>
      <c r="GA7" s="6">
        <v>5598</v>
      </c>
      <c r="GB7" s="6">
        <v>7074</v>
      </c>
      <c r="GC7" s="6">
        <v>4838</v>
      </c>
      <c r="GD7" s="6">
        <v>873</v>
      </c>
      <c r="GE7" s="6">
        <v>1450</v>
      </c>
      <c r="GF7" s="6">
        <v>7510</v>
      </c>
      <c r="GG7" s="6">
        <v>4244</v>
      </c>
      <c r="GH7" s="6">
        <v>3661</v>
      </c>
      <c r="GI7" s="6">
        <v>3300</v>
      </c>
      <c r="GJ7" s="6">
        <v>7767</v>
      </c>
      <c r="GK7" s="6">
        <v>3227</v>
      </c>
      <c r="GL7" s="6">
        <v>2001</v>
      </c>
      <c r="GM7" s="6">
        <v>9101</v>
      </c>
      <c r="GN7" s="6">
        <v>8266</v>
      </c>
      <c r="GO7" s="6">
        <v>8952</v>
      </c>
      <c r="GP7" s="6">
        <v>753</v>
      </c>
      <c r="GQ7" s="6">
        <v>1667</v>
      </c>
      <c r="GR7" s="6">
        <v>2834</v>
      </c>
      <c r="GS7" s="6">
        <v>6081</v>
      </c>
      <c r="GT7" s="6">
        <v>1174</v>
      </c>
      <c r="GU7" s="6">
        <v>7753</v>
      </c>
      <c r="GV7" s="6">
        <v>3476</v>
      </c>
      <c r="GW7" s="6">
        <v>874</v>
      </c>
      <c r="GX7" s="6">
        <v>7930</v>
      </c>
      <c r="GY7" s="6">
        <v>7295</v>
      </c>
      <c r="GZ7" s="6">
        <v>3846</v>
      </c>
      <c r="HA7" s="6">
        <v>9422</v>
      </c>
      <c r="HB7" s="6">
        <v>107</v>
      </c>
      <c r="HC7" s="6">
        <v>2033</v>
      </c>
      <c r="HD7" s="6">
        <v>7797</v>
      </c>
      <c r="HE7" s="6">
        <v>8475</v>
      </c>
      <c r="HF7" s="6">
        <v>7531</v>
      </c>
      <c r="HG7" s="6">
        <v>2372</v>
      </c>
      <c r="HH7" s="6">
        <v>4884</v>
      </c>
      <c r="HI7" s="6">
        <v>6599</v>
      </c>
      <c r="HJ7" s="6">
        <v>6892</v>
      </c>
      <c r="HK7" s="6">
        <v>2823</v>
      </c>
      <c r="HL7" s="6">
        <v>3863</v>
      </c>
      <c r="HM7" s="6">
        <v>760</v>
      </c>
      <c r="HN7" s="6">
        <v>2992</v>
      </c>
      <c r="HO7" s="6">
        <v>5367</v>
      </c>
      <c r="HP7" s="6">
        <v>1778</v>
      </c>
      <c r="HQ7" s="6">
        <v>7890</v>
      </c>
      <c r="HR7" s="6">
        <v>3679</v>
      </c>
      <c r="HS7" s="6">
        <v>1105</v>
      </c>
      <c r="HT7" s="6">
        <v>4874</v>
      </c>
      <c r="HU7" s="6">
        <v>5493</v>
      </c>
      <c r="HV7" s="6">
        <v>7930</v>
      </c>
      <c r="HW7" s="6">
        <v>5419</v>
      </c>
      <c r="HX7" s="6">
        <v>1306</v>
      </c>
      <c r="HY7" s="6">
        <v>273</v>
      </c>
      <c r="HZ7" s="6">
        <v>6008</v>
      </c>
      <c r="IA7" s="6">
        <v>2636</v>
      </c>
      <c r="IB7" s="6">
        <v>3720</v>
      </c>
      <c r="IC7" s="6">
        <v>1733</v>
      </c>
      <c r="ID7" s="6">
        <v>4510</v>
      </c>
      <c r="IE7" s="6">
        <v>5157</v>
      </c>
      <c r="IF7" s="6">
        <v>1292</v>
      </c>
      <c r="IG7" s="6">
        <v>1105</v>
      </c>
      <c r="IH7" s="6">
        <v>4743</v>
      </c>
      <c r="II7" s="6">
        <v>3403</v>
      </c>
      <c r="IJ7" s="6">
        <v>9697</v>
      </c>
      <c r="IK7" s="6">
        <v>3915</v>
      </c>
      <c r="IL7" s="6">
        <v>6995</v>
      </c>
      <c r="IM7" s="6">
        <v>1959</v>
      </c>
      <c r="IN7" s="6">
        <v>8472</v>
      </c>
      <c r="IO7" s="6">
        <v>8850</v>
      </c>
      <c r="IP7" s="6">
        <v>8730</v>
      </c>
      <c r="IQ7" s="6">
        <v>824</v>
      </c>
      <c r="IR7" s="6">
        <v>2112</v>
      </c>
      <c r="IS7" s="6">
        <v>156</v>
      </c>
      <c r="IT7" s="6">
        <v>346</v>
      </c>
      <c r="IU7" s="6">
        <v>2199</v>
      </c>
      <c r="IV7" s="6">
        <v>5560</v>
      </c>
      <c r="IW7" s="6">
        <v>3711</v>
      </c>
      <c r="IX7" s="6">
        <v>6060</v>
      </c>
      <c r="IY7" s="6">
        <v>2024</v>
      </c>
      <c r="IZ7" s="6">
        <v>6820</v>
      </c>
      <c r="JA7" s="6">
        <v>702</v>
      </c>
      <c r="JB7" s="6">
        <v>29</v>
      </c>
      <c r="JC7" s="6">
        <v>3144</v>
      </c>
      <c r="JD7" s="6">
        <v>3034</v>
      </c>
      <c r="JE7" s="6">
        <v>7501</v>
      </c>
      <c r="JF7" s="6">
        <v>2874</v>
      </c>
      <c r="JG7" s="6">
        <v>6597</v>
      </c>
      <c r="JH7" s="6">
        <v>7747</v>
      </c>
      <c r="JI7" s="6">
        <v>1565</v>
      </c>
      <c r="JJ7" s="6">
        <v>9358</v>
      </c>
      <c r="JK7" s="6">
        <v>7485</v>
      </c>
      <c r="JL7" s="6">
        <v>7483</v>
      </c>
      <c r="JM7" s="6">
        <v>2589</v>
      </c>
      <c r="JN7" s="6">
        <v>8048</v>
      </c>
      <c r="JO7" s="6">
        <v>9617</v>
      </c>
      <c r="JP7" s="6">
        <v>3975</v>
      </c>
      <c r="JQ7" s="6">
        <v>2588</v>
      </c>
      <c r="JR7" s="6">
        <v>3831</v>
      </c>
      <c r="JS7" s="6">
        <v>620</v>
      </c>
      <c r="JT7" s="6">
        <v>2009</v>
      </c>
      <c r="JU7" s="6">
        <v>4912</v>
      </c>
      <c r="JV7" s="6">
        <v>1426</v>
      </c>
      <c r="JW7" s="6">
        <v>7751</v>
      </c>
      <c r="JX7" s="6">
        <v>6379</v>
      </c>
      <c r="JY7" s="6">
        <v>7172</v>
      </c>
      <c r="JZ7" s="6">
        <v>4017</v>
      </c>
      <c r="KA7" s="6">
        <v>660</v>
      </c>
      <c r="KB7" s="6">
        <v>6767</v>
      </c>
      <c r="KC7" s="6">
        <v>7294</v>
      </c>
      <c r="KD7" s="6">
        <v>9611</v>
      </c>
      <c r="KE7" s="6">
        <v>6027</v>
      </c>
      <c r="KF7" s="6">
        <v>47</v>
      </c>
      <c r="KG7" s="6">
        <v>1727</v>
      </c>
      <c r="KH7" s="6">
        <v>5667</v>
      </c>
      <c r="KI7" s="6">
        <v>8559</v>
      </c>
      <c r="KJ7" s="6">
        <v>2361</v>
      </c>
      <c r="KK7" s="6">
        <v>1874</v>
      </c>
      <c r="KL7" s="6">
        <v>9748</v>
      </c>
      <c r="KM7" s="6">
        <v>4155</v>
      </c>
      <c r="KN7" s="6">
        <v>6890</v>
      </c>
      <c r="KO7" s="6">
        <v>1934</v>
      </c>
      <c r="KP7" s="6">
        <v>9898</v>
      </c>
      <c r="KQ7" s="6">
        <v>2232</v>
      </c>
      <c r="KR7" s="6">
        <v>9459</v>
      </c>
      <c r="KS7" s="6">
        <v>2496</v>
      </c>
      <c r="KT7" s="6">
        <v>7893</v>
      </c>
      <c r="KU7" s="6">
        <v>4405</v>
      </c>
      <c r="KV7" s="6">
        <v>5258</v>
      </c>
      <c r="KW7" s="6">
        <v>831</v>
      </c>
      <c r="KX7" s="6">
        <v>2417</v>
      </c>
      <c r="KY7" s="6">
        <v>9665</v>
      </c>
      <c r="KZ7" s="6">
        <v>864</v>
      </c>
      <c r="LA7" s="6">
        <v>1440</v>
      </c>
      <c r="LB7" s="6">
        <v>4538</v>
      </c>
      <c r="LC7" s="6">
        <v>1471</v>
      </c>
      <c r="LD7" s="6">
        <v>5303</v>
      </c>
      <c r="LE7" s="6">
        <v>3184</v>
      </c>
      <c r="LF7" s="6">
        <v>9952</v>
      </c>
      <c r="LG7" s="6">
        <v>4862</v>
      </c>
      <c r="LH7" s="6">
        <v>2502</v>
      </c>
      <c r="LI7" s="6">
        <v>9356</v>
      </c>
      <c r="LJ7" s="6">
        <v>4923</v>
      </c>
      <c r="LK7" s="6">
        <v>4053</v>
      </c>
      <c r="LL7" s="6">
        <v>6911</v>
      </c>
      <c r="LM7" s="6">
        <v>820</v>
      </c>
      <c r="LN7" s="6">
        <v>4534</v>
      </c>
      <c r="LO7" s="6">
        <v>629</v>
      </c>
      <c r="LP7" s="6">
        <v>9255</v>
      </c>
      <c r="LQ7" s="6">
        <v>4966</v>
      </c>
      <c r="LR7" s="6">
        <v>7837</v>
      </c>
      <c r="LS7" s="6">
        <v>7065</v>
      </c>
      <c r="LT7" s="6">
        <v>6539</v>
      </c>
      <c r="LU7" s="6">
        <v>2198</v>
      </c>
      <c r="LV7" s="6">
        <v>1568</v>
      </c>
      <c r="LW7" s="6">
        <v>5178</v>
      </c>
      <c r="LX7" s="6">
        <v>9739</v>
      </c>
      <c r="LY7" s="6">
        <v>1090</v>
      </c>
      <c r="LZ7" s="6">
        <v>3146</v>
      </c>
      <c r="MA7" s="6">
        <v>9152</v>
      </c>
      <c r="MB7" s="6">
        <v>9317</v>
      </c>
      <c r="MC7" s="6">
        <v>1041</v>
      </c>
      <c r="MD7" s="6">
        <v>6582</v>
      </c>
      <c r="ME7" s="6">
        <v>1841</v>
      </c>
      <c r="MF7" s="6">
        <v>374</v>
      </c>
      <c r="MG7" s="6">
        <v>4859</v>
      </c>
      <c r="MH7" s="6">
        <v>7425</v>
      </c>
      <c r="MI7" s="6">
        <v>1345</v>
      </c>
      <c r="MJ7" s="6">
        <v>4575</v>
      </c>
      <c r="MK7" s="6">
        <v>7065</v>
      </c>
      <c r="ML7" s="6">
        <v>7935</v>
      </c>
      <c r="MM7" s="6">
        <v>4479</v>
      </c>
      <c r="MN7" s="6">
        <v>5389</v>
      </c>
      <c r="MO7" s="6">
        <v>9050</v>
      </c>
      <c r="MP7" s="6">
        <v>3561</v>
      </c>
      <c r="MQ7" s="6">
        <v>9102</v>
      </c>
      <c r="MR7" s="6">
        <v>2688</v>
      </c>
      <c r="MS7" s="6">
        <v>7774</v>
      </c>
      <c r="MT7" s="6">
        <v>881</v>
      </c>
      <c r="MU7" s="6">
        <v>6334</v>
      </c>
      <c r="MV7" s="6">
        <v>2123</v>
      </c>
      <c r="MW7" s="6">
        <v>2576</v>
      </c>
      <c r="MX7" s="6">
        <v>103</v>
      </c>
      <c r="MY7" s="6">
        <v>8</v>
      </c>
      <c r="MZ7" s="6">
        <v>3877</v>
      </c>
      <c r="NA7" s="6">
        <v>9072</v>
      </c>
      <c r="NB7" s="6">
        <v>9184</v>
      </c>
      <c r="NC7" s="6">
        <v>9939</v>
      </c>
      <c r="ND7" s="6">
        <v>2237</v>
      </c>
      <c r="NE7" s="6">
        <v>5564</v>
      </c>
      <c r="NF7" s="6">
        <v>2194</v>
      </c>
      <c r="NG7" s="6">
        <v>4754</v>
      </c>
      <c r="NH7" s="6">
        <v>3346</v>
      </c>
      <c r="NI7" s="6">
        <v>8216</v>
      </c>
      <c r="NJ7" s="6">
        <v>6424</v>
      </c>
      <c r="NK7" s="6">
        <v>8663</v>
      </c>
      <c r="NL7" s="6">
        <v>5502</v>
      </c>
      <c r="NM7" s="6">
        <v>3445</v>
      </c>
      <c r="NN7" s="6">
        <v>1725</v>
      </c>
      <c r="NO7" s="6">
        <v>3164</v>
      </c>
      <c r="NP7" s="6">
        <v>35</v>
      </c>
      <c r="NQ7" s="6">
        <v>4149</v>
      </c>
      <c r="NR7" s="6">
        <v>6179</v>
      </c>
      <c r="NS7" s="6">
        <v>3647</v>
      </c>
      <c r="NT7" s="6">
        <v>957</v>
      </c>
      <c r="NU7" s="6">
        <v>5542</v>
      </c>
      <c r="NV7" s="6">
        <v>1604</v>
      </c>
      <c r="NW7" s="6">
        <v>9703</v>
      </c>
      <c r="NX7" s="6">
        <v>1534</v>
      </c>
      <c r="NY7" s="6">
        <v>5300</v>
      </c>
      <c r="NZ7" s="6">
        <v>6798</v>
      </c>
      <c r="OA7" s="6">
        <v>6591</v>
      </c>
      <c r="OB7" s="6">
        <v>3971</v>
      </c>
      <c r="OC7" s="6">
        <v>2519</v>
      </c>
      <c r="OD7" s="6">
        <v>4890</v>
      </c>
      <c r="OE7" s="6">
        <v>1271</v>
      </c>
      <c r="OF7" s="6">
        <v>3491</v>
      </c>
      <c r="OG7" s="6">
        <v>7820</v>
      </c>
      <c r="OH7" s="6">
        <v>1053</v>
      </c>
      <c r="OI7" s="6">
        <v>7656</v>
      </c>
      <c r="OJ7" s="6">
        <v>2301</v>
      </c>
      <c r="OK7" s="6">
        <v>2623</v>
      </c>
      <c r="OL7" s="6">
        <v>7995</v>
      </c>
      <c r="OM7" s="6">
        <v>1772</v>
      </c>
      <c r="ON7" s="6">
        <v>6172</v>
      </c>
      <c r="OO7" s="6">
        <v>5483</v>
      </c>
      <c r="OP7" s="6">
        <v>7641</v>
      </c>
      <c r="OQ7" s="6">
        <v>6610</v>
      </c>
      <c r="OR7" s="6">
        <v>1135</v>
      </c>
      <c r="OS7" s="6">
        <v>1755</v>
      </c>
      <c r="OT7" s="6">
        <v>1038</v>
      </c>
      <c r="OU7" s="6">
        <v>8373</v>
      </c>
      <c r="OV7" s="6">
        <v>7741</v>
      </c>
      <c r="OW7" s="6">
        <v>3022</v>
      </c>
      <c r="OX7" s="6">
        <v>68</v>
      </c>
      <c r="OY7" s="6">
        <v>912</v>
      </c>
      <c r="OZ7" s="6">
        <v>9083</v>
      </c>
      <c r="PA7" s="6">
        <v>1811</v>
      </c>
      <c r="PB7" s="6">
        <v>463</v>
      </c>
      <c r="PC7" s="6">
        <v>5372</v>
      </c>
      <c r="PD7" s="6">
        <v>635</v>
      </c>
      <c r="PE7" s="6">
        <v>2432</v>
      </c>
      <c r="PF7" s="6">
        <v>1553</v>
      </c>
      <c r="PG7" s="8">
        <v>5925</v>
      </c>
    </row>
    <row r="8" spans="1:423" s="19" customFormat="1" ht="19.149999999999999" customHeight="1" x14ac:dyDescent="0.6">
      <c r="A8" s="32" t="s">
        <v>11</v>
      </c>
      <c r="B8" s="20">
        <v>5521</v>
      </c>
      <c r="C8" s="21">
        <v>1192</v>
      </c>
      <c r="D8" s="21">
        <v>6938</v>
      </c>
      <c r="E8" s="21">
        <v>5401</v>
      </c>
      <c r="F8" s="21">
        <v>2464</v>
      </c>
      <c r="G8" s="21">
        <v>3977</v>
      </c>
      <c r="H8" s="21">
        <v>6561</v>
      </c>
      <c r="I8" s="21">
        <v>6416</v>
      </c>
      <c r="J8" s="21">
        <v>3291</v>
      </c>
      <c r="K8" s="21">
        <v>5178</v>
      </c>
      <c r="L8" s="21">
        <v>2503</v>
      </c>
      <c r="M8" s="21">
        <v>1499</v>
      </c>
      <c r="N8" s="21">
        <v>3208</v>
      </c>
      <c r="O8" s="21">
        <v>9721</v>
      </c>
      <c r="P8" s="21">
        <v>3111</v>
      </c>
      <c r="Q8" s="21">
        <v>7488</v>
      </c>
      <c r="R8" s="21">
        <v>9994</v>
      </c>
      <c r="S8" s="21">
        <v>7816</v>
      </c>
      <c r="T8" s="21">
        <v>3861</v>
      </c>
      <c r="U8" s="22">
        <v>2601</v>
      </c>
      <c r="V8" s="15"/>
      <c r="W8" s="1">
        <v>0</v>
      </c>
      <c r="X8" s="40" t="s">
        <v>410</v>
      </c>
      <c r="Y8" s="7">
        <v>7136</v>
      </c>
      <c r="Z8" s="6">
        <v>1781</v>
      </c>
      <c r="AA8" s="6">
        <v>5531</v>
      </c>
      <c r="AB8" s="6">
        <v>6868</v>
      </c>
      <c r="AC8" s="8">
        <v>6172</v>
      </c>
      <c r="AD8" s="37">
        <v>781</v>
      </c>
      <c r="AE8" s="6">
        <v>8476</v>
      </c>
      <c r="AF8" s="6">
        <v>9703</v>
      </c>
      <c r="AG8" s="6">
        <v>2194</v>
      </c>
      <c r="AH8" s="6">
        <v>9773</v>
      </c>
      <c r="AI8" s="6">
        <v>3498</v>
      </c>
      <c r="AJ8" s="6">
        <v>9190</v>
      </c>
      <c r="AK8" s="6">
        <v>1913</v>
      </c>
      <c r="AL8" s="6">
        <v>2871</v>
      </c>
      <c r="AM8" s="6">
        <v>1256</v>
      </c>
      <c r="AN8" s="6">
        <v>1886</v>
      </c>
      <c r="AO8" s="6">
        <v>5835</v>
      </c>
      <c r="AP8" s="6">
        <v>5567</v>
      </c>
      <c r="AQ8" s="6">
        <v>6730</v>
      </c>
      <c r="AR8" s="6">
        <v>2982</v>
      </c>
      <c r="AS8" s="6">
        <v>6299</v>
      </c>
      <c r="AT8" s="6">
        <v>2594</v>
      </c>
      <c r="AU8" s="6">
        <v>6324</v>
      </c>
      <c r="AV8" s="6">
        <v>5202</v>
      </c>
      <c r="AW8" s="6">
        <v>8191</v>
      </c>
      <c r="AX8" s="6">
        <v>8783</v>
      </c>
      <c r="AY8" s="6">
        <v>8978</v>
      </c>
      <c r="AZ8" s="6">
        <v>8876</v>
      </c>
      <c r="BA8" s="6">
        <v>5636</v>
      </c>
      <c r="BB8" s="6">
        <v>5778</v>
      </c>
      <c r="BC8" s="6">
        <v>5707</v>
      </c>
      <c r="BD8" s="6">
        <v>697</v>
      </c>
      <c r="BE8" s="6">
        <v>6881</v>
      </c>
      <c r="BF8" s="6">
        <v>8171</v>
      </c>
      <c r="BG8" s="6">
        <v>9215</v>
      </c>
      <c r="BH8" s="6">
        <v>2932</v>
      </c>
      <c r="BI8" s="6">
        <v>6520</v>
      </c>
      <c r="BJ8" s="6">
        <v>6753</v>
      </c>
      <c r="BK8" s="6">
        <v>2169</v>
      </c>
      <c r="BL8" s="6">
        <v>3521</v>
      </c>
      <c r="BM8" s="6">
        <v>6949</v>
      </c>
      <c r="BN8" s="6">
        <v>7325</v>
      </c>
      <c r="BO8" s="6">
        <v>156</v>
      </c>
      <c r="BP8" s="6">
        <v>8614</v>
      </c>
      <c r="BQ8" s="6">
        <v>9207</v>
      </c>
      <c r="BR8" s="6">
        <v>3789</v>
      </c>
      <c r="BS8" s="6">
        <v>5707</v>
      </c>
      <c r="BT8" s="6">
        <v>6694</v>
      </c>
      <c r="BU8" s="6">
        <v>5300</v>
      </c>
      <c r="BV8" s="6">
        <v>5259</v>
      </c>
      <c r="BW8" s="6">
        <v>6615</v>
      </c>
      <c r="BX8" s="6">
        <v>7347</v>
      </c>
      <c r="BY8" s="6">
        <v>369</v>
      </c>
      <c r="BZ8" s="6">
        <v>520</v>
      </c>
      <c r="CA8" s="6">
        <v>2264</v>
      </c>
      <c r="CB8" s="6">
        <v>8392</v>
      </c>
      <c r="CC8" s="6">
        <v>7392</v>
      </c>
      <c r="CD8" s="6">
        <v>4295</v>
      </c>
      <c r="CE8" s="6">
        <v>2157</v>
      </c>
      <c r="CF8" s="6">
        <v>51</v>
      </c>
      <c r="CG8" s="6">
        <v>2095</v>
      </c>
      <c r="CH8" s="6">
        <v>4708</v>
      </c>
      <c r="CI8" s="6">
        <v>9663</v>
      </c>
      <c r="CJ8" s="6">
        <v>7393</v>
      </c>
      <c r="CK8" s="6">
        <v>7223</v>
      </c>
      <c r="CL8" s="6">
        <v>2296</v>
      </c>
      <c r="CM8" s="6">
        <v>8132</v>
      </c>
      <c r="CN8" s="6">
        <v>7066</v>
      </c>
      <c r="CO8" s="6">
        <v>3970</v>
      </c>
      <c r="CP8" s="6">
        <v>4779</v>
      </c>
      <c r="CQ8" s="6">
        <v>542</v>
      </c>
      <c r="CR8" s="6">
        <v>8630</v>
      </c>
      <c r="CS8" s="6">
        <v>2129</v>
      </c>
      <c r="CT8" s="6">
        <v>9194</v>
      </c>
      <c r="CU8" s="6">
        <v>2954</v>
      </c>
      <c r="CV8" s="6">
        <v>3663</v>
      </c>
      <c r="CW8" s="6">
        <v>7143</v>
      </c>
      <c r="CX8" s="6">
        <v>372</v>
      </c>
      <c r="CY8" s="6">
        <v>8007</v>
      </c>
      <c r="CZ8" s="6">
        <v>5323</v>
      </c>
      <c r="DA8" s="6">
        <v>8808</v>
      </c>
      <c r="DB8" s="6">
        <v>580</v>
      </c>
      <c r="DC8" s="6">
        <v>4864</v>
      </c>
      <c r="DD8" s="6">
        <v>3676</v>
      </c>
      <c r="DE8" s="6">
        <v>8587</v>
      </c>
      <c r="DF8" s="6">
        <v>6470</v>
      </c>
      <c r="DG8" s="6">
        <v>9204</v>
      </c>
      <c r="DH8" s="6">
        <v>4009</v>
      </c>
      <c r="DI8" s="6">
        <v>5114</v>
      </c>
      <c r="DJ8" s="6">
        <v>6948</v>
      </c>
      <c r="DK8" s="6">
        <v>3747</v>
      </c>
      <c r="DL8" s="6">
        <v>4116</v>
      </c>
      <c r="DM8" s="6">
        <v>6125</v>
      </c>
      <c r="DN8" s="6">
        <v>978</v>
      </c>
      <c r="DO8" s="6">
        <v>5987</v>
      </c>
      <c r="DP8" s="6">
        <v>3164</v>
      </c>
      <c r="DQ8" s="6">
        <v>8955</v>
      </c>
      <c r="DR8" s="6">
        <v>7285</v>
      </c>
      <c r="DS8" s="6">
        <v>5193</v>
      </c>
      <c r="DT8" s="6">
        <v>6036</v>
      </c>
      <c r="DU8" s="6">
        <v>7407</v>
      </c>
      <c r="DV8" s="6">
        <v>4260</v>
      </c>
      <c r="DW8" s="6">
        <v>9761</v>
      </c>
      <c r="DX8" s="6">
        <v>792</v>
      </c>
      <c r="DY8" s="6">
        <v>8349</v>
      </c>
      <c r="DZ8" s="6">
        <v>320</v>
      </c>
      <c r="EA8" s="6">
        <v>969</v>
      </c>
      <c r="EB8" s="6">
        <v>4572</v>
      </c>
      <c r="EC8" s="6">
        <v>6065</v>
      </c>
      <c r="ED8" s="6">
        <v>7988</v>
      </c>
      <c r="EE8" s="6">
        <v>2523</v>
      </c>
      <c r="EF8" s="6">
        <v>9792</v>
      </c>
      <c r="EG8" s="6">
        <v>8128</v>
      </c>
      <c r="EH8" s="6">
        <v>7099</v>
      </c>
      <c r="EI8" s="6">
        <v>7564</v>
      </c>
      <c r="EJ8" s="6">
        <v>739</v>
      </c>
      <c r="EK8" s="6">
        <v>1811</v>
      </c>
      <c r="EL8" s="6">
        <v>5503</v>
      </c>
      <c r="EM8" s="6">
        <v>9685</v>
      </c>
      <c r="EN8" s="6">
        <v>850</v>
      </c>
      <c r="EO8" s="6">
        <v>1170</v>
      </c>
      <c r="EP8" s="6">
        <v>3050</v>
      </c>
      <c r="EQ8" s="6">
        <v>8196</v>
      </c>
      <c r="ER8" s="6">
        <v>15</v>
      </c>
      <c r="ES8" s="6">
        <v>432</v>
      </c>
      <c r="ET8" s="6">
        <v>7806</v>
      </c>
      <c r="EU8" s="6">
        <v>6529</v>
      </c>
      <c r="EV8" s="6">
        <v>4173</v>
      </c>
      <c r="EW8" s="6">
        <v>6094</v>
      </c>
      <c r="EX8" s="6">
        <v>8221</v>
      </c>
      <c r="EY8" s="6">
        <v>5382</v>
      </c>
      <c r="EZ8" s="6">
        <v>9226</v>
      </c>
      <c r="FA8" s="6">
        <v>8861</v>
      </c>
      <c r="FB8" s="6">
        <v>8691</v>
      </c>
      <c r="FC8" s="6">
        <v>9638</v>
      </c>
      <c r="FD8" s="6">
        <v>4131</v>
      </c>
      <c r="FE8" s="6">
        <v>4724</v>
      </c>
      <c r="FF8" s="6">
        <v>2741</v>
      </c>
      <c r="FG8" s="6">
        <v>6721</v>
      </c>
      <c r="FH8" s="6">
        <v>1061</v>
      </c>
      <c r="FI8" s="6">
        <v>9269</v>
      </c>
      <c r="FJ8" s="6">
        <v>1548</v>
      </c>
      <c r="FK8" s="6">
        <v>6755</v>
      </c>
      <c r="FL8" s="6">
        <v>6572</v>
      </c>
      <c r="FM8" s="6">
        <v>3617</v>
      </c>
      <c r="FN8" s="6">
        <v>4380</v>
      </c>
      <c r="FO8" s="6">
        <v>9909</v>
      </c>
      <c r="FP8" s="6">
        <v>906</v>
      </c>
      <c r="FQ8" s="6">
        <v>6005</v>
      </c>
      <c r="FR8" s="6">
        <v>6452</v>
      </c>
      <c r="FS8" s="6">
        <v>327</v>
      </c>
      <c r="FT8" s="6">
        <v>6914</v>
      </c>
      <c r="FU8" s="6">
        <v>5333</v>
      </c>
      <c r="FV8" s="6">
        <v>9010</v>
      </c>
      <c r="FW8" s="6">
        <v>4288</v>
      </c>
      <c r="FX8" s="6">
        <v>507</v>
      </c>
      <c r="FY8" s="6">
        <v>9140</v>
      </c>
      <c r="FZ8" s="6">
        <v>9293</v>
      </c>
      <c r="GA8" s="6">
        <v>7912</v>
      </c>
      <c r="GB8" s="6">
        <v>4817</v>
      </c>
      <c r="GC8" s="6">
        <v>5933</v>
      </c>
      <c r="GD8" s="6">
        <v>4551</v>
      </c>
      <c r="GE8" s="6">
        <v>293</v>
      </c>
      <c r="GF8" s="6">
        <v>9359</v>
      </c>
      <c r="GG8" s="6">
        <v>3771</v>
      </c>
      <c r="GH8" s="6">
        <v>7942</v>
      </c>
      <c r="GI8" s="6">
        <v>5081</v>
      </c>
      <c r="GJ8" s="6">
        <v>7284</v>
      </c>
      <c r="GK8" s="6">
        <v>3683</v>
      </c>
      <c r="GL8" s="6">
        <v>3954</v>
      </c>
      <c r="GM8" s="6">
        <v>9254</v>
      </c>
      <c r="GN8" s="6">
        <v>4884</v>
      </c>
      <c r="GO8" s="6">
        <v>4659</v>
      </c>
      <c r="GP8" s="6">
        <v>8932</v>
      </c>
      <c r="GQ8" s="6">
        <v>2002</v>
      </c>
      <c r="GR8" s="6">
        <v>6871</v>
      </c>
      <c r="GS8" s="6">
        <v>9279</v>
      </c>
      <c r="GT8" s="6">
        <v>7558</v>
      </c>
      <c r="GU8" s="6">
        <v>7686</v>
      </c>
      <c r="GV8" s="6">
        <v>9812</v>
      </c>
      <c r="GW8" s="6">
        <v>7125</v>
      </c>
      <c r="GX8" s="6">
        <v>74</v>
      </c>
      <c r="GY8" s="6">
        <v>127</v>
      </c>
      <c r="GZ8" s="6">
        <v>3571</v>
      </c>
      <c r="HA8" s="6">
        <v>4850</v>
      </c>
      <c r="HB8" s="6">
        <v>6921</v>
      </c>
      <c r="HC8" s="6">
        <v>3747</v>
      </c>
      <c r="HD8" s="6">
        <v>576</v>
      </c>
      <c r="HE8" s="6">
        <v>2188</v>
      </c>
      <c r="HF8" s="6">
        <v>6568</v>
      </c>
      <c r="HG8" s="6">
        <v>3076</v>
      </c>
      <c r="HH8" s="6">
        <v>9205</v>
      </c>
      <c r="HI8" s="6">
        <v>4335</v>
      </c>
      <c r="HJ8" s="6">
        <v>7437</v>
      </c>
      <c r="HK8" s="6">
        <v>6022</v>
      </c>
      <c r="HL8" s="6">
        <v>7195</v>
      </c>
      <c r="HM8" s="6">
        <v>6412</v>
      </c>
      <c r="HN8" s="6">
        <v>8970</v>
      </c>
      <c r="HO8" s="6">
        <v>4940</v>
      </c>
      <c r="HP8" s="6">
        <v>7109</v>
      </c>
      <c r="HQ8" s="6">
        <v>7804</v>
      </c>
      <c r="HR8" s="6">
        <v>9791</v>
      </c>
      <c r="HS8" s="6">
        <v>2816</v>
      </c>
      <c r="HT8" s="6">
        <v>6590</v>
      </c>
      <c r="HU8" s="6">
        <v>191</v>
      </c>
      <c r="HV8" s="6">
        <v>9982</v>
      </c>
      <c r="HW8" s="6">
        <v>7052</v>
      </c>
      <c r="HX8" s="6">
        <v>1905</v>
      </c>
      <c r="HY8" s="6">
        <v>6291</v>
      </c>
      <c r="HZ8" s="6">
        <v>7088</v>
      </c>
      <c r="IA8" s="6">
        <v>4032</v>
      </c>
      <c r="IB8" s="6">
        <v>5432</v>
      </c>
      <c r="IC8" s="6">
        <v>1075</v>
      </c>
      <c r="ID8" s="6">
        <v>3869</v>
      </c>
      <c r="IE8" s="6">
        <v>3743</v>
      </c>
      <c r="IF8" s="6">
        <v>8467</v>
      </c>
      <c r="IG8" s="6">
        <v>8930</v>
      </c>
      <c r="IH8" s="6">
        <v>3465</v>
      </c>
      <c r="II8" s="6">
        <v>4878</v>
      </c>
      <c r="IJ8" s="6">
        <v>745</v>
      </c>
      <c r="IK8" s="6">
        <v>5867</v>
      </c>
      <c r="IL8" s="6">
        <v>4790</v>
      </c>
      <c r="IM8" s="6">
        <v>3165</v>
      </c>
      <c r="IN8" s="6">
        <v>4886</v>
      </c>
      <c r="IO8" s="6">
        <v>9149</v>
      </c>
      <c r="IP8" s="6">
        <v>8773</v>
      </c>
      <c r="IQ8" s="6">
        <v>9407</v>
      </c>
      <c r="IR8" s="6">
        <v>1926</v>
      </c>
      <c r="IS8" s="6">
        <v>5187</v>
      </c>
      <c r="IT8" s="6">
        <v>1279</v>
      </c>
      <c r="IU8" s="6">
        <v>9977</v>
      </c>
      <c r="IV8" s="6">
        <v>5581</v>
      </c>
      <c r="IW8" s="6">
        <v>5228</v>
      </c>
      <c r="IX8" s="6">
        <v>4945</v>
      </c>
      <c r="IY8" s="6">
        <v>9405</v>
      </c>
      <c r="IZ8" s="6">
        <v>8275</v>
      </c>
      <c r="JA8" s="6">
        <v>759</v>
      </c>
      <c r="JB8" s="6">
        <v>2493</v>
      </c>
      <c r="JC8" s="6">
        <v>1876</v>
      </c>
      <c r="JD8" s="6">
        <v>5353</v>
      </c>
      <c r="JE8" s="6">
        <v>8251</v>
      </c>
      <c r="JF8" s="6">
        <v>3957</v>
      </c>
      <c r="JG8" s="6">
        <v>2275</v>
      </c>
      <c r="JH8" s="6">
        <v>5253</v>
      </c>
      <c r="JI8" s="6">
        <v>7162</v>
      </c>
      <c r="JJ8" s="6">
        <v>3045</v>
      </c>
      <c r="JK8" s="6">
        <v>4404</v>
      </c>
      <c r="JL8" s="6">
        <v>4972</v>
      </c>
      <c r="JM8" s="6">
        <v>513</v>
      </c>
      <c r="JN8" s="6">
        <v>3239</v>
      </c>
      <c r="JO8" s="6">
        <v>3485</v>
      </c>
      <c r="JP8" s="6">
        <v>1630</v>
      </c>
      <c r="JQ8" s="6">
        <v>5157</v>
      </c>
      <c r="JR8" s="6">
        <v>9930</v>
      </c>
      <c r="JS8" s="6">
        <v>2300</v>
      </c>
      <c r="JT8" s="6">
        <v>5043</v>
      </c>
      <c r="JU8" s="6">
        <v>574</v>
      </c>
      <c r="JV8" s="6">
        <v>7319</v>
      </c>
      <c r="JW8" s="6">
        <v>8534</v>
      </c>
      <c r="JX8" s="6">
        <v>1962</v>
      </c>
      <c r="JY8" s="6">
        <v>7491</v>
      </c>
      <c r="JZ8" s="6">
        <v>7705</v>
      </c>
      <c r="KA8" s="6">
        <v>4860</v>
      </c>
      <c r="KB8" s="6">
        <v>5451</v>
      </c>
      <c r="KC8" s="6">
        <v>4793</v>
      </c>
      <c r="KD8" s="6">
        <v>1047</v>
      </c>
      <c r="KE8" s="6">
        <v>3387</v>
      </c>
      <c r="KF8" s="6">
        <v>4960</v>
      </c>
      <c r="KG8" s="6">
        <v>1339</v>
      </c>
      <c r="KH8" s="6">
        <v>5330</v>
      </c>
      <c r="KI8" s="6">
        <v>3752</v>
      </c>
      <c r="KJ8" s="6">
        <v>2136</v>
      </c>
      <c r="KK8" s="6">
        <v>387</v>
      </c>
      <c r="KL8" s="6">
        <v>1352</v>
      </c>
      <c r="KM8" s="6">
        <v>1836</v>
      </c>
      <c r="KN8" s="6">
        <v>486</v>
      </c>
      <c r="KO8" s="6">
        <v>6828</v>
      </c>
      <c r="KP8" s="6">
        <v>3560</v>
      </c>
      <c r="KQ8" s="6">
        <v>876</v>
      </c>
      <c r="KR8" s="6">
        <v>2029</v>
      </c>
      <c r="KS8" s="6">
        <v>7084</v>
      </c>
      <c r="KT8" s="6">
        <v>122</v>
      </c>
      <c r="KU8" s="6">
        <v>7176</v>
      </c>
      <c r="KV8" s="6">
        <v>4117</v>
      </c>
      <c r="KW8" s="6">
        <v>982</v>
      </c>
      <c r="KX8" s="6">
        <v>2857</v>
      </c>
      <c r="KY8" s="6">
        <v>8303</v>
      </c>
      <c r="KZ8" s="6">
        <v>7483</v>
      </c>
      <c r="LA8" s="6">
        <v>2026</v>
      </c>
      <c r="LB8" s="6">
        <v>1813</v>
      </c>
      <c r="LC8" s="6">
        <v>1049</v>
      </c>
      <c r="LD8" s="6">
        <v>255</v>
      </c>
      <c r="LE8" s="6">
        <v>5018</v>
      </c>
      <c r="LF8" s="6">
        <v>26</v>
      </c>
      <c r="LG8" s="6">
        <v>8582</v>
      </c>
      <c r="LH8" s="6">
        <v>6391</v>
      </c>
      <c r="LI8" s="6">
        <v>6334</v>
      </c>
      <c r="LJ8" s="6">
        <v>2838</v>
      </c>
      <c r="LK8" s="6">
        <v>6354</v>
      </c>
      <c r="LL8" s="6">
        <v>8386</v>
      </c>
      <c r="LM8" s="6">
        <v>5661</v>
      </c>
      <c r="LN8" s="6">
        <v>8398</v>
      </c>
      <c r="LO8" s="6">
        <v>4362</v>
      </c>
      <c r="LP8" s="6">
        <v>1036</v>
      </c>
      <c r="LQ8" s="6">
        <v>2376</v>
      </c>
      <c r="LR8" s="6">
        <v>4420</v>
      </c>
      <c r="LS8" s="6">
        <v>7614</v>
      </c>
      <c r="LT8" s="6">
        <v>6050</v>
      </c>
      <c r="LU8" s="6">
        <v>601</v>
      </c>
      <c r="LV8" s="6">
        <v>5295</v>
      </c>
      <c r="LW8" s="6">
        <v>38</v>
      </c>
      <c r="LX8" s="6">
        <v>9821</v>
      </c>
      <c r="LY8" s="6">
        <v>3731</v>
      </c>
      <c r="LZ8" s="6">
        <v>1357</v>
      </c>
      <c r="MA8" s="6">
        <v>6742</v>
      </c>
      <c r="MB8" s="6">
        <v>3377</v>
      </c>
      <c r="MC8" s="6">
        <v>1742</v>
      </c>
      <c r="MD8" s="6">
        <v>3462</v>
      </c>
      <c r="ME8" s="6">
        <v>4882</v>
      </c>
      <c r="MF8" s="6">
        <v>4981</v>
      </c>
      <c r="MG8" s="6">
        <v>8266</v>
      </c>
      <c r="MH8" s="6">
        <v>7382</v>
      </c>
      <c r="MI8" s="6">
        <v>8459</v>
      </c>
      <c r="MJ8" s="6">
        <v>4576</v>
      </c>
      <c r="MK8" s="6">
        <v>5993</v>
      </c>
      <c r="ML8" s="6">
        <v>9250</v>
      </c>
      <c r="MM8" s="6">
        <v>4140</v>
      </c>
      <c r="MN8" s="6">
        <v>6336</v>
      </c>
      <c r="MO8" s="6">
        <v>6702</v>
      </c>
      <c r="MP8" s="6">
        <v>7676</v>
      </c>
      <c r="MQ8" s="6">
        <v>8865</v>
      </c>
      <c r="MR8" s="6">
        <v>819</v>
      </c>
      <c r="MS8" s="6">
        <v>5198</v>
      </c>
      <c r="MT8" s="6">
        <v>159</v>
      </c>
      <c r="MU8" s="6">
        <v>2382</v>
      </c>
      <c r="MV8" s="6">
        <v>748</v>
      </c>
      <c r="MW8" s="6">
        <v>6486</v>
      </c>
      <c r="MX8" s="6">
        <v>3275</v>
      </c>
      <c r="MY8" s="6">
        <v>5436</v>
      </c>
      <c r="MZ8" s="6">
        <v>5231</v>
      </c>
      <c r="NA8" s="6">
        <v>9326</v>
      </c>
      <c r="NB8" s="6">
        <v>110</v>
      </c>
      <c r="NC8" s="6">
        <v>4164</v>
      </c>
      <c r="ND8" s="6">
        <v>1497</v>
      </c>
      <c r="NE8" s="6">
        <v>8620</v>
      </c>
      <c r="NF8" s="6">
        <v>8359</v>
      </c>
      <c r="NG8" s="6">
        <v>6639</v>
      </c>
      <c r="NH8" s="6">
        <v>1005</v>
      </c>
      <c r="NI8" s="6">
        <v>9509</v>
      </c>
      <c r="NJ8" s="6">
        <v>4340</v>
      </c>
      <c r="NK8" s="6">
        <v>8916</v>
      </c>
      <c r="NL8" s="6">
        <v>2053</v>
      </c>
      <c r="NM8" s="6">
        <v>4075</v>
      </c>
      <c r="NN8" s="6">
        <v>4325</v>
      </c>
      <c r="NO8" s="6">
        <v>7905</v>
      </c>
      <c r="NP8" s="6">
        <v>8866</v>
      </c>
      <c r="NQ8" s="6">
        <v>3549</v>
      </c>
      <c r="NR8" s="6">
        <v>3046</v>
      </c>
      <c r="NS8" s="6">
        <v>3973</v>
      </c>
      <c r="NT8" s="6">
        <v>4238</v>
      </c>
      <c r="NU8" s="6">
        <v>6066</v>
      </c>
      <c r="NV8" s="6">
        <v>3798</v>
      </c>
      <c r="NW8" s="6">
        <v>5766</v>
      </c>
      <c r="NX8" s="6">
        <v>9812</v>
      </c>
      <c r="NY8" s="6">
        <v>6272</v>
      </c>
      <c r="NZ8" s="6">
        <v>9562</v>
      </c>
      <c r="OA8" s="6">
        <v>3935</v>
      </c>
      <c r="OB8" s="6">
        <v>1654</v>
      </c>
      <c r="OC8" s="6">
        <v>999</v>
      </c>
      <c r="OD8" s="6">
        <v>348</v>
      </c>
      <c r="OE8" s="6">
        <v>4331</v>
      </c>
      <c r="OF8" s="6">
        <v>2868</v>
      </c>
      <c r="OG8" s="6">
        <v>9186</v>
      </c>
      <c r="OH8" s="6">
        <v>2296</v>
      </c>
      <c r="OI8" s="6">
        <v>9999</v>
      </c>
      <c r="OJ8" s="6">
        <v>2871</v>
      </c>
      <c r="OK8" s="6">
        <v>3326</v>
      </c>
      <c r="OL8" s="6">
        <v>6846</v>
      </c>
      <c r="OM8" s="6">
        <v>8740</v>
      </c>
      <c r="ON8" s="6">
        <v>6400</v>
      </c>
      <c r="OO8" s="6">
        <v>5480</v>
      </c>
      <c r="OP8" s="6">
        <v>4041</v>
      </c>
      <c r="OQ8" s="6">
        <v>2031</v>
      </c>
      <c r="OR8" s="6">
        <v>2694</v>
      </c>
      <c r="OS8" s="6">
        <v>8906</v>
      </c>
      <c r="OT8" s="6">
        <v>1868</v>
      </c>
      <c r="OU8" s="6">
        <v>6793</v>
      </c>
      <c r="OV8" s="6">
        <v>9690</v>
      </c>
      <c r="OW8" s="6">
        <v>5966</v>
      </c>
      <c r="OX8" s="6">
        <v>4859</v>
      </c>
      <c r="OY8" s="6">
        <v>4594</v>
      </c>
      <c r="OZ8" s="6">
        <v>7107</v>
      </c>
      <c r="PA8" s="6">
        <v>9871</v>
      </c>
      <c r="PB8" s="6">
        <v>2715</v>
      </c>
      <c r="PC8" s="6">
        <v>3647</v>
      </c>
      <c r="PD8" s="6">
        <v>3164</v>
      </c>
      <c r="PE8" s="6">
        <v>2727</v>
      </c>
      <c r="PF8" s="6">
        <v>7876</v>
      </c>
      <c r="PG8" s="8">
        <v>2845</v>
      </c>
    </row>
    <row r="9" spans="1:423" s="19" customFormat="1" ht="19.149999999999999" customHeight="1" x14ac:dyDescent="0.6">
      <c r="A9" s="32" t="s">
        <v>12</v>
      </c>
      <c r="B9" s="20">
        <v>6118</v>
      </c>
      <c r="C9" s="21">
        <v>9608</v>
      </c>
      <c r="D9" s="21">
        <v>2091</v>
      </c>
      <c r="E9" s="21">
        <v>554</v>
      </c>
      <c r="F9" s="21">
        <v>2296</v>
      </c>
      <c r="G9" s="21">
        <v>5601</v>
      </c>
      <c r="H9" s="21">
        <v>2441</v>
      </c>
      <c r="I9" s="21">
        <v>978</v>
      </c>
      <c r="J9" s="21">
        <v>4638</v>
      </c>
      <c r="K9" s="21">
        <v>6005</v>
      </c>
      <c r="L9" s="21">
        <v>8518</v>
      </c>
      <c r="M9" s="21">
        <v>7374</v>
      </c>
      <c r="N9" s="21">
        <v>2060</v>
      </c>
      <c r="O9" s="21">
        <v>5352</v>
      </c>
      <c r="P9" s="21">
        <v>9881</v>
      </c>
      <c r="Q9" s="21">
        <v>6570</v>
      </c>
      <c r="R9" s="21">
        <v>5693</v>
      </c>
      <c r="S9" s="21">
        <v>8400</v>
      </c>
      <c r="T9" s="21">
        <v>4276</v>
      </c>
      <c r="U9" s="22">
        <v>4791</v>
      </c>
      <c r="V9" s="15"/>
      <c r="W9" s="1">
        <v>0</v>
      </c>
      <c r="X9" s="40" t="s">
        <v>411</v>
      </c>
      <c r="Y9" s="7">
        <v>1805</v>
      </c>
      <c r="Z9" s="6">
        <v>3047</v>
      </c>
      <c r="AA9" s="6">
        <v>8470</v>
      </c>
      <c r="AB9" s="6">
        <v>1268</v>
      </c>
      <c r="AC9" s="8">
        <v>8235</v>
      </c>
      <c r="AD9" s="37">
        <v>8804</v>
      </c>
      <c r="AE9" s="6">
        <v>7371</v>
      </c>
      <c r="AF9" s="6">
        <v>3668</v>
      </c>
      <c r="AG9" s="6">
        <v>6296</v>
      </c>
      <c r="AH9" s="6">
        <v>2556</v>
      </c>
      <c r="AI9" s="6">
        <v>8786</v>
      </c>
      <c r="AJ9" s="6">
        <v>7162</v>
      </c>
      <c r="AK9" s="6">
        <v>171</v>
      </c>
      <c r="AL9" s="6">
        <v>6742</v>
      </c>
      <c r="AM9" s="6">
        <v>3240</v>
      </c>
      <c r="AN9" s="6">
        <v>9155</v>
      </c>
      <c r="AO9" s="6">
        <v>1628</v>
      </c>
      <c r="AP9" s="6">
        <v>770</v>
      </c>
      <c r="AQ9" s="6">
        <v>6208</v>
      </c>
      <c r="AR9" s="6">
        <v>2106</v>
      </c>
      <c r="AS9" s="6">
        <v>9851</v>
      </c>
      <c r="AT9" s="6">
        <v>4574</v>
      </c>
      <c r="AU9" s="6">
        <v>4902</v>
      </c>
      <c r="AV9" s="6">
        <v>783</v>
      </c>
      <c r="AW9" s="6">
        <v>7798</v>
      </c>
      <c r="AX9" s="6">
        <v>2567</v>
      </c>
      <c r="AY9" s="6">
        <v>6946</v>
      </c>
      <c r="AZ9" s="6">
        <v>3996</v>
      </c>
      <c r="BA9" s="6">
        <v>8858</v>
      </c>
      <c r="BB9" s="6">
        <v>1774</v>
      </c>
      <c r="BC9" s="6">
        <v>3875</v>
      </c>
      <c r="BD9" s="6">
        <v>235</v>
      </c>
      <c r="BE9" s="6">
        <v>95</v>
      </c>
      <c r="BF9" s="6">
        <v>6957</v>
      </c>
      <c r="BG9" s="6">
        <v>7884</v>
      </c>
      <c r="BH9" s="6">
        <v>6986</v>
      </c>
      <c r="BI9" s="6">
        <v>2503</v>
      </c>
      <c r="BJ9" s="6">
        <v>9902</v>
      </c>
      <c r="BK9" s="6">
        <v>8322</v>
      </c>
      <c r="BL9" s="6">
        <v>5410</v>
      </c>
      <c r="BM9" s="6">
        <v>4802</v>
      </c>
      <c r="BN9" s="6">
        <v>6083</v>
      </c>
      <c r="BO9" s="6">
        <v>9655</v>
      </c>
      <c r="BP9" s="6">
        <v>7524</v>
      </c>
      <c r="BQ9" s="6">
        <v>9243</v>
      </c>
      <c r="BR9" s="6">
        <v>6057</v>
      </c>
      <c r="BS9" s="6">
        <v>4565</v>
      </c>
      <c r="BT9" s="6">
        <v>7112</v>
      </c>
      <c r="BU9" s="6">
        <v>9522</v>
      </c>
      <c r="BV9" s="6">
        <v>5739</v>
      </c>
      <c r="BW9" s="6">
        <v>957</v>
      </c>
      <c r="BX9" s="6">
        <v>7972</v>
      </c>
      <c r="BY9" s="6">
        <v>7301</v>
      </c>
      <c r="BZ9" s="6">
        <v>7238</v>
      </c>
      <c r="CA9" s="6">
        <v>5429</v>
      </c>
      <c r="CB9" s="6">
        <v>5564</v>
      </c>
      <c r="CC9" s="6">
        <v>9799</v>
      </c>
      <c r="CD9" s="6">
        <v>8962</v>
      </c>
      <c r="CE9" s="6">
        <v>8953</v>
      </c>
      <c r="CF9" s="6">
        <v>7775</v>
      </c>
      <c r="CG9" s="6">
        <v>8420</v>
      </c>
      <c r="CH9" s="6">
        <v>5105</v>
      </c>
      <c r="CI9" s="6">
        <v>7167</v>
      </c>
      <c r="CJ9" s="6">
        <v>5485</v>
      </c>
      <c r="CK9" s="6">
        <v>3875</v>
      </c>
      <c r="CL9" s="6">
        <v>1634</v>
      </c>
      <c r="CM9" s="6">
        <v>5674</v>
      </c>
      <c r="CN9" s="6">
        <v>185</v>
      </c>
      <c r="CO9" s="6">
        <v>7882</v>
      </c>
      <c r="CP9" s="6">
        <v>2156</v>
      </c>
      <c r="CQ9" s="6">
        <v>2235</v>
      </c>
      <c r="CR9" s="6">
        <v>3666</v>
      </c>
      <c r="CS9" s="6">
        <v>7248</v>
      </c>
      <c r="CT9" s="6">
        <v>6479</v>
      </c>
      <c r="CU9" s="6">
        <v>9071</v>
      </c>
      <c r="CV9" s="6">
        <v>564</v>
      </c>
      <c r="CW9" s="6">
        <v>1954</v>
      </c>
      <c r="CX9" s="6">
        <v>3714</v>
      </c>
      <c r="CY9" s="6">
        <v>8061</v>
      </c>
      <c r="CZ9" s="6">
        <v>8728</v>
      </c>
      <c r="DA9" s="6">
        <v>3291</v>
      </c>
      <c r="DB9" s="6">
        <v>4582</v>
      </c>
      <c r="DC9" s="6">
        <v>6653</v>
      </c>
      <c r="DD9" s="6">
        <v>5473</v>
      </c>
      <c r="DE9" s="6">
        <v>3951</v>
      </c>
      <c r="DF9" s="6">
        <v>5028</v>
      </c>
      <c r="DG9" s="6">
        <v>9526</v>
      </c>
      <c r="DH9" s="6">
        <v>5432</v>
      </c>
      <c r="DI9" s="6">
        <v>4701</v>
      </c>
      <c r="DJ9" s="6">
        <v>616</v>
      </c>
      <c r="DK9" s="6">
        <v>5973</v>
      </c>
      <c r="DL9" s="6">
        <v>1668</v>
      </c>
      <c r="DM9" s="6">
        <v>6547</v>
      </c>
      <c r="DN9" s="6">
        <v>4796</v>
      </c>
      <c r="DO9" s="6">
        <v>7275</v>
      </c>
      <c r="DP9" s="6">
        <v>8620</v>
      </c>
      <c r="DQ9" s="6">
        <v>8874</v>
      </c>
      <c r="DR9" s="6">
        <v>8102</v>
      </c>
      <c r="DS9" s="6">
        <v>1062</v>
      </c>
      <c r="DT9" s="6">
        <v>9811</v>
      </c>
      <c r="DU9" s="6">
        <v>5594</v>
      </c>
      <c r="DV9" s="6">
        <v>7699</v>
      </c>
      <c r="DW9" s="6">
        <v>8464</v>
      </c>
      <c r="DX9" s="6">
        <v>5992</v>
      </c>
      <c r="DY9" s="6">
        <v>5281</v>
      </c>
      <c r="DZ9" s="6">
        <v>5590</v>
      </c>
      <c r="EA9" s="6">
        <v>4470</v>
      </c>
      <c r="EB9" s="6">
        <v>6485</v>
      </c>
      <c r="EC9" s="6">
        <v>8608</v>
      </c>
      <c r="ED9" s="6">
        <v>3379</v>
      </c>
      <c r="EE9" s="6">
        <v>2892</v>
      </c>
      <c r="EF9" s="6">
        <v>4091</v>
      </c>
      <c r="EG9" s="6">
        <v>2851</v>
      </c>
      <c r="EH9" s="6">
        <v>5054</v>
      </c>
      <c r="EI9" s="6">
        <v>9184</v>
      </c>
      <c r="EJ9" s="6">
        <v>6534</v>
      </c>
      <c r="EK9" s="6">
        <v>4637</v>
      </c>
      <c r="EL9" s="6">
        <v>6728</v>
      </c>
      <c r="EM9" s="6">
        <v>5085</v>
      </c>
      <c r="EN9" s="6">
        <v>3248</v>
      </c>
      <c r="EO9" s="6">
        <v>8178</v>
      </c>
      <c r="EP9" s="6">
        <v>5293</v>
      </c>
      <c r="EQ9" s="6">
        <v>8854</v>
      </c>
      <c r="ER9" s="6">
        <v>8717</v>
      </c>
      <c r="ES9" s="6">
        <v>8847</v>
      </c>
      <c r="ET9" s="6">
        <v>6394</v>
      </c>
      <c r="EU9" s="6">
        <v>6349</v>
      </c>
      <c r="EV9" s="6">
        <v>7841</v>
      </c>
      <c r="EW9" s="6">
        <v>270</v>
      </c>
      <c r="EX9" s="6">
        <v>841</v>
      </c>
      <c r="EY9" s="6">
        <v>6778</v>
      </c>
      <c r="EZ9" s="6">
        <v>3272</v>
      </c>
      <c r="FA9" s="6">
        <v>9839</v>
      </c>
      <c r="FB9" s="6">
        <v>7063</v>
      </c>
      <c r="FC9" s="6">
        <v>1025</v>
      </c>
      <c r="FD9" s="6">
        <v>2937</v>
      </c>
      <c r="FE9" s="6">
        <v>9184</v>
      </c>
      <c r="FF9" s="6">
        <v>3510</v>
      </c>
      <c r="FG9" s="6">
        <v>2031</v>
      </c>
      <c r="FH9" s="6">
        <v>211</v>
      </c>
      <c r="FI9" s="6">
        <v>5904</v>
      </c>
      <c r="FJ9" s="6">
        <v>8172</v>
      </c>
      <c r="FK9" s="6">
        <v>472</v>
      </c>
      <c r="FL9" s="6">
        <v>2746</v>
      </c>
      <c r="FM9" s="6">
        <v>2543</v>
      </c>
      <c r="FN9" s="6">
        <v>5084</v>
      </c>
      <c r="FO9" s="6">
        <v>3336</v>
      </c>
      <c r="FP9" s="6">
        <v>3369</v>
      </c>
      <c r="FQ9" s="6">
        <v>5521</v>
      </c>
      <c r="FR9" s="6">
        <v>3952</v>
      </c>
      <c r="FS9" s="6">
        <v>7401</v>
      </c>
      <c r="FT9" s="6">
        <v>4945</v>
      </c>
      <c r="FU9" s="6">
        <v>8994</v>
      </c>
      <c r="FV9" s="6">
        <v>7163</v>
      </c>
      <c r="FW9" s="6">
        <v>6032</v>
      </c>
      <c r="FX9" s="6">
        <v>7598</v>
      </c>
      <c r="FY9" s="6">
        <v>2492</v>
      </c>
      <c r="FZ9" s="6">
        <v>8700</v>
      </c>
      <c r="GA9" s="6">
        <v>5476</v>
      </c>
      <c r="GB9" s="6">
        <v>5809</v>
      </c>
      <c r="GC9" s="6">
        <v>1713</v>
      </c>
      <c r="GD9" s="6">
        <v>886</v>
      </c>
      <c r="GE9" s="6">
        <v>9939</v>
      </c>
      <c r="GF9" s="6">
        <v>7988</v>
      </c>
      <c r="GG9" s="6">
        <v>1861</v>
      </c>
      <c r="GH9" s="6">
        <v>9573</v>
      </c>
      <c r="GI9" s="6">
        <v>5770</v>
      </c>
      <c r="GJ9" s="6">
        <v>1133</v>
      </c>
      <c r="GK9" s="6">
        <v>6679</v>
      </c>
      <c r="GL9" s="6">
        <v>4950</v>
      </c>
      <c r="GM9" s="6">
        <v>5089</v>
      </c>
      <c r="GN9" s="6">
        <v>7396</v>
      </c>
      <c r="GO9" s="6">
        <v>839</v>
      </c>
      <c r="GP9" s="6">
        <v>3858</v>
      </c>
      <c r="GQ9" s="6">
        <v>4491</v>
      </c>
      <c r="GR9" s="6">
        <v>519</v>
      </c>
      <c r="GS9" s="6">
        <v>5613</v>
      </c>
      <c r="GT9" s="6">
        <v>163</v>
      </c>
      <c r="GU9" s="6">
        <v>9627</v>
      </c>
      <c r="GV9" s="6">
        <v>4506</v>
      </c>
      <c r="GW9" s="6">
        <v>5554</v>
      </c>
      <c r="GX9" s="6">
        <v>3002</v>
      </c>
      <c r="GY9" s="6">
        <v>9596</v>
      </c>
      <c r="GZ9" s="6">
        <v>4263</v>
      </c>
      <c r="HA9" s="6">
        <v>4763</v>
      </c>
      <c r="HB9" s="6">
        <v>3007</v>
      </c>
      <c r="HC9" s="6">
        <v>2955</v>
      </c>
      <c r="HD9" s="6">
        <v>5010</v>
      </c>
      <c r="HE9" s="6">
        <v>5922</v>
      </c>
      <c r="HF9" s="6">
        <v>5894</v>
      </c>
      <c r="HG9" s="6">
        <v>3810</v>
      </c>
      <c r="HH9" s="6">
        <v>8927</v>
      </c>
      <c r="HI9" s="6">
        <v>6731</v>
      </c>
      <c r="HJ9" s="6">
        <v>3508</v>
      </c>
      <c r="HK9" s="6">
        <v>4594</v>
      </c>
      <c r="HL9" s="6">
        <v>9195</v>
      </c>
      <c r="HM9" s="6">
        <v>9492</v>
      </c>
      <c r="HN9" s="6">
        <v>8264</v>
      </c>
      <c r="HO9" s="6">
        <v>3224</v>
      </c>
      <c r="HP9" s="6">
        <v>3225</v>
      </c>
      <c r="HQ9" s="6">
        <v>8166</v>
      </c>
      <c r="HR9" s="6">
        <v>8230</v>
      </c>
      <c r="HS9" s="6">
        <v>1460</v>
      </c>
      <c r="HT9" s="6">
        <v>1599</v>
      </c>
      <c r="HU9" s="6">
        <v>9705</v>
      </c>
      <c r="HV9" s="6">
        <v>4327</v>
      </c>
      <c r="HW9" s="6">
        <v>6124</v>
      </c>
      <c r="HX9" s="6">
        <v>9041</v>
      </c>
      <c r="HY9" s="6">
        <v>6281</v>
      </c>
      <c r="HZ9" s="6">
        <v>872</v>
      </c>
      <c r="IA9" s="6">
        <v>7036</v>
      </c>
      <c r="IB9" s="6">
        <v>5390</v>
      </c>
      <c r="IC9" s="6">
        <v>8070</v>
      </c>
      <c r="ID9" s="6">
        <v>8949</v>
      </c>
      <c r="IE9" s="6">
        <v>7680</v>
      </c>
      <c r="IF9" s="6">
        <v>9374</v>
      </c>
      <c r="IG9" s="6">
        <v>8443</v>
      </c>
      <c r="IH9" s="6">
        <v>343</v>
      </c>
      <c r="II9" s="6">
        <v>433</v>
      </c>
      <c r="IJ9" s="6">
        <v>4049</v>
      </c>
      <c r="IK9" s="6">
        <v>1103</v>
      </c>
      <c r="IL9" s="6">
        <v>3674</v>
      </c>
      <c r="IM9" s="6">
        <v>1258</v>
      </c>
      <c r="IN9" s="6">
        <v>4683</v>
      </c>
      <c r="IO9" s="6">
        <v>3919</v>
      </c>
      <c r="IP9" s="6">
        <v>8396</v>
      </c>
      <c r="IQ9" s="6">
        <v>5128</v>
      </c>
      <c r="IR9" s="6">
        <v>2778</v>
      </c>
      <c r="IS9" s="6">
        <v>9120</v>
      </c>
      <c r="IT9" s="6">
        <v>1432</v>
      </c>
      <c r="IU9" s="6">
        <v>1489</v>
      </c>
      <c r="IV9" s="6">
        <v>4301</v>
      </c>
      <c r="IW9" s="6">
        <v>8702</v>
      </c>
      <c r="IX9" s="6">
        <v>383</v>
      </c>
      <c r="IY9" s="6">
        <v>4664</v>
      </c>
      <c r="IZ9" s="6">
        <v>6175</v>
      </c>
      <c r="JA9" s="6">
        <v>182</v>
      </c>
      <c r="JB9" s="6">
        <v>7095</v>
      </c>
      <c r="JC9" s="6">
        <v>959</v>
      </c>
      <c r="JD9" s="6">
        <v>5178</v>
      </c>
      <c r="JE9" s="6">
        <v>5748</v>
      </c>
      <c r="JF9" s="6">
        <v>9181</v>
      </c>
      <c r="JG9" s="6">
        <v>2437</v>
      </c>
      <c r="JH9" s="6">
        <v>730</v>
      </c>
      <c r="JI9" s="6">
        <v>7916</v>
      </c>
      <c r="JJ9" s="6">
        <v>178</v>
      </c>
      <c r="JK9" s="6">
        <v>7720</v>
      </c>
      <c r="JL9" s="6">
        <v>3475</v>
      </c>
      <c r="JM9" s="6">
        <v>7253</v>
      </c>
      <c r="JN9" s="6">
        <v>8151</v>
      </c>
      <c r="JO9" s="6">
        <v>391</v>
      </c>
      <c r="JP9" s="6">
        <v>4066</v>
      </c>
      <c r="JQ9" s="6">
        <v>7873</v>
      </c>
      <c r="JR9" s="6">
        <v>1952</v>
      </c>
      <c r="JS9" s="6">
        <v>3477</v>
      </c>
      <c r="JT9" s="6">
        <v>9601</v>
      </c>
      <c r="JU9" s="6">
        <v>194</v>
      </c>
      <c r="JV9" s="6">
        <v>6738</v>
      </c>
      <c r="JW9" s="6">
        <v>5960</v>
      </c>
      <c r="JX9" s="6">
        <v>4980</v>
      </c>
      <c r="JY9" s="6">
        <v>36</v>
      </c>
      <c r="JZ9" s="6">
        <v>693</v>
      </c>
      <c r="KA9" s="6">
        <v>9189</v>
      </c>
      <c r="KB9" s="6">
        <v>2803</v>
      </c>
      <c r="KC9" s="6">
        <v>4479</v>
      </c>
      <c r="KD9" s="6">
        <v>3916</v>
      </c>
      <c r="KE9" s="6">
        <v>4646</v>
      </c>
      <c r="KF9" s="6">
        <v>1412</v>
      </c>
      <c r="KG9" s="6">
        <v>1255</v>
      </c>
      <c r="KH9" s="6">
        <v>15</v>
      </c>
      <c r="KI9" s="6">
        <v>7076</v>
      </c>
      <c r="KJ9" s="6">
        <v>1055</v>
      </c>
      <c r="KK9" s="6">
        <v>2597</v>
      </c>
      <c r="KL9" s="6">
        <v>1352</v>
      </c>
      <c r="KM9" s="6">
        <v>3552</v>
      </c>
      <c r="KN9" s="6">
        <v>9858</v>
      </c>
      <c r="KO9" s="6">
        <v>4201</v>
      </c>
      <c r="KP9" s="6">
        <v>8799</v>
      </c>
      <c r="KQ9" s="6">
        <v>7127</v>
      </c>
      <c r="KR9" s="6">
        <v>3026</v>
      </c>
      <c r="KS9" s="6">
        <v>4769</v>
      </c>
      <c r="KT9" s="6">
        <v>4004</v>
      </c>
      <c r="KU9" s="6">
        <v>1593</v>
      </c>
      <c r="KV9" s="6">
        <v>5439</v>
      </c>
      <c r="KW9" s="6">
        <v>7259</v>
      </c>
      <c r="KX9" s="6">
        <v>3220</v>
      </c>
      <c r="KY9" s="6">
        <v>9610</v>
      </c>
      <c r="KZ9" s="6">
        <v>9823</v>
      </c>
      <c r="LA9" s="6">
        <v>3894</v>
      </c>
      <c r="LB9" s="6">
        <v>9736</v>
      </c>
      <c r="LC9" s="6">
        <v>1449</v>
      </c>
      <c r="LD9" s="6">
        <v>8769</v>
      </c>
      <c r="LE9" s="6">
        <v>4739</v>
      </c>
      <c r="LF9" s="6">
        <v>6602</v>
      </c>
      <c r="LG9" s="6">
        <v>6844</v>
      </c>
      <c r="LH9" s="6">
        <v>2320</v>
      </c>
      <c r="LI9" s="6">
        <v>1333</v>
      </c>
      <c r="LJ9" s="6">
        <v>7752</v>
      </c>
      <c r="LK9" s="6">
        <v>5200</v>
      </c>
      <c r="LL9" s="6">
        <v>8727</v>
      </c>
      <c r="LM9" s="6">
        <v>5354</v>
      </c>
      <c r="LN9" s="6">
        <v>5451</v>
      </c>
      <c r="LO9" s="6">
        <v>4333</v>
      </c>
      <c r="LP9" s="6">
        <v>5262</v>
      </c>
      <c r="LQ9" s="6">
        <v>5342</v>
      </c>
      <c r="LR9" s="6">
        <v>9063</v>
      </c>
      <c r="LS9" s="6">
        <v>3252</v>
      </c>
      <c r="LT9" s="6">
        <v>6456</v>
      </c>
      <c r="LU9" s="6">
        <v>252</v>
      </c>
      <c r="LV9" s="6">
        <v>613</v>
      </c>
      <c r="LW9" s="6">
        <v>4984</v>
      </c>
      <c r="LX9" s="6">
        <v>5947</v>
      </c>
      <c r="LY9" s="6">
        <v>8686</v>
      </c>
      <c r="LZ9" s="6">
        <v>3075</v>
      </c>
      <c r="MA9" s="6">
        <v>1290</v>
      </c>
      <c r="MB9" s="6">
        <v>3713</v>
      </c>
      <c r="MC9" s="6">
        <v>7937</v>
      </c>
      <c r="MD9" s="6">
        <v>6208</v>
      </c>
      <c r="ME9" s="6">
        <v>846</v>
      </c>
      <c r="MF9" s="6">
        <v>7454</v>
      </c>
      <c r="MG9" s="6">
        <v>9442</v>
      </c>
      <c r="MH9" s="6">
        <v>5075</v>
      </c>
      <c r="MI9" s="6">
        <v>4400</v>
      </c>
      <c r="MJ9" s="6">
        <v>4365</v>
      </c>
      <c r="MK9" s="6">
        <v>3771</v>
      </c>
      <c r="ML9" s="6">
        <v>1512</v>
      </c>
      <c r="MM9" s="6">
        <v>6167</v>
      </c>
      <c r="MN9" s="6">
        <v>9506</v>
      </c>
      <c r="MO9" s="6">
        <v>2311</v>
      </c>
      <c r="MP9" s="6">
        <v>2844</v>
      </c>
      <c r="MQ9" s="6">
        <v>633</v>
      </c>
      <c r="MR9" s="6">
        <v>4249</v>
      </c>
      <c r="MS9" s="6">
        <v>6997</v>
      </c>
      <c r="MT9" s="6">
        <v>7300</v>
      </c>
      <c r="MU9" s="6">
        <v>8852</v>
      </c>
      <c r="MV9" s="6">
        <v>2708</v>
      </c>
      <c r="MW9" s="6">
        <v>1691</v>
      </c>
      <c r="MX9" s="6">
        <v>5434</v>
      </c>
      <c r="MY9" s="6">
        <v>4155</v>
      </c>
      <c r="MZ9" s="6">
        <v>9469</v>
      </c>
      <c r="NA9" s="6">
        <v>6024</v>
      </c>
      <c r="NB9" s="6">
        <v>2420</v>
      </c>
      <c r="NC9" s="6">
        <v>3934</v>
      </c>
      <c r="ND9" s="6">
        <v>934</v>
      </c>
      <c r="NE9" s="6">
        <v>6746</v>
      </c>
      <c r="NF9" s="6">
        <v>6828</v>
      </c>
      <c r="NG9" s="6">
        <v>2373</v>
      </c>
      <c r="NH9" s="6">
        <v>197</v>
      </c>
      <c r="NI9" s="6">
        <v>1554</v>
      </c>
      <c r="NJ9" s="6">
        <v>6923</v>
      </c>
      <c r="NK9" s="6">
        <v>3233</v>
      </c>
      <c r="NL9" s="6">
        <v>9201</v>
      </c>
      <c r="NM9" s="6">
        <v>5599</v>
      </c>
      <c r="NN9" s="6">
        <v>5647</v>
      </c>
      <c r="NO9" s="6">
        <v>8789</v>
      </c>
      <c r="NP9" s="6">
        <v>3728</v>
      </c>
      <c r="NQ9" s="6">
        <v>6590</v>
      </c>
      <c r="NR9" s="6">
        <v>4960</v>
      </c>
      <c r="NS9" s="6">
        <v>4744</v>
      </c>
      <c r="NT9" s="6">
        <v>895</v>
      </c>
      <c r="NU9" s="6">
        <v>7387</v>
      </c>
      <c r="NV9" s="6">
        <v>1649</v>
      </c>
      <c r="NW9" s="6">
        <v>1619</v>
      </c>
      <c r="NX9" s="6">
        <v>6065</v>
      </c>
      <c r="NY9" s="6">
        <v>6246</v>
      </c>
      <c r="NZ9" s="6">
        <v>9558</v>
      </c>
      <c r="OA9" s="6">
        <v>4064</v>
      </c>
      <c r="OB9" s="6">
        <v>1929</v>
      </c>
      <c r="OC9" s="6">
        <v>1367</v>
      </c>
      <c r="OD9" s="6">
        <v>3747</v>
      </c>
      <c r="OE9" s="6">
        <v>1372</v>
      </c>
      <c r="OF9" s="6">
        <v>5255</v>
      </c>
      <c r="OG9" s="6">
        <v>5369</v>
      </c>
      <c r="OH9" s="6">
        <v>881</v>
      </c>
      <c r="OI9" s="6">
        <v>214</v>
      </c>
      <c r="OJ9" s="6">
        <v>154</v>
      </c>
      <c r="OK9" s="6">
        <v>8020</v>
      </c>
      <c r="OL9" s="6">
        <v>3753</v>
      </c>
      <c r="OM9" s="6">
        <v>9572</v>
      </c>
      <c r="ON9" s="6">
        <v>7072</v>
      </c>
      <c r="OO9" s="6">
        <v>6176</v>
      </c>
      <c r="OP9" s="6">
        <v>6222</v>
      </c>
      <c r="OQ9" s="6">
        <v>2052</v>
      </c>
      <c r="OR9" s="6">
        <v>5331</v>
      </c>
      <c r="OS9" s="6">
        <v>6491</v>
      </c>
      <c r="OT9" s="6">
        <v>532</v>
      </c>
      <c r="OU9" s="6">
        <v>3595</v>
      </c>
      <c r="OV9" s="6">
        <v>2585</v>
      </c>
      <c r="OW9" s="6">
        <v>6263</v>
      </c>
      <c r="OX9" s="6">
        <v>7210</v>
      </c>
      <c r="OY9" s="6">
        <v>5202</v>
      </c>
      <c r="OZ9" s="6">
        <v>5715</v>
      </c>
      <c r="PA9" s="6">
        <v>7890</v>
      </c>
      <c r="PB9" s="6">
        <v>6188</v>
      </c>
      <c r="PC9" s="6">
        <v>850</v>
      </c>
      <c r="PD9" s="6">
        <v>1953</v>
      </c>
      <c r="PE9" s="6">
        <v>1694</v>
      </c>
      <c r="PF9" s="6">
        <v>9505</v>
      </c>
      <c r="PG9" s="8">
        <v>7554</v>
      </c>
    </row>
    <row r="10" spans="1:423" s="19" customFormat="1" ht="19.149999999999999" customHeight="1" x14ac:dyDescent="0.6">
      <c r="A10" s="32" t="s">
        <v>13</v>
      </c>
      <c r="B10" s="20">
        <v>8887</v>
      </c>
      <c r="C10" s="21">
        <v>4492</v>
      </c>
      <c r="D10" s="21">
        <v>8973</v>
      </c>
      <c r="E10" s="21">
        <v>1286</v>
      </c>
      <c r="F10" s="21">
        <v>9270</v>
      </c>
      <c r="G10" s="21">
        <v>9232</v>
      </c>
      <c r="H10" s="21">
        <v>3592</v>
      </c>
      <c r="I10" s="21">
        <v>868</v>
      </c>
      <c r="J10" s="21">
        <v>1182</v>
      </c>
      <c r="K10" s="21">
        <v>5033</v>
      </c>
      <c r="L10" s="21">
        <v>7136</v>
      </c>
      <c r="M10" s="21">
        <v>4129</v>
      </c>
      <c r="N10" s="21">
        <v>5194</v>
      </c>
      <c r="O10" s="21">
        <v>9491</v>
      </c>
      <c r="P10" s="21">
        <v>7503</v>
      </c>
      <c r="Q10" s="21">
        <v>9179</v>
      </c>
      <c r="R10" s="21">
        <v>2963</v>
      </c>
      <c r="S10" s="21">
        <v>882</v>
      </c>
      <c r="T10" s="21">
        <v>6661</v>
      </c>
      <c r="U10" s="22">
        <v>384</v>
      </c>
      <c r="V10" s="15"/>
      <c r="W10" s="1">
        <v>0</v>
      </c>
      <c r="X10" s="40" t="s">
        <v>412</v>
      </c>
      <c r="Y10" s="7">
        <v>938</v>
      </c>
      <c r="Z10" s="6">
        <v>4199</v>
      </c>
      <c r="AA10" s="6">
        <v>2809</v>
      </c>
      <c r="AB10" s="6">
        <v>9947</v>
      </c>
      <c r="AC10" s="8">
        <v>6902</v>
      </c>
      <c r="AD10" s="37">
        <v>9509</v>
      </c>
      <c r="AE10" s="6">
        <v>5666</v>
      </c>
      <c r="AF10" s="6">
        <v>1961</v>
      </c>
      <c r="AG10" s="6">
        <v>6165</v>
      </c>
      <c r="AH10" s="6">
        <v>3375</v>
      </c>
      <c r="AI10" s="6">
        <v>5742</v>
      </c>
      <c r="AJ10" s="6">
        <v>9292</v>
      </c>
      <c r="AK10" s="6">
        <v>6495</v>
      </c>
      <c r="AL10" s="6">
        <v>3563</v>
      </c>
      <c r="AM10" s="6">
        <v>6259</v>
      </c>
      <c r="AN10" s="6">
        <v>2353</v>
      </c>
      <c r="AO10" s="6">
        <v>6281</v>
      </c>
      <c r="AP10" s="6">
        <v>1876</v>
      </c>
      <c r="AQ10" s="6">
        <v>1634</v>
      </c>
      <c r="AR10" s="6">
        <v>3740</v>
      </c>
      <c r="AS10" s="6">
        <v>5907</v>
      </c>
      <c r="AT10" s="6">
        <v>3924</v>
      </c>
      <c r="AU10" s="6">
        <v>8468</v>
      </c>
      <c r="AV10" s="6">
        <v>7284</v>
      </c>
      <c r="AW10" s="6">
        <v>2747</v>
      </c>
      <c r="AX10" s="6">
        <v>7357</v>
      </c>
      <c r="AY10" s="6">
        <v>208</v>
      </c>
      <c r="AZ10" s="6">
        <v>3998</v>
      </c>
      <c r="BA10" s="6">
        <v>5081</v>
      </c>
      <c r="BB10" s="6">
        <v>7324</v>
      </c>
      <c r="BC10" s="6">
        <v>7482</v>
      </c>
      <c r="BD10" s="6">
        <v>2096</v>
      </c>
      <c r="BE10" s="6">
        <v>1044</v>
      </c>
      <c r="BF10" s="6">
        <v>555</v>
      </c>
      <c r="BG10" s="6">
        <v>2000</v>
      </c>
      <c r="BH10" s="6">
        <v>28</v>
      </c>
      <c r="BI10" s="6">
        <v>6050</v>
      </c>
      <c r="BJ10" s="6">
        <v>4421</v>
      </c>
      <c r="BK10" s="6">
        <v>7455</v>
      </c>
      <c r="BL10" s="6">
        <v>7004</v>
      </c>
      <c r="BM10" s="6">
        <v>4827</v>
      </c>
      <c r="BN10" s="6">
        <v>1593</v>
      </c>
      <c r="BO10" s="6">
        <v>7790</v>
      </c>
      <c r="BP10" s="6">
        <v>2423</v>
      </c>
      <c r="BQ10" s="6">
        <v>5660</v>
      </c>
      <c r="BR10" s="6">
        <v>3086</v>
      </c>
      <c r="BS10" s="6">
        <v>8057</v>
      </c>
      <c r="BT10" s="6">
        <v>6693</v>
      </c>
      <c r="BU10" s="6">
        <v>1946</v>
      </c>
      <c r="BV10" s="6">
        <v>8819</v>
      </c>
      <c r="BW10" s="6">
        <v>9183</v>
      </c>
      <c r="BX10" s="6">
        <v>4984</v>
      </c>
      <c r="BY10" s="6">
        <v>7971</v>
      </c>
      <c r="BZ10" s="6">
        <v>8838</v>
      </c>
      <c r="CA10" s="6">
        <v>2848</v>
      </c>
      <c r="CB10" s="6">
        <v>889</v>
      </c>
      <c r="CC10" s="6">
        <v>5757</v>
      </c>
      <c r="CD10" s="6">
        <v>5263</v>
      </c>
      <c r="CE10" s="6">
        <v>2978</v>
      </c>
      <c r="CF10" s="6">
        <v>3826</v>
      </c>
      <c r="CG10" s="6">
        <v>3515</v>
      </c>
      <c r="CH10" s="6">
        <v>1509</v>
      </c>
      <c r="CI10" s="6">
        <v>6885</v>
      </c>
      <c r="CJ10" s="6">
        <v>3222</v>
      </c>
      <c r="CK10" s="6">
        <v>4894</v>
      </c>
      <c r="CL10" s="6">
        <v>4801</v>
      </c>
      <c r="CM10" s="6">
        <v>566</v>
      </c>
      <c r="CN10" s="6">
        <v>171</v>
      </c>
      <c r="CO10" s="6">
        <v>9119</v>
      </c>
      <c r="CP10" s="6">
        <v>8188</v>
      </c>
      <c r="CQ10" s="6">
        <v>6579</v>
      </c>
      <c r="CR10" s="6">
        <v>1425</v>
      </c>
      <c r="CS10" s="6">
        <v>2900</v>
      </c>
      <c r="CT10" s="6">
        <v>5735</v>
      </c>
      <c r="CU10" s="6">
        <v>926</v>
      </c>
      <c r="CV10" s="6">
        <v>1456</v>
      </c>
      <c r="CW10" s="6">
        <v>8627</v>
      </c>
      <c r="CX10" s="6">
        <v>4356</v>
      </c>
      <c r="CY10" s="6">
        <v>1798</v>
      </c>
      <c r="CZ10" s="6">
        <v>3417</v>
      </c>
      <c r="DA10" s="6">
        <v>6238</v>
      </c>
      <c r="DB10" s="6">
        <v>2230</v>
      </c>
      <c r="DC10" s="6">
        <v>7146</v>
      </c>
      <c r="DD10" s="6">
        <v>8727</v>
      </c>
      <c r="DE10" s="6">
        <v>4851</v>
      </c>
      <c r="DF10" s="6">
        <v>9755</v>
      </c>
      <c r="DG10" s="6">
        <v>6484</v>
      </c>
      <c r="DH10" s="6">
        <v>2393</v>
      </c>
      <c r="DI10" s="6">
        <v>9567</v>
      </c>
      <c r="DJ10" s="6">
        <v>7185</v>
      </c>
      <c r="DK10" s="6">
        <v>7359</v>
      </c>
      <c r="DL10" s="6">
        <v>4218</v>
      </c>
      <c r="DM10" s="6">
        <v>6898</v>
      </c>
      <c r="DN10" s="6">
        <v>4210</v>
      </c>
      <c r="DO10" s="6">
        <v>7473</v>
      </c>
      <c r="DP10" s="6">
        <v>368</v>
      </c>
      <c r="DQ10" s="6">
        <v>1665</v>
      </c>
      <c r="DR10" s="6">
        <v>5455</v>
      </c>
      <c r="DS10" s="6">
        <v>6624</v>
      </c>
      <c r="DT10" s="6">
        <v>1320</v>
      </c>
      <c r="DU10" s="6">
        <v>8190</v>
      </c>
      <c r="DV10" s="6">
        <v>391</v>
      </c>
      <c r="DW10" s="6">
        <v>9593</v>
      </c>
      <c r="DX10" s="6">
        <v>3800</v>
      </c>
      <c r="DY10" s="6">
        <v>4707</v>
      </c>
      <c r="DZ10" s="6">
        <v>6357</v>
      </c>
      <c r="EA10" s="6">
        <v>5979</v>
      </c>
      <c r="EB10" s="6">
        <v>3473</v>
      </c>
      <c r="EC10" s="6">
        <v>8686</v>
      </c>
      <c r="ED10" s="6">
        <v>3528</v>
      </c>
      <c r="EE10" s="6">
        <v>8515</v>
      </c>
      <c r="EF10" s="6">
        <v>6408</v>
      </c>
      <c r="EG10" s="6">
        <v>8949</v>
      </c>
      <c r="EH10" s="6">
        <v>240</v>
      </c>
      <c r="EI10" s="6">
        <v>8922</v>
      </c>
      <c r="EJ10" s="6">
        <v>8576</v>
      </c>
      <c r="EK10" s="6">
        <v>5037</v>
      </c>
      <c r="EL10" s="6">
        <v>4179</v>
      </c>
      <c r="EM10" s="6">
        <v>2154</v>
      </c>
      <c r="EN10" s="6">
        <v>8915</v>
      </c>
      <c r="EO10" s="6">
        <v>7615</v>
      </c>
      <c r="EP10" s="6">
        <v>6868</v>
      </c>
      <c r="EQ10" s="6">
        <v>3022</v>
      </c>
      <c r="ER10" s="6">
        <v>803</v>
      </c>
      <c r="ES10" s="6">
        <v>2064</v>
      </c>
      <c r="ET10" s="6">
        <v>2276</v>
      </c>
      <c r="EU10" s="6">
        <v>3946</v>
      </c>
      <c r="EV10" s="6">
        <v>4184</v>
      </c>
      <c r="EW10" s="6">
        <v>4311</v>
      </c>
      <c r="EX10" s="6">
        <v>592</v>
      </c>
      <c r="EY10" s="6">
        <v>5528</v>
      </c>
      <c r="EZ10" s="6">
        <v>5340</v>
      </c>
      <c r="FA10" s="6">
        <v>8415</v>
      </c>
      <c r="FB10" s="6">
        <v>1608</v>
      </c>
      <c r="FC10" s="6">
        <v>891</v>
      </c>
      <c r="FD10" s="6">
        <v>2829</v>
      </c>
      <c r="FE10" s="6">
        <v>8745</v>
      </c>
      <c r="FF10" s="6">
        <v>6074</v>
      </c>
      <c r="FG10" s="6">
        <v>343</v>
      </c>
      <c r="FH10" s="6">
        <v>2644</v>
      </c>
      <c r="FI10" s="6">
        <v>4412</v>
      </c>
      <c r="FJ10" s="6">
        <v>4646</v>
      </c>
      <c r="FK10" s="6">
        <v>4334</v>
      </c>
      <c r="FL10" s="6">
        <v>775</v>
      </c>
      <c r="FM10" s="6">
        <v>1676</v>
      </c>
      <c r="FN10" s="6">
        <v>5738</v>
      </c>
      <c r="FO10" s="6">
        <v>1808</v>
      </c>
      <c r="FP10" s="6">
        <v>2469</v>
      </c>
      <c r="FQ10" s="6">
        <v>491</v>
      </c>
      <c r="FR10" s="6">
        <v>6014</v>
      </c>
      <c r="FS10" s="6">
        <v>6158</v>
      </c>
      <c r="FT10" s="6">
        <v>9714</v>
      </c>
      <c r="FU10" s="6">
        <v>3623</v>
      </c>
      <c r="FV10" s="6">
        <v>2091</v>
      </c>
      <c r="FW10" s="6">
        <v>1547</v>
      </c>
      <c r="FX10" s="6">
        <v>5774</v>
      </c>
      <c r="FY10" s="6">
        <v>5535</v>
      </c>
      <c r="FZ10" s="6">
        <v>5416</v>
      </c>
      <c r="GA10" s="6">
        <v>3788</v>
      </c>
      <c r="GB10" s="6">
        <v>6016</v>
      </c>
      <c r="GC10" s="6">
        <v>4419</v>
      </c>
      <c r="GD10" s="6">
        <v>7144</v>
      </c>
      <c r="GE10" s="6">
        <v>3168</v>
      </c>
      <c r="GF10" s="6">
        <v>5474</v>
      </c>
      <c r="GG10" s="6">
        <v>3337</v>
      </c>
      <c r="GH10" s="6">
        <v>7667</v>
      </c>
      <c r="GI10" s="6">
        <v>1261</v>
      </c>
      <c r="GJ10" s="6">
        <v>289</v>
      </c>
      <c r="GK10" s="6">
        <v>9545</v>
      </c>
      <c r="GL10" s="6">
        <v>4216</v>
      </c>
      <c r="GM10" s="6">
        <v>54</v>
      </c>
      <c r="GN10" s="6">
        <v>507</v>
      </c>
      <c r="GO10" s="6">
        <v>7529</v>
      </c>
      <c r="GP10" s="6">
        <v>7721</v>
      </c>
      <c r="GQ10" s="6">
        <v>6295</v>
      </c>
      <c r="GR10" s="6">
        <v>5019</v>
      </c>
      <c r="GS10" s="6">
        <v>9069</v>
      </c>
      <c r="GT10" s="6">
        <v>7921</v>
      </c>
      <c r="GU10" s="6">
        <v>4880</v>
      </c>
      <c r="GV10" s="6">
        <v>4322</v>
      </c>
      <c r="GW10" s="6">
        <v>7285</v>
      </c>
      <c r="GX10" s="6">
        <v>6600</v>
      </c>
      <c r="GY10" s="6">
        <v>547</v>
      </c>
      <c r="GZ10" s="6">
        <v>5109</v>
      </c>
      <c r="HA10" s="6">
        <v>1794</v>
      </c>
      <c r="HB10" s="6">
        <v>4347</v>
      </c>
      <c r="HC10" s="6">
        <v>5902</v>
      </c>
      <c r="HD10" s="6">
        <v>7216</v>
      </c>
      <c r="HE10" s="6">
        <v>5598</v>
      </c>
      <c r="HF10" s="6">
        <v>6049</v>
      </c>
      <c r="HG10" s="6">
        <v>6137</v>
      </c>
      <c r="HH10" s="6">
        <v>2969</v>
      </c>
      <c r="HI10" s="6">
        <v>7881</v>
      </c>
      <c r="HJ10" s="6">
        <v>9967</v>
      </c>
      <c r="HK10" s="6">
        <v>3233</v>
      </c>
      <c r="HL10" s="6">
        <v>6328</v>
      </c>
      <c r="HM10" s="6">
        <v>6093</v>
      </c>
      <c r="HN10" s="6">
        <v>5775</v>
      </c>
      <c r="HO10" s="6">
        <v>7005</v>
      </c>
      <c r="HP10" s="6">
        <v>9426</v>
      </c>
      <c r="HQ10" s="6">
        <v>8099</v>
      </c>
      <c r="HR10" s="6">
        <v>329</v>
      </c>
      <c r="HS10" s="6">
        <v>103</v>
      </c>
      <c r="HT10" s="6">
        <v>565</v>
      </c>
      <c r="HU10" s="6">
        <v>7073</v>
      </c>
      <c r="HV10" s="6">
        <v>7805</v>
      </c>
      <c r="HW10" s="6">
        <v>3911</v>
      </c>
      <c r="HX10" s="6">
        <v>9755</v>
      </c>
      <c r="HY10" s="6">
        <v>1262</v>
      </c>
      <c r="HZ10" s="6">
        <v>4472</v>
      </c>
      <c r="IA10" s="6">
        <v>391</v>
      </c>
      <c r="IB10" s="6">
        <v>7512</v>
      </c>
      <c r="IC10" s="6">
        <v>2325</v>
      </c>
      <c r="ID10" s="6">
        <v>7920</v>
      </c>
      <c r="IE10" s="6">
        <v>9858</v>
      </c>
      <c r="IF10" s="6">
        <v>2032</v>
      </c>
      <c r="IG10" s="6">
        <v>9164</v>
      </c>
      <c r="IH10" s="6">
        <v>1482</v>
      </c>
      <c r="II10" s="6">
        <v>1783</v>
      </c>
      <c r="IJ10" s="6">
        <v>2153</v>
      </c>
      <c r="IK10" s="6">
        <v>7700</v>
      </c>
      <c r="IL10" s="6">
        <v>8077</v>
      </c>
      <c r="IM10" s="6">
        <v>5922</v>
      </c>
      <c r="IN10" s="6">
        <v>3199</v>
      </c>
      <c r="IO10" s="6">
        <v>7467</v>
      </c>
      <c r="IP10" s="6">
        <v>8771</v>
      </c>
      <c r="IQ10" s="6">
        <v>9893</v>
      </c>
      <c r="IR10" s="6">
        <v>7064</v>
      </c>
      <c r="IS10" s="6">
        <v>3247</v>
      </c>
      <c r="IT10" s="6">
        <v>3071</v>
      </c>
      <c r="IU10" s="6">
        <v>5760</v>
      </c>
      <c r="IV10" s="6">
        <v>5264</v>
      </c>
      <c r="IW10" s="6">
        <v>1861</v>
      </c>
      <c r="IX10" s="6">
        <v>7014</v>
      </c>
      <c r="IY10" s="6">
        <v>142</v>
      </c>
      <c r="IZ10" s="6">
        <v>8260</v>
      </c>
      <c r="JA10" s="6">
        <v>7450</v>
      </c>
      <c r="JB10" s="6">
        <v>179</v>
      </c>
      <c r="JC10" s="6">
        <v>5915</v>
      </c>
      <c r="JD10" s="6">
        <v>2623</v>
      </c>
      <c r="JE10" s="6">
        <v>349</v>
      </c>
      <c r="JF10" s="6">
        <v>8839</v>
      </c>
      <c r="JG10" s="6">
        <v>2444</v>
      </c>
      <c r="JH10" s="6">
        <v>6533</v>
      </c>
      <c r="JI10" s="6">
        <v>3530</v>
      </c>
      <c r="JJ10" s="6">
        <v>1380</v>
      </c>
      <c r="JK10" s="6">
        <v>1817</v>
      </c>
      <c r="JL10" s="6">
        <v>6375</v>
      </c>
      <c r="JM10" s="6">
        <v>8614</v>
      </c>
      <c r="JN10" s="6">
        <v>7578</v>
      </c>
      <c r="JO10" s="6">
        <v>1901</v>
      </c>
      <c r="JP10" s="6">
        <v>5109</v>
      </c>
      <c r="JQ10" s="6">
        <v>8872</v>
      </c>
      <c r="JR10" s="6">
        <v>6440</v>
      </c>
      <c r="JS10" s="6">
        <v>4102</v>
      </c>
      <c r="JT10" s="6">
        <v>5221</v>
      </c>
      <c r="JU10" s="6">
        <v>8338</v>
      </c>
      <c r="JV10" s="6">
        <v>1577</v>
      </c>
      <c r="JW10" s="6">
        <v>7829</v>
      </c>
      <c r="JX10" s="6">
        <v>9663</v>
      </c>
      <c r="JY10" s="6">
        <v>5597</v>
      </c>
      <c r="JZ10" s="6">
        <v>7589</v>
      </c>
      <c r="KA10" s="6">
        <v>61</v>
      </c>
      <c r="KB10" s="6">
        <v>1431</v>
      </c>
      <c r="KC10" s="6">
        <v>8137</v>
      </c>
      <c r="KD10" s="6">
        <v>3468</v>
      </c>
      <c r="KE10" s="6">
        <v>29</v>
      </c>
      <c r="KF10" s="6">
        <v>8174</v>
      </c>
      <c r="KG10" s="6">
        <v>4419</v>
      </c>
      <c r="KH10" s="6">
        <v>2077</v>
      </c>
      <c r="KI10" s="6">
        <v>3458</v>
      </c>
      <c r="KJ10" s="6">
        <v>3531</v>
      </c>
      <c r="KK10" s="6">
        <v>3173</v>
      </c>
      <c r="KL10" s="6">
        <v>7556</v>
      </c>
      <c r="KM10" s="6">
        <v>4555</v>
      </c>
      <c r="KN10" s="6">
        <v>7142</v>
      </c>
      <c r="KO10" s="6">
        <v>152</v>
      </c>
      <c r="KP10" s="6">
        <v>375</v>
      </c>
      <c r="KQ10" s="6">
        <v>7519</v>
      </c>
      <c r="KR10" s="6">
        <v>9594</v>
      </c>
      <c r="KS10" s="6">
        <v>8263</v>
      </c>
      <c r="KT10" s="6">
        <v>120</v>
      </c>
      <c r="KU10" s="6">
        <v>4185</v>
      </c>
      <c r="KV10" s="6">
        <v>4995</v>
      </c>
      <c r="KW10" s="6">
        <v>3891</v>
      </c>
      <c r="KX10" s="6">
        <v>9078</v>
      </c>
      <c r="KY10" s="6">
        <v>216</v>
      </c>
      <c r="KZ10" s="6">
        <v>2540</v>
      </c>
      <c r="LA10" s="6">
        <v>9122</v>
      </c>
      <c r="LB10" s="6">
        <v>5893</v>
      </c>
      <c r="LC10" s="6">
        <v>525</v>
      </c>
      <c r="LD10" s="6">
        <v>5807</v>
      </c>
      <c r="LE10" s="6">
        <v>1424</v>
      </c>
      <c r="LF10" s="6">
        <v>6760</v>
      </c>
      <c r="LG10" s="6">
        <v>9205</v>
      </c>
      <c r="LH10" s="6">
        <v>9171</v>
      </c>
      <c r="LI10" s="6">
        <v>612</v>
      </c>
      <c r="LJ10" s="6">
        <v>2429</v>
      </c>
      <c r="LK10" s="6">
        <v>6049</v>
      </c>
      <c r="LL10" s="6">
        <v>963</v>
      </c>
      <c r="LM10" s="6">
        <v>1472</v>
      </c>
      <c r="LN10" s="6">
        <v>5544</v>
      </c>
      <c r="LO10" s="6">
        <v>2996</v>
      </c>
      <c r="LP10" s="6">
        <v>8355</v>
      </c>
      <c r="LQ10" s="6">
        <v>1474</v>
      </c>
      <c r="LR10" s="6">
        <v>7442</v>
      </c>
      <c r="LS10" s="6">
        <v>577</v>
      </c>
      <c r="LT10" s="6">
        <v>7306</v>
      </c>
      <c r="LU10" s="6">
        <v>4428</v>
      </c>
      <c r="LV10" s="6">
        <v>4514</v>
      </c>
      <c r="LW10" s="6">
        <v>4071</v>
      </c>
      <c r="LX10" s="6">
        <v>5911</v>
      </c>
      <c r="LY10" s="6">
        <v>8556</v>
      </c>
      <c r="LZ10" s="6">
        <v>3675</v>
      </c>
      <c r="MA10" s="6">
        <v>9671</v>
      </c>
      <c r="MB10" s="6">
        <v>1623</v>
      </c>
      <c r="MC10" s="6">
        <v>8488</v>
      </c>
      <c r="MD10" s="6">
        <v>3469</v>
      </c>
      <c r="ME10" s="6">
        <v>5039</v>
      </c>
      <c r="MF10" s="6">
        <v>2873</v>
      </c>
      <c r="MG10" s="6">
        <v>2165</v>
      </c>
      <c r="MH10" s="6">
        <v>8630</v>
      </c>
      <c r="MI10" s="6">
        <v>9212</v>
      </c>
      <c r="MJ10" s="6">
        <v>1716</v>
      </c>
      <c r="MK10" s="6">
        <v>1928</v>
      </c>
      <c r="ML10" s="6">
        <v>4629</v>
      </c>
      <c r="MM10" s="6">
        <v>4439</v>
      </c>
      <c r="MN10" s="6">
        <v>2633</v>
      </c>
      <c r="MO10" s="6">
        <v>5314</v>
      </c>
      <c r="MP10" s="6">
        <v>9333</v>
      </c>
      <c r="MQ10" s="6">
        <v>488</v>
      </c>
      <c r="MR10" s="6">
        <v>1394</v>
      </c>
      <c r="MS10" s="6">
        <v>6465</v>
      </c>
      <c r="MT10" s="6">
        <v>9030</v>
      </c>
      <c r="MU10" s="6">
        <v>7369</v>
      </c>
      <c r="MV10" s="6">
        <v>184</v>
      </c>
      <c r="MW10" s="6">
        <v>7463</v>
      </c>
      <c r="MX10" s="6">
        <v>5374</v>
      </c>
      <c r="MY10" s="6">
        <v>5075</v>
      </c>
      <c r="MZ10" s="6">
        <v>6584</v>
      </c>
      <c r="NA10" s="6">
        <v>5165</v>
      </c>
      <c r="NB10" s="6">
        <v>8101</v>
      </c>
      <c r="NC10" s="6">
        <v>1819</v>
      </c>
      <c r="ND10" s="6">
        <v>9575</v>
      </c>
      <c r="NE10" s="6">
        <v>7197</v>
      </c>
      <c r="NF10" s="6">
        <v>48</v>
      </c>
      <c r="NG10" s="6">
        <v>3129</v>
      </c>
      <c r="NH10" s="6">
        <v>7407</v>
      </c>
      <c r="NI10" s="6">
        <v>6230</v>
      </c>
      <c r="NJ10" s="6">
        <v>6365</v>
      </c>
      <c r="NK10" s="6">
        <v>10000</v>
      </c>
      <c r="NL10" s="6">
        <v>5068</v>
      </c>
      <c r="NM10" s="6">
        <v>1693</v>
      </c>
      <c r="NN10" s="6">
        <v>1485</v>
      </c>
      <c r="NO10" s="6">
        <v>7103</v>
      </c>
      <c r="NP10" s="6">
        <v>796</v>
      </c>
      <c r="NQ10" s="6">
        <v>3734</v>
      </c>
      <c r="NR10" s="6">
        <v>6495</v>
      </c>
      <c r="NS10" s="6">
        <v>4496</v>
      </c>
      <c r="NT10" s="6">
        <v>7457</v>
      </c>
      <c r="NU10" s="6">
        <v>6469</v>
      </c>
      <c r="NV10" s="6">
        <v>8501</v>
      </c>
      <c r="NW10" s="6">
        <v>2494</v>
      </c>
      <c r="NX10" s="6">
        <v>2225</v>
      </c>
      <c r="NY10" s="6">
        <v>5868</v>
      </c>
      <c r="NZ10" s="6">
        <v>7165</v>
      </c>
      <c r="OA10" s="6">
        <v>5657</v>
      </c>
      <c r="OB10" s="6">
        <v>2008</v>
      </c>
      <c r="OC10" s="6">
        <v>3406</v>
      </c>
      <c r="OD10" s="6">
        <v>3101</v>
      </c>
      <c r="OE10" s="6">
        <v>4014</v>
      </c>
      <c r="OF10" s="6">
        <v>2608</v>
      </c>
      <c r="OG10" s="6">
        <v>239</v>
      </c>
      <c r="OH10" s="6">
        <v>2920</v>
      </c>
      <c r="OI10" s="6">
        <v>8095</v>
      </c>
      <c r="OJ10" s="6">
        <v>1194</v>
      </c>
      <c r="OK10" s="6">
        <v>4241</v>
      </c>
      <c r="OL10" s="6">
        <v>1802</v>
      </c>
      <c r="OM10" s="6">
        <v>592</v>
      </c>
      <c r="ON10" s="6">
        <v>8939</v>
      </c>
      <c r="OO10" s="6">
        <v>9936</v>
      </c>
      <c r="OP10" s="6">
        <v>9793</v>
      </c>
      <c r="OQ10" s="6">
        <v>5104</v>
      </c>
      <c r="OR10" s="6">
        <v>6439</v>
      </c>
      <c r="OS10" s="6">
        <v>6978</v>
      </c>
      <c r="OT10" s="6">
        <v>154</v>
      </c>
      <c r="OU10" s="6">
        <v>6131</v>
      </c>
      <c r="OV10" s="6">
        <v>2962</v>
      </c>
      <c r="OW10" s="6">
        <v>6568</v>
      </c>
      <c r="OX10" s="6">
        <v>5422</v>
      </c>
      <c r="OY10" s="6">
        <v>4189</v>
      </c>
      <c r="OZ10" s="6">
        <v>943</v>
      </c>
      <c r="PA10" s="6">
        <v>1400</v>
      </c>
      <c r="PB10" s="6">
        <v>689</v>
      </c>
      <c r="PC10" s="6">
        <v>19</v>
      </c>
      <c r="PD10" s="6">
        <v>9391</v>
      </c>
      <c r="PE10" s="6">
        <v>5019</v>
      </c>
      <c r="PF10" s="6">
        <v>2841</v>
      </c>
      <c r="PG10" s="8">
        <v>3364</v>
      </c>
    </row>
    <row r="11" spans="1:423" s="19" customFormat="1" ht="19.149999999999999" customHeight="1" x14ac:dyDescent="0.6">
      <c r="A11" s="32" t="s">
        <v>14</v>
      </c>
      <c r="B11" s="20">
        <v>3975</v>
      </c>
      <c r="C11" s="21">
        <v>3274</v>
      </c>
      <c r="D11" s="21">
        <v>6491</v>
      </c>
      <c r="E11" s="21">
        <v>4961</v>
      </c>
      <c r="F11" s="21">
        <v>5576</v>
      </c>
      <c r="G11" s="21">
        <v>7703</v>
      </c>
      <c r="H11" s="21">
        <v>5954</v>
      </c>
      <c r="I11" s="21">
        <v>1196</v>
      </c>
      <c r="J11" s="21">
        <v>4627</v>
      </c>
      <c r="K11" s="21">
        <v>2783</v>
      </c>
      <c r="L11" s="21">
        <v>7960</v>
      </c>
      <c r="M11" s="21">
        <v>9464</v>
      </c>
      <c r="N11" s="21">
        <v>6032</v>
      </c>
      <c r="O11" s="21">
        <v>4041</v>
      </c>
      <c r="P11" s="21">
        <v>9672</v>
      </c>
      <c r="Q11" s="21">
        <v>9285</v>
      </c>
      <c r="R11" s="21">
        <v>2042</v>
      </c>
      <c r="S11" s="21">
        <v>4158</v>
      </c>
      <c r="T11" s="21">
        <v>8985</v>
      </c>
      <c r="U11" s="22">
        <v>8307</v>
      </c>
      <c r="V11" s="15"/>
      <c r="W11" s="1">
        <v>0</v>
      </c>
      <c r="X11" s="40" t="s">
        <v>413</v>
      </c>
      <c r="Y11" s="7">
        <v>1102</v>
      </c>
      <c r="Z11" s="6">
        <v>4639</v>
      </c>
      <c r="AA11" s="6">
        <v>2556</v>
      </c>
      <c r="AB11" s="6">
        <v>8565</v>
      </c>
      <c r="AC11" s="8">
        <v>4168</v>
      </c>
      <c r="AD11" s="37">
        <v>990</v>
      </c>
      <c r="AE11" s="6">
        <v>8414</v>
      </c>
      <c r="AF11" s="6">
        <v>9382</v>
      </c>
      <c r="AG11" s="6">
        <v>8863</v>
      </c>
      <c r="AH11" s="6">
        <v>134</v>
      </c>
      <c r="AI11" s="6">
        <v>4054</v>
      </c>
      <c r="AJ11" s="6">
        <v>9602</v>
      </c>
      <c r="AK11" s="6">
        <v>6104</v>
      </c>
      <c r="AL11" s="6">
        <v>2748</v>
      </c>
      <c r="AM11" s="6">
        <v>2663</v>
      </c>
      <c r="AN11" s="6">
        <v>4700</v>
      </c>
      <c r="AO11" s="6">
        <v>1857</v>
      </c>
      <c r="AP11" s="6">
        <v>7703</v>
      </c>
      <c r="AQ11" s="6">
        <v>6762</v>
      </c>
      <c r="AR11" s="6">
        <v>5145</v>
      </c>
      <c r="AS11" s="6">
        <v>4531</v>
      </c>
      <c r="AT11" s="6">
        <v>8738</v>
      </c>
      <c r="AU11" s="6">
        <v>787</v>
      </c>
      <c r="AV11" s="6">
        <v>2478</v>
      </c>
      <c r="AW11" s="6">
        <v>5615</v>
      </c>
      <c r="AX11" s="6">
        <v>9911</v>
      </c>
      <c r="AY11" s="6">
        <v>7964</v>
      </c>
      <c r="AZ11" s="6">
        <v>1378</v>
      </c>
      <c r="BA11" s="6">
        <v>9217</v>
      </c>
      <c r="BB11" s="6">
        <v>2005</v>
      </c>
      <c r="BC11" s="6">
        <v>8212</v>
      </c>
      <c r="BD11" s="6">
        <v>5085</v>
      </c>
      <c r="BE11" s="6">
        <v>2315</v>
      </c>
      <c r="BF11" s="6">
        <v>116</v>
      </c>
      <c r="BG11" s="6">
        <v>9271</v>
      </c>
      <c r="BH11" s="6">
        <v>104</v>
      </c>
      <c r="BI11" s="6">
        <v>7464</v>
      </c>
      <c r="BJ11" s="6">
        <v>5899</v>
      </c>
      <c r="BK11" s="6">
        <v>6160</v>
      </c>
      <c r="BL11" s="6">
        <v>4771</v>
      </c>
      <c r="BM11" s="6">
        <v>8629</v>
      </c>
      <c r="BN11" s="6">
        <v>7473</v>
      </c>
      <c r="BO11" s="6">
        <v>8249</v>
      </c>
      <c r="BP11" s="6">
        <v>1767</v>
      </c>
      <c r="BQ11" s="6">
        <v>9205</v>
      </c>
      <c r="BR11" s="6">
        <v>8972</v>
      </c>
      <c r="BS11" s="6">
        <v>5512</v>
      </c>
      <c r="BT11" s="6">
        <v>865</v>
      </c>
      <c r="BU11" s="6">
        <v>1684</v>
      </c>
      <c r="BV11" s="6">
        <v>108</v>
      </c>
      <c r="BW11" s="6">
        <v>7220</v>
      </c>
      <c r="BX11" s="6">
        <v>5766</v>
      </c>
      <c r="BY11" s="6">
        <v>1228</v>
      </c>
      <c r="BZ11" s="6">
        <v>1229</v>
      </c>
      <c r="CA11" s="6">
        <v>4241</v>
      </c>
      <c r="CB11" s="6">
        <v>2908</v>
      </c>
      <c r="CC11" s="6">
        <v>9882</v>
      </c>
      <c r="CD11" s="6">
        <v>7357</v>
      </c>
      <c r="CE11" s="6">
        <v>5591</v>
      </c>
      <c r="CF11" s="6">
        <v>8279</v>
      </c>
      <c r="CG11" s="6">
        <v>3459</v>
      </c>
      <c r="CH11" s="6">
        <v>411</v>
      </c>
      <c r="CI11" s="6">
        <v>3088</v>
      </c>
      <c r="CJ11" s="6">
        <v>1032</v>
      </c>
      <c r="CK11" s="6">
        <v>512</v>
      </c>
      <c r="CL11" s="6">
        <v>3470</v>
      </c>
      <c r="CM11" s="6">
        <v>4286</v>
      </c>
      <c r="CN11" s="6">
        <v>4035</v>
      </c>
      <c r="CO11" s="6">
        <v>5460</v>
      </c>
      <c r="CP11" s="6">
        <v>46</v>
      </c>
      <c r="CQ11" s="6">
        <v>9889</v>
      </c>
      <c r="CR11" s="6">
        <v>5098</v>
      </c>
      <c r="CS11" s="6">
        <v>9924</v>
      </c>
      <c r="CT11" s="6">
        <v>9300</v>
      </c>
      <c r="CU11" s="6">
        <v>3368</v>
      </c>
      <c r="CV11" s="6">
        <v>1459</v>
      </c>
      <c r="CW11" s="6">
        <v>4638</v>
      </c>
      <c r="CX11" s="6">
        <v>7322</v>
      </c>
      <c r="CY11" s="6">
        <v>7982</v>
      </c>
      <c r="CZ11" s="6">
        <v>4311</v>
      </c>
      <c r="DA11" s="6">
        <v>6393</v>
      </c>
      <c r="DB11" s="6">
        <v>4209</v>
      </c>
      <c r="DC11" s="6">
        <v>4884</v>
      </c>
      <c r="DD11" s="6">
        <v>1259</v>
      </c>
      <c r="DE11" s="6">
        <v>8768</v>
      </c>
      <c r="DF11" s="6">
        <v>6213</v>
      </c>
      <c r="DG11" s="6">
        <v>2230</v>
      </c>
      <c r="DH11" s="6">
        <v>7065</v>
      </c>
      <c r="DI11" s="6">
        <v>9787</v>
      </c>
      <c r="DJ11" s="6">
        <v>7168</v>
      </c>
      <c r="DK11" s="6">
        <v>8594</v>
      </c>
      <c r="DL11" s="6">
        <v>228</v>
      </c>
      <c r="DM11" s="6">
        <v>7470</v>
      </c>
      <c r="DN11" s="6">
        <v>321</v>
      </c>
      <c r="DO11" s="6">
        <v>8936</v>
      </c>
      <c r="DP11" s="6">
        <v>2703</v>
      </c>
      <c r="DQ11" s="6">
        <v>9564</v>
      </c>
      <c r="DR11" s="6">
        <v>8273</v>
      </c>
      <c r="DS11" s="6">
        <v>6549</v>
      </c>
      <c r="DT11" s="6">
        <v>1966</v>
      </c>
      <c r="DU11" s="6">
        <v>8183</v>
      </c>
      <c r="DV11" s="6">
        <v>9681</v>
      </c>
      <c r="DW11" s="6">
        <v>8119</v>
      </c>
      <c r="DX11" s="6">
        <v>4202</v>
      </c>
      <c r="DY11" s="6">
        <v>6250</v>
      </c>
      <c r="DZ11" s="6">
        <v>5006</v>
      </c>
      <c r="EA11" s="6">
        <v>4261</v>
      </c>
      <c r="EB11" s="6">
        <v>7533</v>
      </c>
      <c r="EC11" s="6">
        <v>9629</v>
      </c>
      <c r="ED11" s="6">
        <v>3317</v>
      </c>
      <c r="EE11" s="6">
        <v>8992</v>
      </c>
      <c r="EF11" s="6">
        <v>384</v>
      </c>
      <c r="EG11" s="6">
        <v>5545</v>
      </c>
      <c r="EH11" s="6">
        <v>8305</v>
      </c>
      <c r="EI11" s="6">
        <v>8988</v>
      </c>
      <c r="EJ11" s="6">
        <v>9357</v>
      </c>
      <c r="EK11" s="6">
        <v>2659</v>
      </c>
      <c r="EL11" s="6">
        <v>8018</v>
      </c>
      <c r="EM11" s="6">
        <v>4179</v>
      </c>
      <c r="EN11" s="6">
        <v>8457</v>
      </c>
      <c r="EO11" s="6">
        <v>3845</v>
      </c>
      <c r="EP11" s="6">
        <v>279</v>
      </c>
      <c r="EQ11" s="6">
        <v>6406</v>
      </c>
      <c r="ER11" s="6">
        <v>3225</v>
      </c>
      <c r="ES11" s="6">
        <v>5683</v>
      </c>
      <c r="ET11" s="6">
        <v>3458</v>
      </c>
      <c r="EU11" s="6">
        <v>3124</v>
      </c>
      <c r="EV11" s="6">
        <v>769</v>
      </c>
      <c r="EW11" s="6">
        <v>3362</v>
      </c>
      <c r="EX11" s="6">
        <v>2706</v>
      </c>
      <c r="EY11" s="6">
        <v>691</v>
      </c>
      <c r="EZ11" s="6">
        <v>3797</v>
      </c>
      <c r="FA11" s="6">
        <v>874</v>
      </c>
      <c r="FB11" s="6">
        <v>7626</v>
      </c>
      <c r="FC11" s="6">
        <v>8385</v>
      </c>
      <c r="FD11" s="6">
        <v>5164</v>
      </c>
      <c r="FE11" s="6">
        <v>8221</v>
      </c>
      <c r="FF11" s="6">
        <v>8079</v>
      </c>
      <c r="FG11" s="6">
        <v>6312</v>
      </c>
      <c r="FH11" s="6">
        <v>1281</v>
      </c>
      <c r="FI11" s="6">
        <v>9284</v>
      </c>
      <c r="FJ11" s="6">
        <v>1243</v>
      </c>
      <c r="FK11" s="6">
        <v>9576</v>
      </c>
      <c r="FL11" s="6">
        <v>4996</v>
      </c>
      <c r="FM11" s="6">
        <v>5475</v>
      </c>
      <c r="FN11" s="6">
        <v>4006</v>
      </c>
      <c r="FO11" s="6">
        <v>8148</v>
      </c>
      <c r="FP11" s="6">
        <v>637</v>
      </c>
      <c r="FQ11" s="6">
        <v>5159</v>
      </c>
      <c r="FR11" s="6">
        <v>3843</v>
      </c>
      <c r="FS11" s="6">
        <v>7376</v>
      </c>
      <c r="FT11" s="6">
        <v>9964</v>
      </c>
      <c r="FU11" s="6">
        <v>3987</v>
      </c>
      <c r="FV11" s="6">
        <v>5495</v>
      </c>
      <c r="FW11" s="6">
        <v>2731</v>
      </c>
      <c r="FX11" s="6">
        <v>6938</v>
      </c>
      <c r="FY11" s="6">
        <v>3996</v>
      </c>
      <c r="FZ11" s="6">
        <v>2920</v>
      </c>
      <c r="GA11" s="6">
        <v>5760</v>
      </c>
      <c r="GB11" s="6">
        <v>954</v>
      </c>
      <c r="GC11" s="6">
        <v>2297</v>
      </c>
      <c r="GD11" s="6">
        <v>2343</v>
      </c>
      <c r="GE11" s="6">
        <v>6068</v>
      </c>
      <c r="GF11" s="6">
        <v>1436</v>
      </c>
      <c r="GG11" s="6">
        <v>2814</v>
      </c>
      <c r="GH11" s="6">
        <v>2375</v>
      </c>
      <c r="GI11" s="6">
        <v>629</v>
      </c>
      <c r="GJ11" s="6">
        <v>1583</v>
      </c>
      <c r="GK11" s="6">
        <v>1423</v>
      </c>
      <c r="GL11" s="6">
        <v>3408</v>
      </c>
      <c r="GM11" s="6">
        <v>1217</v>
      </c>
      <c r="GN11" s="6">
        <v>694</v>
      </c>
      <c r="GO11" s="6">
        <v>5146</v>
      </c>
      <c r="GP11" s="6">
        <v>5123</v>
      </c>
      <c r="GQ11" s="6">
        <v>7618</v>
      </c>
      <c r="GR11" s="6">
        <v>5502</v>
      </c>
      <c r="GS11" s="6">
        <v>8459</v>
      </c>
      <c r="GT11" s="6">
        <v>4310</v>
      </c>
      <c r="GU11" s="6">
        <v>9717</v>
      </c>
      <c r="GV11" s="6">
        <v>4880</v>
      </c>
      <c r="GW11" s="6">
        <v>4096</v>
      </c>
      <c r="GX11" s="6">
        <v>9806</v>
      </c>
      <c r="GY11" s="6">
        <v>4325</v>
      </c>
      <c r="GZ11" s="6">
        <v>4274</v>
      </c>
      <c r="HA11" s="6">
        <v>2926</v>
      </c>
      <c r="HB11" s="6">
        <v>5077</v>
      </c>
      <c r="HC11" s="6">
        <v>3761</v>
      </c>
      <c r="HD11" s="6">
        <v>4118</v>
      </c>
      <c r="HE11" s="6">
        <v>4052</v>
      </c>
      <c r="HF11" s="6">
        <v>7963</v>
      </c>
      <c r="HG11" s="6">
        <v>9275</v>
      </c>
      <c r="HH11" s="6">
        <v>9384</v>
      </c>
      <c r="HI11" s="6">
        <v>3578</v>
      </c>
      <c r="HJ11" s="6">
        <v>5622</v>
      </c>
      <c r="HK11" s="6">
        <v>6705</v>
      </c>
      <c r="HL11" s="6">
        <v>7952</v>
      </c>
      <c r="HM11" s="6">
        <v>7388</v>
      </c>
      <c r="HN11" s="6">
        <v>1470</v>
      </c>
      <c r="HO11" s="6">
        <v>4015</v>
      </c>
      <c r="HP11" s="6">
        <v>1003</v>
      </c>
      <c r="HQ11" s="6">
        <v>4558</v>
      </c>
      <c r="HR11" s="6">
        <v>9475</v>
      </c>
      <c r="HS11" s="6">
        <v>9398</v>
      </c>
      <c r="HT11" s="6">
        <v>2692</v>
      </c>
      <c r="HU11" s="6">
        <v>4755</v>
      </c>
      <c r="HV11" s="6">
        <v>3003</v>
      </c>
      <c r="HW11" s="6">
        <v>1160</v>
      </c>
      <c r="HX11" s="6">
        <v>773</v>
      </c>
      <c r="HY11" s="6">
        <v>1538</v>
      </c>
      <c r="HZ11" s="6">
        <v>2784</v>
      </c>
      <c r="IA11" s="6">
        <v>344</v>
      </c>
      <c r="IB11" s="6">
        <v>1168</v>
      </c>
      <c r="IC11" s="6">
        <v>1428</v>
      </c>
      <c r="ID11" s="6">
        <v>9899</v>
      </c>
      <c r="IE11" s="6">
        <v>863</v>
      </c>
      <c r="IF11" s="6">
        <v>1335</v>
      </c>
      <c r="IG11" s="6">
        <v>5943</v>
      </c>
      <c r="IH11" s="6">
        <v>7158</v>
      </c>
      <c r="II11" s="6">
        <v>1806</v>
      </c>
      <c r="IJ11" s="6">
        <v>8628</v>
      </c>
      <c r="IK11" s="6">
        <v>5421</v>
      </c>
      <c r="IL11" s="6">
        <v>6177</v>
      </c>
      <c r="IM11" s="6">
        <v>7209</v>
      </c>
      <c r="IN11" s="6">
        <v>1162</v>
      </c>
      <c r="IO11" s="6">
        <v>6804</v>
      </c>
      <c r="IP11" s="6">
        <v>399</v>
      </c>
      <c r="IQ11" s="6">
        <v>3454</v>
      </c>
      <c r="IR11" s="6">
        <v>2900</v>
      </c>
      <c r="IS11" s="6">
        <v>3178</v>
      </c>
      <c r="IT11" s="6">
        <v>2740</v>
      </c>
      <c r="IU11" s="6">
        <v>2097</v>
      </c>
      <c r="IV11" s="6">
        <v>5192</v>
      </c>
      <c r="IW11" s="6">
        <v>1600</v>
      </c>
      <c r="IX11" s="6">
        <v>3885</v>
      </c>
      <c r="IY11" s="6">
        <v>4479</v>
      </c>
      <c r="IZ11" s="6">
        <v>7759</v>
      </c>
      <c r="JA11" s="6">
        <v>2540</v>
      </c>
      <c r="JB11" s="6">
        <v>8553</v>
      </c>
      <c r="JC11" s="6">
        <v>7600</v>
      </c>
      <c r="JD11" s="6">
        <v>122</v>
      </c>
      <c r="JE11" s="6">
        <v>8374</v>
      </c>
      <c r="JF11" s="6">
        <v>2462</v>
      </c>
      <c r="JG11" s="6">
        <v>6296</v>
      </c>
      <c r="JH11" s="6">
        <v>8860</v>
      </c>
      <c r="JI11" s="6">
        <v>6518</v>
      </c>
      <c r="JJ11" s="6">
        <v>285</v>
      </c>
      <c r="JK11" s="6">
        <v>9996</v>
      </c>
      <c r="JL11" s="6">
        <v>9573</v>
      </c>
      <c r="JM11" s="6">
        <v>4154</v>
      </c>
      <c r="JN11" s="6">
        <v>8665</v>
      </c>
      <c r="JO11" s="6">
        <v>7597</v>
      </c>
      <c r="JP11" s="6">
        <v>3708</v>
      </c>
      <c r="JQ11" s="6">
        <v>1684</v>
      </c>
      <c r="JR11" s="6">
        <v>1656</v>
      </c>
      <c r="JS11" s="6">
        <v>1982</v>
      </c>
      <c r="JT11" s="6">
        <v>677</v>
      </c>
      <c r="JU11" s="6">
        <v>2514</v>
      </c>
      <c r="JV11" s="6">
        <v>9431</v>
      </c>
      <c r="JW11" s="6">
        <v>3555</v>
      </c>
      <c r="JX11" s="6">
        <v>1038</v>
      </c>
      <c r="JY11" s="6">
        <v>3205</v>
      </c>
      <c r="JZ11" s="6">
        <v>6065</v>
      </c>
      <c r="KA11" s="6">
        <v>2142</v>
      </c>
      <c r="KB11" s="6">
        <v>257</v>
      </c>
      <c r="KC11" s="6">
        <v>614</v>
      </c>
      <c r="KD11" s="6">
        <v>6650</v>
      </c>
      <c r="KE11" s="6">
        <v>2259</v>
      </c>
      <c r="KF11" s="6">
        <v>1108</v>
      </c>
      <c r="KG11" s="6">
        <v>8744</v>
      </c>
      <c r="KH11" s="6">
        <v>6380</v>
      </c>
      <c r="KI11" s="6">
        <v>830</v>
      </c>
      <c r="KJ11" s="6">
        <v>7164</v>
      </c>
      <c r="KK11" s="6">
        <v>3282</v>
      </c>
      <c r="KL11" s="6">
        <v>5100</v>
      </c>
      <c r="KM11" s="6">
        <v>5149</v>
      </c>
      <c r="KN11" s="6">
        <v>6307</v>
      </c>
      <c r="KO11" s="6">
        <v>193</v>
      </c>
      <c r="KP11" s="6">
        <v>3564</v>
      </c>
      <c r="KQ11" s="6">
        <v>3514</v>
      </c>
      <c r="KR11" s="6">
        <v>2755</v>
      </c>
      <c r="KS11" s="6">
        <v>390</v>
      </c>
      <c r="KT11" s="6">
        <v>1592</v>
      </c>
      <c r="KU11" s="6">
        <v>9182</v>
      </c>
      <c r="KV11" s="6">
        <v>7889</v>
      </c>
      <c r="KW11" s="6">
        <v>6233</v>
      </c>
      <c r="KX11" s="6">
        <v>9352</v>
      </c>
      <c r="KY11" s="6">
        <v>3734</v>
      </c>
      <c r="KZ11" s="6">
        <v>7882</v>
      </c>
      <c r="LA11" s="6">
        <v>1268</v>
      </c>
      <c r="LB11" s="6">
        <v>1353</v>
      </c>
      <c r="LC11" s="6">
        <v>6996</v>
      </c>
      <c r="LD11" s="6">
        <v>412</v>
      </c>
      <c r="LE11" s="6">
        <v>6156</v>
      </c>
      <c r="LF11" s="6">
        <v>2043</v>
      </c>
      <c r="LG11" s="6">
        <v>8860</v>
      </c>
      <c r="LH11" s="6">
        <v>8027</v>
      </c>
      <c r="LI11" s="6">
        <v>3029</v>
      </c>
      <c r="LJ11" s="6">
        <v>5389</v>
      </c>
      <c r="LK11" s="6">
        <v>5532</v>
      </c>
      <c r="LL11" s="6">
        <v>1879</v>
      </c>
      <c r="LM11" s="6">
        <v>9765</v>
      </c>
      <c r="LN11" s="6">
        <v>842</v>
      </c>
      <c r="LO11" s="6">
        <v>4542</v>
      </c>
      <c r="LP11" s="6">
        <v>7013</v>
      </c>
      <c r="LQ11" s="6">
        <v>2729</v>
      </c>
      <c r="LR11" s="6">
        <v>7839</v>
      </c>
      <c r="LS11" s="6">
        <v>4395</v>
      </c>
      <c r="LT11" s="6">
        <v>2840</v>
      </c>
      <c r="LU11" s="6">
        <v>9229</v>
      </c>
      <c r="LV11" s="6">
        <v>8203</v>
      </c>
      <c r="LW11" s="6">
        <v>9936</v>
      </c>
      <c r="LX11" s="6">
        <v>3081</v>
      </c>
      <c r="LY11" s="6">
        <v>1079</v>
      </c>
      <c r="LZ11" s="6">
        <v>4509</v>
      </c>
      <c r="MA11" s="6">
        <v>7075</v>
      </c>
      <c r="MB11" s="6">
        <v>8349</v>
      </c>
      <c r="MC11" s="6">
        <v>7677</v>
      </c>
      <c r="MD11" s="6">
        <v>2113</v>
      </c>
      <c r="ME11" s="6">
        <v>9895</v>
      </c>
      <c r="MF11" s="6">
        <v>4395</v>
      </c>
      <c r="MG11" s="6">
        <v>9086</v>
      </c>
      <c r="MH11" s="6">
        <v>779</v>
      </c>
      <c r="MI11" s="6">
        <v>1398</v>
      </c>
      <c r="MJ11" s="6">
        <v>8768</v>
      </c>
      <c r="MK11" s="6">
        <v>3040</v>
      </c>
      <c r="ML11" s="6">
        <v>2358</v>
      </c>
      <c r="MM11" s="6">
        <v>1746</v>
      </c>
      <c r="MN11" s="6">
        <v>6726</v>
      </c>
      <c r="MO11" s="6">
        <v>236</v>
      </c>
      <c r="MP11" s="6">
        <v>4344</v>
      </c>
      <c r="MQ11" s="6">
        <v>6820</v>
      </c>
      <c r="MR11" s="6">
        <v>2345</v>
      </c>
      <c r="MS11" s="6">
        <v>5033</v>
      </c>
      <c r="MT11" s="6">
        <v>626</v>
      </c>
      <c r="MU11" s="6">
        <v>5378</v>
      </c>
      <c r="MV11" s="6">
        <v>8318</v>
      </c>
      <c r="MW11" s="6">
        <v>6998</v>
      </c>
      <c r="MX11" s="6">
        <v>7123</v>
      </c>
      <c r="MY11" s="6">
        <v>7328</v>
      </c>
      <c r="MZ11" s="6">
        <v>4917</v>
      </c>
      <c r="NA11" s="6">
        <v>7724</v>
      </c>
      <c r="NB11" s="6">
        <v>9638</v>
      </c>
      <c r="NC11" s="6">
        <v>429</v>
      </c>
      <c r="ND11" s="6">
        <v>4275</v>
      </c>
      <c r="NE11" s="6">
        <v>4627</v>
      </c>
      <c r="NF11" s="6">
        <v>9015</v>
      </c>
      <c r="NG11" s="6">
        <v>2858</v>
      </c>
      <c r="NH11" s="6">
        <v>5945</v>
      </c>
      <c r="NI11" s="6">
        <v>5663</v>
      </c>
      <c r="NJ11" s="6">
        <v>3620</v>
      </c>
      <c r="NK11" s="6">
        <v>70</v>
      </c>
      <c r="NL11" s="6">
        <v>7421</v>
      </c>
      <c r="NM11" s="6">
        <v>5884</v>
      </c>
      <c r="NN11" s="6">
        <v>988</v>
      </c>
      <c r="NO11" s="6">
        <v>3167</v>
      </c>
      <c r="NP11" s="6">
        <v>9785</v>
      </c>
      <c r="NQ11" s="6">
        <v>9323</v>
      </c>
      <c r="NR11" s="6">
        <v>5663</v>
      </c>
      <c r="NS11" s="6">
        <v>8581</v>
      </c>
      <c r="NT11" s="6">
        <v>1988</v>
      </c>
      <c r="NU11" s="6">
        <v>9464</v>
      </c>
      <c r="NV11" s="6">
        <v>3414</v>
      </c>
      <c r="NW11" s="6">
        <v>4605</v>
      </c>
      <c r="NX11" s="6">
        <v>7709</v>
      </c>
      <c r="NY11" s="6">
        <v>3086</v>
      </c>
      <c r="NZ11" s="6">
        <v>7478</v>
      </c>
      <c r="OA11" s="6">
        <v>8625</v>
      </c>
      <c r="OB11" s="6">
        <v>6690</v>
      </c>
      <c r="OC11" s="6">
        <v>9969</v>
      </c>
      <c r="OD11" s="6">
        <v>3226</v>
      </c>
      <c r="OE11" s="6">
        <v>8720</v>
      </c>
      <c r="OF11" s="6">
        <v>5689</v>
      </c>
      <c r="OG11" s="6">
        <v>2273</v>
      </c>
      <c r="OH11" s="6">
        <v>8048</v>
      </c>
      <c r="OI11" s="6">
        <v>5532</v>
      </c>
      <c r="OJ11" s="6">
        <v>4668</v>
      </c>
      <c r="OK11" s="6">
        <v>7032</v>
      </c>
      <c r="OL11" s="6">
        <v>6918</v>
      </c>
      <c r="OM11" s="6">
        <v>5699</v>
      </c>
      <c r="ON11" s="6">
        <v>1751</v>
      </c>
      <c r="OO11" s="6">
        <v>363</v>
      </c>
      <c r="OP11" s="6">
        <v>3951</v>
      </c>
      <c r="OQ11" s="6">
        <v>1787</v>
      </c>
      <c r="OR11" s="6">
        <v>4710</v>
      </c>
      <c r="OS11" s="6">
        <v>3547</v>
      </c>
      <c r="OT11" s="6">
        <v>1000</v>
      </c>
      <c r="OU11" s="6">
        <v>5424</v>
      </c>
      <c r="OV11" s="6">
        <v>6986</v>
      </c>
      <c r="OW11" s="6">
        <v>3055</v>
      </c>
      <c r="OX11" s="6">
        <v>4456</v>
      </c>
      <c r="OY11" s="6">
        <v>8714</v>
      </c>
      <c r="OZ11" s="6">
        <v>5780</v>
      </c>
      <c r="PA11" s="6">
        <v>8968</v>
      </c>
      <c r="PB11" s="6">
        <v>5280</v>
      </c>
      <c r="PC11" s="6">
        <v>2783</v>
      </c>
      <c r="PD11" s="6">
        <v>5011</v>
      </c>
      <c r="PE11" s="6">
        <v>1194</v>
      </c>
      <c r="PF11" s="6">
        <v>1420</v>
      </c>
      <c r="PG11" s="8">
        <v>4341</v>
      </c>
    </row>
    <row r="12" spans="1:423" s="19" customFormat="1" ht="19.149999999999999" customHeight="1" x14ac:dyDescent="0.6">
      <c r="A12" s="32" t="s">
        <v>15</v>
      </c>
      <c r="B12" s="20">
        <v>6685</v>
      </c>
      <c r="C12" s="21">
        <v>1738</v>
      </c>
      <c r="D12" s="21">
        <v>2839</v>
      </c>
      <c r="E12" s="21">
        <v>928</v>
      </c>
      <c r="F12" s="21">
        <v>4734</v>
      </c>
      <c r="G12" s="21">
        <v>1686</v>
      </c>
      <c r="H12" s="21">
        <v>6009</v>
      </c>
      <c r="I12" s="21">
        <v>417</v>
      </c>
      <c r="J12" s="21">
        <v>3396</v>
      </c>
      <c r="K12" s="21">
        <v>4305</v>
      </c>
      <c r="L12" s="21">
        <v>4939</v>
      </c>
      <c r="M12" s="21">
        <v>625</v>
      </c>
      <c r="N12" s="21">
        <v>6390</v>
      </c>
      <c r="O12" s="21">
        <v>738</v>
      </c>
      <c r="P12" s="21">
        <v>8826</v>
      </c>
      <c r="Q12" s="21">
        <v>7094</v>
      </c>
      <c r="R12" s="21">
        <v>9940</v>
      </c>
      <c r="S12" s="21">
        <v>9757</v>
      </c>
      <c r="T12" s="21">
        <v>9393</v>
      </c>
      <c r="U12" s="22">
        <v>3444</v>
      </c>
      <c r="V12" s="15"/>
      <c r="W12" s="1">
        <v>0</v>
      </c>
      <c r="X12" s="40" t="s">
        <v>414</v>
      </c>
      <c r="Y12" s="7">
        <v>861</v>
      </c>
      <c r="Z12" s="6">
        <v>2586</v>
      </c>
      <c r="AA12" s="6">
        <v>4549</v>
      </c>
      <c r="AB12" s="6">
        <v>5564</v>
      </c>
      <c r="AC12" s="8">
        <v>3405</v>
      </c>
      <c r="AD12" s="37">
        <v>3483</v>
      </c>
      <c r="AE12" s="6">
        <v>7485</v>
      </c>
      <c r="AF12" s="6">
        <v>5967</v>
      </c>
      <c r="AG12" s="6">
        <v>2114</v>
      </c>
      <c r="AH12" s="6">
        <v>5581</v>
      </c>
      <c r="AI12" s="6">
        <v>7833</v>
      </c>
      <c r="AJ12" s="6">
        <v>6237</v>
      </c>
      <c r="AK12" s="6">
        <v>413</v>
      </c>
      <c r="AL12" s="6">
        <v>2404</v>
      </c>
      <c r="AM12" s="6">
        <v>8587</v>
      </c>
      <c r="AN12" s="6">
        <v>2557</v>
      </c>
      <c r="AO12" s="6">
        <v>5255</v>
      </c>
      <c r="AP12" s="6">
        <v>2075</v>
      </c>
      <c r="AQ12" s="6">
        <v>604</v>
      </c>
      <c r="AR12" s="6">
        <v>318</v>
      </c>
      <c r="AS12" s="6">
        <v>3016</v>
      </c>
      <c r="AT12" s="6">
        <v>6803</v>
      </c>
      <c r="AU12" s="6">
        <v>7152</v>
      </c>
      <c r="AV12" s="6">
        <v>9774</v>
      </c>
      <c r="AW12" s="6">
        <v>1772</v>
      </c>
      <c r="AX12" s="6">
        <v>8718</v>
      </c>
      <c r="AY12" s="6">
        <v>5373</v>
      </c>
      <c r="AZ12" s="6">
        <v>3160</v>
      </c>
      <c r="BA12" s="6">
        <v>2330</v>
      </c>
      <c r="BB12" s="6">
        <v>4675</v>
      </c>
      <c r="BC12" s="6">
        <v>8734</v>
      </c>
      <c r="BD12" s="6">
        <v>5837</v>
      </c>
      <c r="BE12" s="6">
        <v>7642</v>
      </c>
      <c r="BF12" s="6">
        <v>7387</v>
      </c>
      <c r="BG12" s="6">
        <v>4868</v>
      </c>
      <c r="BH12" s="6">
        <v>4630</v>
      </c>
      <c r="BI12" s="6">
        <v>5373</v>
      </c>
      <c r="BJ12" s="6">
        <v>6820</v>
      </c>
      <c r="BK12" s="6">
        <v>6832</v>
      </c>
      <c r="BL12" s="6">
        <v>3038</v>
      </c>
      <c r="BM12" s="6">
        <v>9089</v>
      </c>
      <c r="BN12" s="6">
        <v>8806</v>
      </c>
      <c r="BO12" s="6">
        <v>7751</v>
      </c>
      <c r="BP12" s="6">
        <v>505</v>
      </c>
      <c r="BQ12" s="6">
        <v>2166</v>
      </c>
      <c r="BR12" s="6">
        <v>6993</v>
      </c>
      <c r="BS12" s="6">
        <v>3565</v>
      </c>
      <c r="BT12" s="6">
        <v>5131</v>
      </c>
      <c r="BU12" s="6">
        <v>3192</v>
      </c>
      <c r="BV12" s="6">
        <v>6237</v>
      </c>
      <c r="BW12" s="6">
        <v>6363</v>
      </c>
      <c r="BX12" s="6">
        <v>8329</v>
      </c>
      <c r="BY12" s="6">
        <v>8926</v>
      </c>
      <c r="BZ12" s="6">
        <v>5093</v>
      </c>
      <c r="CA12" s="6">
        <v>1751</v>
      </c>
      <c r="CB12" s="6">
        <v>4014</v>
      </c>
      <c r="CC12" s="6">
        <v>7100</v>
      </c>
      <c r="CD12" s="6">
        <v>1380</v>
      </c>
      <c r="CE12" s="6">
        <v>4093</v>
      </c>
      <c r="CF12" s="6">
        <v>7593</v>
      </c>
      <c r="CG12" s="6">
        <v>4681</v>
      </c>
      <c r="CH12" s="6">
        <v>9877</v>
      </c>
      <c r="CI12" s="6">
        <v>8459</v>
      </c>
      <c r="CJ12" s="6">
        <v>5868</v>
      </c>
      <c r="CK12" s="6">
        <v>9422</v>
      </c>
      <c r="CL12" s="6">
        <v>5734</v>
      </c>
      <c r="CM12" s="6">
        <v>8842</v>
      </c>
      <c r="CN12" s="6">
        <v>980</v>
      </c>
      <c r="CO12" s="6">
        <v>2164</v>
      </c>
      <c r="CP12" s="6">
        <v>9246</v>
      </c>
      <c r="CQ12" s="6">
        <v>8044</v>
      </c>
      <c r="CR12" s="6">
        <v>4869</v>
      </c>
      <c r="CS12" s="6">
        <v>2208</v>
      </c>
      <c r="CT12" s="6">
        <v>6942</v>
      </c>
      <c r="CU12" s="6">
        <v>6122</v>
      </c>
      <c r="CV12" s="6">
        <v>2661</v>
      </c>
      <c r="CW12" s="6">
        <v>6941</v>
      </c>
      <c r="CX12" s="6">
        <v>3837</v>
      </c>
      <c r="CY12" s="6">
        <v>1950</v>
      </c>
      <c r="CZ12" s="6">
        <v>1126</v>
      </c>
      <c r="DA12" s="6">
        <v>2480</v>
      </c>
      <c r="DB12" s="6">
        <v>2900</v>
      </c>
      <c r="DC12" s="6">
        <v>949</v>
      </c>
      <c r="DD12" s="6">
        <v>9172</v>
      </c>
      <c r="DE12" s="6">
        <v>1567</v>
      </c>
      <c r="DF12" s="6">
        <v>6424</v>
      </c>
      <c r="DG12" s="6">
        <v>4555</v>
      </c>
      <c r="DH12" s="6">
        <v>6352</v>
      </c>
      <c r="DI12" s="6">
        <v>3859</v>
      </c>
      <c r="DJ12" s="6">
        <v>2252</v>
      </c>
      <c r="DK12" s="6">
        <v>4223</v>
      </c>
      <c r="DL12" s="6">
        <v>8435</v>
      </c>
      <c r="DM12" s="6">
        <v>3945</v>
      </c>
      <c r="DN12" s="6">
        <v>7320</v>
      </c>
      <c r="DO12" s="6">
        <v>5964</v>
      </c>
      <c r="DP12" s="6">
        <v>7488</v>
      </c>
      <c r="DQ12" s="6">
        <v>1363</v>
      </c>
      <c r="DR12" s="6">
        <v>6090</v>
      </c>
      <c r="DS12" s="6">
        <v>1390</v>
      </c>
      <c r="DT12" s="6">
        <v>2910</v>
      </c>
      <c r="DU12" s="6">
        <v>1811</v>
      </c>
      <c r="DV12" s="6">
        <v>1539</v>
      </c>
      <c r="DW12" s="6">
        <v>6444</v>
      </c>
      <c r="DX12" s="6">
        <v>8677</v>
      </c>
      <c r="DY12" s="6">
        <v>2608</v>
      </c>
      <c r="DZ12" s="6">
        <v>4322</v>
      </c>
      <c r="EA12" s="6">
        <v>2685</v>
      </c>
      <c r="EB12" s="6">
        <v>9927</v>
      </c>
      <c r="EC12" s="6">
        <v>5411</v>
      </c>
      <c r="ED12" s="6">
        <v>8953</v>
      </c>
      <c r="EE12" s="6">
        <v>1734</v>
      </c>
      <c r="EF12" s="6">
        <v>9270</v>
      </c>
      <c r="EG12" s="6">
        <v>3626</v>
      </c>
      <c r="EH12" s="6">
        <v>2995</v>
      </c>
      <c r="EI12" s="6">
        <v>626</v>
      </c>
      <c r="EJ12" s="6">
        <v>1128</v>
      </c>
      <c r="EK12" s="6">
        <v>6314</v>
      </c>
      <c r="EL12" s="6">
        <v>1627</v>
      </c>
      <c r="EM12" s="6">
        <v>742</v>
      </c>
      <c r="EN12" s="6">
        <v>1818</v>
      </c>
      <c r="EO12" s="6">
        <v>8972</v>
      </c>
      <c r="EP12" s="6">
        <v>3403</v>
      </c>
      <c r="EQ12" s="6">
        <v>185</v>
      </c>
      <c r="ER12" s="6">
        <v>7283</v>
      </c>
      <c r="ES12" s="6">
        <v>3866</v>
      </c>
      <c r="ET12" s="6">
        <v>3955</v>
      </c>
      <c r="EU12" s="6">
        <v>6289</v>
      </c>
      <c r="EV12" s="6">
        <v>4538</v>
      </c>
      <c r="EW12" s="6">
        <v>2280</v>
      </c>
      <c r="EX12" s="6">
        <v>7521</v>
      </c>
      <c r="EY12" s="6">
        <v>2773</v>
      </c>
      <c r="EZ12" s="6">
        <v>9615</v>
      </c>
      <c r="FA12" s="6">
        <v>3179</v>
      </c>
      <c r="FB12" s="6">
        <v>9820</v>
      </c>
      <c r="FC12" s="6">
        <v>6779</v>
      </c>
      <c r="FD12" s="6">
        <v>5104</v>
      </c>
      <c r="FE12" s="6">
        <v>3774</v>
      </c>
      <c r="FF12" s="6">
        <v>1197</v>
      </c>
      <c r="FG12" s="6">
        <v>3981</v>
      </c>
      <c r="FH12" s="6">
        <v>3607</v>
      </c>
      <c r="FI12" s="6">
        <v>3912</v>
      </c>
      <c r="FJ12" s="6">
        <v>4020</v>
      </c>
      <c r="FK12" s="6">
        <v>6031</v>
      </c>
      <c r="FL12" s="6">
        <v>255</v>
      </c>
      <c r="FM12" s="6">
        <v>5493</v>
      </c>
      <c r="FN12" s="6">
        <v>8558</v>
      </c>
      <c r="FO12" s="6">
        <v>633</v>
      </c>
      <c r="FP12" s="6">
        <v>8933</v>
      </c>
      <c r="FQ12" s="6">
        <v>3662</v>
      </c>
      <c r="FR12" s="6">
        <v>6318</v>
      </c>
      <c r="FS12" s="6">
        <v>1435</v>
      </c>
      <c r="FT12" s="6">
        <v>8381</v>
      </c>
      <c r="FU12" s="6">
        <v>5518</v>
      </c>
      <c r="FV12" s="6">
        <v>4573</v>
      </c>
      <c r="FW12" s="6">
        <v>1852</v>
      </c>
      <c r="FX12" s="6">
        <v>133</v>
      </c>
      <c r="FY12" s="6">
        <v>6627</v>
      </c>
      <c r="FZ12" s="6">
        <v>5367</v>
      </c>
      <c r="GA12" s="6">
        <v>3676</v>
      </c>
      <c r="GB12" s="6">
        <v>9050</v>
      </c>
      <c r="GC12" s="6">
        <v>6615</v>
      </c>
      <c r="GD12" s="6">
        <v>9335</v>
      </c>
      <c r="GE12" s="6">
        <v>9825</v>
      </c>
      <c r="GF12" s="6">
        <v>6270</v>
      </c>
      <c r="GG12" s="6">
        <v>6436</v>
      </c>
      <c r="GH12" s="6">
        <v>5335</v>
      </c>
      <c r="GI12" s="6">
        <v>9703</v>
      </c>
      <c r="GJ12" s="6">
        <v>2294</v>
      </c>
      <c r="GK12" s="6">
        <v>7709</v>
      </c>
      <c r="GL12" s="6">
        <v>5418</v>
      </c>
      <c r="GM12" s="6">
        <v>4119</v>
      </c>
      <c r="GN12" s="6">
        <v>2636</v>
      </c>
      <c r="GO12" s="6">
        <v>8130</v>
      </c>
      <c r="GP12" s="6">
        <v>1291</v>
      </c>
      <c r="GQ12" s="6">
        <v>3413</v>
      </c>
      <c r="GR12" s="6">
        <v>1515</v>
      </c>
      <c r="GS12" s="6">
        <v>2584</v>
      </c>
      <c r="GT12" s="6">
        <v>4532</v>
      </c>
      <c r="GU12" s="6">
        <v>2969</v>
      </c>
      <c r="GV12" s="6">
        <v>6852</v>
      </c>
      <c r="GW12" s="6">
        <v>3243</v>
      </c>
      <c r="GX12" s="6">
        <v>3922</v>
      </c>
      <c r="GY12" s="6">
        <v>4714</v>
      </c>
      <c r="GZ12" s="6">
        <v>4265</v>
      </c>
      <c r="HA12" s="6">
        <v>6062</v>
      </c>
      <c r="HB12" s="6">
        <v>3482</v>
      </c>
      <c r="HC12" s="6">
        <v>4821</v>
      </c>
      <c r="HD12" s="6">
        <v>1919</v>
      </c>
      <c r="HE12" s="6">
        <v>3909</v>
      </c>
      <c r="HF12" s="6">
        <v>3587</v>
      </c>
      <c r="HG12" s="6">
        <v>9767</v>
      </c>
      <c r="HH12" s="6">
        <v>9825</v>
      </c>
      <c r="HI12" s="6">
        <v>5653</v>
      </c>
      <c r="HJ12" s="6">
        <v>9630</v>
      </c>
      <c r="HK12" s="6">
        <v>4006</v>
      </c>
      <c r="HL12" s="6">
        <v>9994</v>
      </c>
      <c r="HM12" s="6">
        <v>9241</v>
      </c>
      <c r="HN12" s="6">
        <v>9717</v>
      </c>
      <c r="HO12" s="6">
        <v>5574</v>
      </c>
      <c r="HP12" s="6">
        <v>8637</v>
      </c>
      <c r="HQ12" s="6">
        <v>590</v>
      </c>
      <c r="HR12" s="6">
        <v>7292</v>
      </c>
      <c r="HS12" s="6">
        <v>9987</v>
      </c>
      <c r="HT12" s="6">
        <v>8867</v>
      </c>
      <c r="HU12" s="6">
        <v>2928</v>
      </c>
      <c r="HV12" s="6">
        <v>182</v>
      </c>
      <c r="HW12" s="6">
        <v>1279</v>
      </c>
      <c r="HX12" s="6">
        <v>7505</v>
      </c>
      <c r="HY12" s="6">
        <v>8821</v>
      </c>
      <c r="HZ12" s="6">
        <v>6940</v>
      </c>
      <c r="IA12" s="6">
        <v>782</v>
      </c>
      <c r="IB12" s="6">
        <v>9125</v>
      </c>
      <c r="IC12" s="6">
        <v>3450</v>
      </c>
      <c r="ID12" s="6">
        <v>8261</v>
      </c>
      <c r="IE12" s="6">
        <v>3167</v>
      </c>
      <c r="IF12" s="6">
        <v>6721</v>
      </c>
      <c r="IG12" s="6">
        <v>4729</v>
      </c>
      <c r="IH12" s="6">
        <v>6484</v>
      </c>
      <c r="II12" s="6">
        <v>7477</v>
      </c>
      <c r="IJ12" s="6">
        <v>9656</v>
      </c>
      <c r="IK12" s="6">
        <v>4164</v>
      </c>
      <c r="IL12" s="6">
        <v>2204</v>
      </c>
      <c r="IM12" s="6">
        <v>4401</v>
      </c>
      <c r="IN12" s="6">
        <v>1212</v>
      </c>
      <c r="IO12" s="6">
        <v>412</v>
      </c>
      <c r="IP12" s="6">
        <v>9330</v>
      </c>
      <c r="IQ12" s="6">
        <v>4282</v>
      </c>
      <c r="IR12" s="6">
        <v>4110</v>
      </c>
      <c r="IS12" s="6">
        <v>3155</v>
      </c>
      <c r="IT12" s="6">
        <v>4766</v>
      </c>
      <c r="IU12" s="6">
        <v>7740</v>
      </c>
      <c r="IV12" s="6">
        <v>1141</v>
      </c>
      <c r="IW12" s="6">
        <v>7202</v>
      </c>
      <c r="IX12" s="6">
        <v>5151</v>
      </c>
      <c r="IY12" s="6">
        <v>5556</v>
      </c>
      <c r="IZ12" s="6">
        <v>8735</v>
      </c>
      <c r="JA12" s="6">
        <v>3095</v>
      </c>
      <c r="JB12" s="6">
        <v>8315</v>
      </c>
      <c r="JC12" s="6">
        <v>5457</v>
      </c>
      <c r="JD12" s="6">
        <v>287</v>
      </c>
      <c r="JE12" s="6">
        <v>2206</v>
      </c>
      <c r="JF12" s="6">
        <v>4840</v>
      </c>
      <c r="JG12" s="6">
        <v>4305</v>
      </c>
      <c r="JH12" s="6">
        <v>8089</v>
      </c>
      <c r="JI12" s="6">
        <v>5686</v>
      </c>
      <c r="JJ12" s="6">
        <v>3404</v>
      </c>
      <c r="JK12" s="6">
        <v>4862</v>
      </c>
      <c r="JL12" s="6">
        <v>4093</v>
      </c>
      <c r="JM12" s="6">
        <v>124</v>
      </c>
      <c r="JN12" s="6">
        <v>9519</v>
      </c>
      <c r="JO12" s="6">
        <v>4399</v>
      </c>
      <c r="JP12" s="6">
        <v>6156</v>
      </c>
      <c r="JQ12" s="6">
        <v>3645</v>
      </c>
      <c r="JR12" s="6">
        <v>3915</v>
      </c>
      <c r="JS12" s="6">
        <v>1091</v>
      </c>
      <c r="JT12" s="6">
        <v>8830</v>
      </c>
      <c r="JU12" s="6">
        <v>5168</v>
      </c>
      <c r="JV12" s="6">
        <v>4201</v>
      </c>
      <c r="JW12" s="6">
        <v>9080</v>
      </c>
      <c r="JX12" s="6">
        <v>3859</v>
      </c>
      <c r="JY12" s="6">
        <v>4088</v>
      </c>
      <c r="JZ12" s="6">
        <v>4878</v>
      </c>
      <c r="KA12" s="6">
        <v>2824</v>
      </c>
      <c r="KB12" s="6">
        <v>1179</v>
      </c>
      <c r="KC12" s="6">
        <v>1518</v>
      </c>
      <c r="KD12" s="6">
        <v>2879</v>
      </c>
      <c r="KE12" s="6">
        <v>153</v>
      </c>
      <c r="KF12" s="6">
        <v>2621</v>
      </c>
      <c r="KG12" s="6">
        <v>2835</v>
      </c>
      <c r="KH12" s="6">
        <v>9788</v>
      </c>
      <c r="KI12" s="6">
        <v>1193</v>
      </c>
      <c r="KJ12" s="6">
        <v>2496</v>
      </c>
      <c r="KK12" s="6">
        <v>3872</v>
      </c>
      <c r="KL12" s="6">
        <v>4085</v>
      </c>
      <c r="KM12" s="6">
        <v>995</v>
      </c>
      <c r="KN12" s="6">
        <v>5734</v>
      </c>
      <c r="KO12" s="6">
        <v>44</v>
      </c>
      <c r="KP12" s="6">
        <v>5966</v>
      </c>
      <c r="KQ12" s="6">
        <v>3382</v>
      </c>
      <c r="KR12" s="6">
        <v>9983</v>
      </c>
      <c r="KS12" s="6">
        <v>4633</v>
      </c>
      <c r="KT12" s="6">
        <v>4177</v>
      </c>
      <c r="KU12" s="6">
        <v>4094</v>
      </c>
      <c r="KV12" s="6">
        <v>6632</v>
      </c>
      <c r="KW12" s="6">
        <v>4984</v>
      </c>
      <c r="KX12" s="6">
        <v>4996</v>
      </c>
      <c r="KY12" s="6">
        <v>9476</v>
      </c>
      <c r="KZ12" s="6">
        <v>7306</v>
      </c>
      <c r="LA12" s="6">
        <v>9284</v>
      </c>
      <c r="LB12" s="6">
        <v>6477</v>
      </c>
      <c r="LC12" s="6">
        <v>9652</v>
      </c>
      <c r="LD12" s="6">
        <v>1761</v>
      </c>
      <c r="LE12" s="6">
        <v>6308</v>
      </c>
      <c r="LF12" s="6">
        <v>8883</v>
      </c>
      <c r="LG12" s="6">
        <v>1832</v>
      </c>
      <c r="LH12" s="6">
        <v>6002</v>
      </c>
      <c r="LI12" s="6">
        <v>480</v>
      </c>
      <c r="LJ12" s="6">
        <v>2618</v>
      </c>
      <c r="LK12" s="6">
        <v>7527</v>
      </c>
      <c r="LL12" s="6">
        <v>8575</v>
      </c>
      <c r="LM12" s="6">
        <v>1841</v>
      </c>
      <c r="LN12" s="6">
        <v>7704</v>
      </c>
      <c r="LO12" s="6">
        <v>5571</v>
      </c>
      <c r="LP12" s="6">
        <v>8846</v>
      </c>
      <c r="LQ12" s="6">
        <v>1245</v>
      </c>
      <c r="LR12" s="6">
        <v>5704</v>
      </c>
      <c r="LS12" s="6">
        <v>1375</v>
      </c>
      <c r="LT12" s="6">
        <v>6214</v>
      </c>
      <c r="LU12" s="6">
        <v>4015</v>
      </c>
      <c r="LV12" s="6">
        <v>7841</v>
      </c>
      <c r="LW12" s="6">
        <v>2942</v>
      </c>
      <c r="LX12" s="6">
        <v>1658</v>
      </c>
      <c r="LY12" s="6">
        <v>7815</v>
      </c>
      <c r="LZ12" s="6">
        <v>7122</v>
      </c>
      <c r="MA12" s="6">
        <v>8127</v>
      </c>
      <c r="MB12" s="6">
        <v>7949</v>
      </c>
      <c r="MC12" s="6">
        <v>646</v>
      </c>
      <c r="MD12" s="6">
        <v>8487</v>
      </c>
      <c r="ME12" s="6">
        <v>4013</v>
      </c>
      <c r="MF12" s="6">
        <v>4508</v>
      </c>
      <c r="MG12" s="6">
        <v>2010</v>
      </c>
      <c r="MH12" s="6">
        <v>952</v>
      </c>
      <c r="MI12" s="6">
        <v>3142</v>
      </c>
      <c r="MJ12" s="6">
        <v>8960</v>
      </c>
      <c r="MK12" s="6">
        <v>9953</v>
      </c>
      <c r="ML12" s="6">
        <v>2035</v>
      </c>
      <c r="MM12" s="6">
        <v>3972</v>
      </c>
      <c r="MN12" s="6">
        <v>2281</v>
      </c>
      <c r="MO12" s="6">
        <v>5850</v>
      </c>
      <c r="MP12" s="6">
        <v>858</v>
      </c>
      <c r="MQ12" s="6">
        <v>567</v>
      </c>
      <c r="MR12" s="6">
        <v>5718</v>
      </c>
      <c r="MS12" s="6">
        <v>5243</v>
      </c>
      <c r="MT12" s="6">
        <v>3150</v>
      </c>
      <c r="MU12" s="6">
        <v>7597</v>
      </c>
      <c r="MV12" s="6">
        <v>8439</v>
      </c>
      <c r="MW12" s="6">
        <v>9871</v>
      </c>
      <c r="MX12" s="6">
        <v>4852</v>
      </c>
      <c r="MY12" s="6">
        <v>7871</v>
      </c>
      <c r="MZ12" s="6">
        <v>1909</v>
      </c>
      <c r="NA12" s="6">
        <v>1330</v>
      </c>
      <c r="NB12" s="6">
        <v>9598</v>
      </c>
      <c r="NC12" s="6">
        <v>7551</v>
      </c>
      <c r="ND12" s="6">
        <v>2723</v>
      </c>
      <c r="NE12" s="6">
        <v>9515</v>
      </c>
      <c r="NF12" s="6">
        <v>8625</v>
      </c>
      <c r="NG12" s="6">
        <v>6700</v>
      </c>
      <c r="NH12" s="6">
        <v>4573</v>
      </c>
      <c r="NI12" s="6">
        <v>3561</v>
      </c>
      <c r="NJ12" s="6">
        <v>7669</v>
      </c>
      <c r="NK12" s="6">
        <v>1696</v>
      </c>
      <c r="NL12" s="6">
        <v>165</v>
      </c>
      <c r="NM12" s="6">
        <v>704</v>
      </c>
      <c r="NN12" s="6">
        <v>5594</v>
      </c>
      <c r="NO12" s="6">
        <v>796</v>
      </c>
      <c r="NP12" s="6">
        <v>8442</v>
      </c>
      <c r="NQ12" s="6">
        <v>4994</v>
      </c>
      <c r="NR12" s="6">
        <v>9540</v>
      </c>
      <c r="NS12" s="6">
        <v>1704</v>
      </c>
      <c r="NT12" s="6">
        <v>9449</v>
      </c>
      <c r="NU12" s="6">
        <v>5032</v>
      </c>
      <c r="NV12" s="6">
        <v>1964</v>
      </c>
      <c r="NW12" s="6">
        <v>3929</v>
      </c>
      <c r="NX12" s="6">
        <v>8094</v>
      </c>
      <c r="NY12" s="6">
        <v>787</v>
      </c>
      <c r="NZ12" s="6">
        <v>1525</v>
      </c>
      <c r="OA12" s="6">
        <v>6200</v>
      </c>
      <c r="OB12" s="6">
        <v>3109</v>
      </c>
      <c r="OC12" s="6">
        <v>7535</v>
      </c>
      <c r="OD12" s="6">
        <v>2170</v>
      </c>
      <c r="OE12" s="6">
        <v>8650</v>
      </c>
      <c r="OF12" s="6">
        <v>760</v>
      </c>
      <c r="OG12" s="6">
        <v>4028</v>
      </c>
      <c r="OH12" s="6">
        <v>84</v>
      </c>
      <c r="OI12" s="6">
        <v>7736</v>
      </c>
      <c r="OJ12" s="6">
        <v>1932</v>
      </c>
      <c r="OK12" s="6">
        <v>7240</v>
      </c>
      <c r="OL12" s="6">
        <v>6537</v>
      </c>
      <c r="OM12" s="6">
        <v>7686</v>
      </c>
      <c r="ON12" s="6">
        <v>2390</v>
      </c>
      <c r="OO12" s="6">
        <v>1031</v>
      </c>
      <c r="OP12" s="6">
        <v>6717</v>
      </c>
      <c r="OQ12" s="6">
        <v>8756</v>
      </c>
      <c r="OR12" s="6">
        <v>4060</v>
      </c>
      <c r="OS12" s="6">
        <v>40</v>
      </c>
      <c r="OT12" s="6">
        <v>5694</v>
      </c>
      <c r="OU12" s="6">
        <v>8666</v>
      </c>
      <c r="OV12" s="6">
        <v>66</v>
      </c>
      <c r="OW12" s="6">
        <v>7546</v>
      </c>
      <c r="OX12" s="6">
        <v>6715</v>
      </c>
      <c r="OY12" s="6">
        <v>4850</v>
      </c>
      <c r="OZ12" s="6">
        <v>3382</v>
      </c>
      <c r="PA12" s="6">
        <v>8145</v>
      </c>
      <c r="PB12" s="6">
        <v>3968</v>
      </c>
      <c r="PC12" s="6">
        <v>2419</v>
      </c>
      <c r="PD12" s="6">
        <v>200</v>
      </c>
      <c r="PE12" s="6">
        <v>8019</v>
      </c>
      <c r="PF12" s="6">
        <v>3417</v>
      </c>
      <c r="PG12" s="8">
        <v>5211</v>
      </c>
    </row>
    <row r="13" spans="1:423" s="19" customFormat="1" ht="19.149999999999999" customHeight="1" x14ac:dyDescent="0.6">
      <c r="A13" s="32" t="s">
        <v>16</v>
      </c>
      <c r="B13" s="20">
        <v>6849</v>
      </c>
      <c r="C13" s="21">
        <v>8927</v>
      </c>
      <c r="D13" s="21">
        <v>6417</v>
      </c>
      <c r="E13" s="21">
        <v>6016</v>
      </c>
      <c r="F13" s="21">
        <v>9788</v>
      </c>
      <c r="G13" s="21">
        <v>4773</v>
      </c>
      <c r="H13" s="21">
        <v>486</v>
      </c>
      <c r="I13" s="21">
        <v>1735</v>
      </c>
      <c r="J13" s="21">
        <v>3009</v>
      </c>
      <c r="K13" s="21">
        <v>8610</v>
      </c>
      <c r="L13" s="21">
        <v>2566</v>
      </c>
      <c r="M13" s="21">
        <v>6010</v>
      </c>
      <c r="N13" s="21">
        <v>8891</v>
      </c>
      <c r="O13" s="21">
        <v>6625</v>
      </c>
      <c r="P13" s="21">
        <v>5687</v>
      </c>
      <c r="Q13" s="21">
        <v>3210</v>
      </c>
      <c r="R13" s="21">
        <v>6941</v>
      </c>
      <c r="S13" s="21">
        <v>3843</v>
      </c>
      <c r="T13" s="21">
        <v>2748</v>
      </c>
      <c r="U13" s="22">
        <v>144</v>
      </c>
      <c r="V13" s="15"/>
      <c r="W13" s="1">
        <v>0</v>
      </c>
      <c r="X13" s="40" t="s">
        <v>415</v>
      </c>
      <c r="Y13" s="7">
        <v>1430</v>
      </c>
      <c r="Z13" s="6">
        <v>7102</v>
      </c>
      <c r="AA13" s="6">
        <v>2216</v>
      </c>
      <c r="AB13" s="6">
        <v>4130</v>
      </c>
      <c r="AC13" s="8">
        <v>5430</v>
      </c>
      <c r="AD13" s="37">
        <v>9059</v>
      </c>
      <c r="AE13" s="6">
        <v>6866</v>
      </c>
      <c r="AF13" s="6">
        <v>8697</v>
      </c>
      <c r="AG13" s="6">
        <v>4059</v>
      </c>
      <c r="AH13" s="6">
        <v>4860</v>
      </c>
      <c r="AI13" s="6">
        <v>7454</v>
      </c>
      <c r="AJ13" s="6">
        <v>4329</v>
      </c>
      <c r="AK13" s="6">
        <v>1551</v>
      </c>
      <c r="AL13" s="6">
        <v>1233</v>
      </c>
      <c r="AM13" s="6">
        <v>1135</v>
      </c>
      <c r="AN13" s="6">
        <v>159</v>
      </c>
      <c r="AO13" s="6">
        <v>1358</v>
      </c>
      <c r="AP13" s="6">
        <v>4208</v>
      </c>
      <c r="AQ13" s="6">
        <v>2881</v>
      </c>
      <c r="AR13" s="6">
        <v>6304</v>
      </c>
      <c r="AS13" s="6">
        <v>6346</v>
      </c>
      <c r="AT13" s="6">
        <v>1993</v>
      </c>
      <c r="AU13" s="6">
        <v>5281</v>
      </c>
      <c r="AV13" s="6">
        <v>3223</v>
      </c>
      <c r="AW13" s="6">
        <v>4800</v>
      </c>
      <c r="AX13" s="6">
        <v>9623</v>
      </c>
      <c r="AY13" s="6">
        <v>8640</v>
      </c>
      <c r="AZ13" s="6">
        <v>1952</v>
      </c>
      <c r="BA13" s="6">
        <v>9518</v>
      </c>
      <c r="BB13" s="6">
        <v>9138</v>
      </c>
      <c r="BC13" s="6">
        <v>9437</v>
      </c>
      <c r="BD13" s="6">
        <v>7462</v>
      </c>
      <c r="BE13" s="6">
        <v>9337</v>
      </c>
      <c r="BF13" s="6">
        <v>6043</v>
      </c>
      <c r="BG13" s="6">
        <v>6908</v>
      </c>
      <c r="BH13" s="6">
        <v>423</v>
      </c>
      <c r="BI13" s="6">
        <v>130</v>
      </c>
      <c r="BJ13" s="6">
        <v>7015</v>
      </c>
      <c r="BK13" s="6">
        <v>6288</v>
      </c>
      <c r="BL13" s="6">
        <v>9949</v>
      </c>
      <c r="BM13" s="6">
        <v>7858</v>
      </c>
      <c r="BN13" s="6">
        <v>2596</v>
      </c>
      <c r="BO13" s="6">
        <v>5283</v>
      </c>
      <c r="BP13" s="6">
        <v>4089</v>
      </c>
      <c r="BQ13" s="6">
        <v>145</v>
      </c>
      <c r="BR13" s="6">
        <v>6238</v>
      </c>
      <c r="BS13" s="6">
        <v>6112</v>
      </c>
      <c r="BT13" s="6">
        <v>9868</v>
      </c>
      <c r="BU13" s="6">
        <v>5733</v>
      </c>
      <c r="BV13" s="6">
        <v>6549</v>
      </c>
      <c r="BW13" s="6">
        <v>7208</v>
      </c>
      <c r="BX13" s="6">
        <v>8141</v>
      </c>
      <c r="BY13" s="6">
        <v>4500</v>
      </c>
      <c r="BZ13" s="6">
        <v>6276</v>
      </c>
      <c r="CA13" s="6">
        <v>3423</v>
      </c>
      <c r="CB13" s="6">
        <v>956</v>
      </c>
      <c r="CC13" s="6">
        <v>4805</v>
      </c>
      <c r="CD13" s="6">
        <v>9316</v>
      </c>
      <c r="CE13" s="6">
        <v>780</v>
      </c>
      <c r="CF13" s="6">
        <v>744</v>
      </c>
      <c r="CG13" s="6">
        <v>3619</v>
      </c>
      <c r="CH13" s="6">
        <v>3834</v>
      </c>
      <c r="CI13" s="6">
        <v>9798</v>
      </c>
      <c r="CJ13" s="6">
        <v>6277</v>
      </c>
      <c r="CK13" s="6">
        <v>2463</v>
      </c>
      <c r="CL13" s="6">
        <v>2428</v>
      </c>
      <c r="CM13" s="6">
        <v>8093</v>
      </c>
      <c r="CN13" s="6">
        <v>7987</v>
      </c>
      <c r="CO13" s="6">
        <v>533</v>
      </c>
      <c r="CP13" s="6">
        <v>8973</v>
      </c>
      <c r="CQ13" s="6">
        <v>7864</v>
      </c>
      <c r="CR13" s="6">
        <v>4217</v>
      </c>
      <c r="CS13" s="6">
        <v>6750</v>
      </c>
      <c r="CT13" s="6">
        <v>1221</v>
      </c>
      <c r="CU13" s="6">
        <v>7294</v>
      </c>
      <c r="CV13" s="6">
        <v>4505</v>
      </c>
      <c r="CW13" s="6">
        <v>3327</v>
      </c>
      <c r="CX13" s="6">
        <v>5189</v>
      </c>
      <c r="CY13" s="6">
        <v>2557</v>
      </c>
      <c r="CZ13" s="6">
        <v>8071</v>
      </c>
      <c r="DA13" s="6">
        <v>3898</v>
      </c>
      <c r="DB13" s="6">
        <v>2812</v>
      </c>
      <c r="DC13" s="6">
        <v>3619</v>
      </c>
      <c r="DD13" s="6">
        <v>4641</v>
      </c>
      <c r="DE13" s="6">
        <v>3922</v>
      </c>
      <c r="DF13" s="6">
        <v>1970</v>
      </c>
      <c r="DG13" s="6">
        <v>4630</v>
      </c>
      <c r="DH13" s="6">
        <v>3883</v>
      </c>
      <c r="DI13" s="6">
        <v>6728</v>
      </c>
      <c r="DJ13" s="6">
        <v>2390</v>
      </c>
      <c r="DK13" s="6">
        <v>9704</v>
      </c>
      <c r="DL13" s="6">
        <v>8382</v>
      </c>
      <c r="DM13" s="6">
        <v>3312</v>
      </c>
      <c r="DN13" s="6">
        <v>4668</v>
      </c>
      <c r="DO13" s="6">
        <v>6896</v>
      </c>
      <c r="DP13" s="6">
        <v>4203</v>
      </c>
      <c r="DQ13" s="6">
        <v>9004</v>
      </c>
      <c r="DR13" s="6">
        <v>1116</v>
      </c>
      <c r="DS13" s="6">
        <v>7750</v>
      </c>
      <c r="DT13" s="6">
        <v>8946</v>
      </c>
      <c r="DU13" s="6">
        <v>967</v>
      </c>
      <c r="DV13" s="6">
        <v>840</v>
      </c>
      <c r="DW13" s="6">
        <v>1087</v>
      </c>
      <c r="DX13" s="6">
        <v>5851</v>
      </c>
      <c r="DY13" s="6">
        <v>1022</v>
      </c>
      <c r="DZ13" s="6">
        <v>7280</v>
      </c>
      <c r="EA13" s="6">
        <v>3694</v>
      </c>
      <c r="EB13" s="6">
        <v>770</v>
      </c>
      <c r="EC13" s="6">
        <v>5505</v>
      </c>
      <c r="ED13" s="6">
        <v>6360</v>
      </c>
      <c r="EE13" s="6">
        <v>4374</v>
      </c>
      <c r="EF13" s="6">
        <v>3476</v>
      </c>
      <c r="EG13" s="6">
        <v>7622</v>
      </c>
      <c r="EH13" s="6">
        <v>6431</v>
      </c>
      <c r="EI13" s="6">
        <v>7121</v>
      </c>
      <c r="EJ13" s="6">
        <v>5394</v>
      </c>
      <c r="EK13" s="6">
        <v>9331</v>
      </c>
      <c r="EL13" s="6">
        <v>48</v>
      </c>
      <c r="EM13" s="6">
        <v>2195</v>
      </c>
      <c r="EN13" s="6">
        <v>3670</v>
      </c>
      <c r="EO13" s="6">
        <v>5139</v>
      </c>
      <c r="EP13" s="6">
        <v>3050</v>
      </c>
      <c r="EQ13" s="6">
        <v>771</v>
      </c>
      <c r="ER13" s="6">
        <v>3967</v>
      </c>
      <c r="ES13" s="6">
        <v>6602</v>
      </c>
      <c r="ET13" s="6">
        <v>2201</v>
      </c>
      <c r="EU13" s="6">
        <v>9870</v>
      </c>
      <c r="EV13" s="6">
        <v>6476</v>
      </c>
      <c r="EW13" s="6">
        <v>1470</v>
      </c>
      <c r="EX13" s="6">
        <v>8530</v>
      </c>
      <c r="EY13" s="6">
        <v>8146</v>
      </c>
      <c r="EZ13" s="6">
        <v>674</v>
      </c>
      <c r="FA13" s="6">
        <v>8073</v>
      </c>
      <c r="FB13" s="6">
        <v>1290</v>
      </c>
      <c r="FC13" s="6">
        <v>6243</v>
      </c>
      <c r="FD13" s="6">
        <v>6240</v>
      </c>
      <c r="FE13" s="6">
        <v>1169</v>
      </c>
      <c r="FF13" s="6">
        <v>4332</v>
      </c>
      <c r="FG13" s="6">
        <v>9630</v>
      </c>
      <c r="FH13" s="6">
        <v>4505</v>
      </c>
      <c r="FI13" s="6">
        <v>7682</v>
      </c>
      <c r="FJ13" s="6">
        <v>6214</v>
      </c>
      <c r="FK13" s="6">
        <v>3505</v>
      </c>
      <c r="FL13" s="6">
        <v>4809</v>
      </c>
      <c r="FM13" s="6">
        <v>2365</v>
      </c>
      <c r="FN13" s="6">
        <v>9326</v>
      </c>
      <c r="FO13" s="6">
        <v>1107</v>
      </c>
      <c r="FP13" s="6">
        <v>6871</v>
      </c>
      <c r="FQ13" s="6">
        <v>1322</v>
      </c>
      <c r="FR13" s="6">
        <v>2709</v>
      </c>
      <c r="FS13" s="6">
        <v>1326</v>
      </c>
      <c r="FT13" s="6">
        <v>9541</v>
      </c>
      <c r="FU13" s="6">
        <v>1008</v>
      </c>
      <c r="FV13" s="6">
        <v>5853</v>
      </c>
      <c r="FW13" s="6">
        <v>172</v>
      </c>
      <c r="FX13" s="6">
        <v>4326</v>
      </c>
      <c r="FY13" s="6">
        <v>6005</v>
      </c>
      <c r="FZ13" s="6">
        <v>3941</v>
      </c>
      <c r="GA13" s="6">
        <v>9552</v>
      </c>
      <c r="GB13" s="6">
        <v>3265</v>
      </c>
      <c r="GC13" s="6">
        <v>5365</v>
      </c>
      <c r="GD13" s="6">
        <v>3840</v>
      </c>
      <c r="GE13" s="6">
        <v>340</v>
      </c>
      <c r="GF13" s="6">
        <v>4618</v>
      </c>
      <c r="GG13" s="6">
        <v>7952</v>
      </c>
      <c r="GH13" s="6">
        <v>1132</v>
      </c>
      <c r="GI13" s="6">
        <v>32</v>
      </c>
      <c r="GJ13" s="6">
        <v>1462</v>
      </c>
      <c r="GK13" s="6">
        <v>6581</v>
      </c>
      <c r="GL13" s="6">
        <v>5928</v>
      </c>
      <c r="GM13" s="6">
        <v>7610</v>
      </c>
      <c r="GN13" s="6">
        <v>2116</v>
      </c>
      <c r="GO13" s="6">
        <v>4532</v>
      </c>
      <c r="GP13" s="6">
        <v>973</v>
      </c>
      <c r="GQ13" s="6">
        <v>5448</v>
      </c>
      <c r="GR13" s="6">
        <v>4649</v>
      </c>
      <c r="GS13" s="6">
        <v>3687</v>
      </c>
      <c r="GT13" s="6">
        <v>1208</v>
      </c>
      <c r="GU13" s="6">
        <v>1568</v>
      </c>
      <c r="GV13" s="6">
        <v>43</v>
      </c>
      <c r="GW13" s="6">
        <v>8551</v>
      </c>
      <c r="GX13" s="6">
        <v>9370</v>
      </c>
      <c r="GY13" s="6">
        <v>4851</v>
      </c>
      <c r="GZ13" s="6">
        <v>3065</v>
      </c>
      <c r="HA13" s="6">
        <v>9430</v>
      </c>
      <c r="HB13" s="6">
        <v>4852</v>
      </c>
      <c r="HC13" s="6">
        <v>9230</v>
      </c>
      <c r="HD13" s="6">
        <v>7132</v>
      </c>
      <c r="HE13" s="6">
        <v>7240</v>
      </c>
      <c r="HF13" s="6">
        <v>9356</v>
      </c>
      <c r="HG13" s="6">
        <v>9224</v>
      </c>
      <c r="HH13" s="6">
        <v>6129</v>
      </c>
      <c r="HI13" s="6">
        <v>9669</v>
      </c>
      <c r="HJ13" s="6">
        <v>2394</v>
      </c>
      <c r="HK13" s="6">
        <v>4003</v>
      </c>
      <c r="HL13" s="6">
        <v>9232</v>
      </c>
      <c r="HM13" s="6">
        <v>835</v>
      </c>
      <c r="HN13" s="6">
        <v>6440</v>
      </c>
      <c r="HO13" s="6">
        <v>6081</v>
      </c>
      <c r="HP13" s="6">
        <v>5696</v>
      </c>
      <c r="HQ13" s="6">
        <v>6191</v>
      </c>
      <c r="HR13" s="6">
        <v>6399</v>
      </c>
      <c r="HS13" s="6">
        <v>7656</v>
      </c>
      <c r="HT13" s="6">
        <v>2923</v>
      </c>
      <c r="HU13" s="6">
        <v>527</v>
      </c>
      <c r="HV13" s="6">
        <v>4975</v>
      </c>
      <c r="HW13" s="6">
        <v>5566</v>
      </c>
      <c r="HX13" s="6">
        <v>4373</v>
      </c>
      <c r="HY13" s="6">
        <v>5915</v>
      </c>
      <c r="HZ13" s="6">
        <v>1030</v>
      </c>
      <c r="IA13" s="6">
        <v>3370</v>
      </c>
      <c r="IB13" s="6">
        <v>4937</v>
      </c>
      <c r="IC13" s="6">
        <v>753</v>
      </c>
      <c r="ID13" s="6">
        <v>7107</v>
      </c>
      <c r="IE13" s="6">
        <v>9743</v>
      </c>
      <c r="IF13" s="6">
        <v>7667</v>
      </c>
      <c r="IG13" s="6">
        <v>2179</v>
      </c>
      <c r="IH13" s="6">
        <v>6914</v>
      </c>
      <c r="II13" s="6">
        <v>5502</v>
      </c>
      <c r="IJ13" s="6">
        <v>5754</v>
      </c>
      <c r="IK13" s="6">
        <v>9271</v>
      </c>
      <c r="IL13" s="6">
        <v>1410</v>
      </c>
      <c r="IM13" s="6">
        <v>6662</v>
      </c>
      <c r="IN13" s="6">
        <v>6934</v>
      </c>
      <c r="IO13" s="6">
        <v>3095</v>
      </c>
      <c r="IP13" s="6">
        <v>9516</v>
      </c>
      <c r="IQ13" s="6">
        <v>4692</v>
      </c>
      <c r="IR13" s="6">
        <v>2186</v>
      </c>
      <c r="IS13" s="6">
        <v>7660</v>
      </c>
      <c r="IT13" s="6">
        <v>1061</v>
      </c>
      <c r="IU13" s="6">
        <v>6398</v>
      </c>
      <c r="IV13" s="6">
        <v>9709</v>
      </c>
      <c r="IW13" s="6">
        <v>5810</v>
      </c>
      <c r="IX13" s="6">
        <v>230</v>
      </c>
      <c r="IY13" s="6">
        <v>8658</v>
      </c>
      <c r="IZ13" s="6">
        <v>5228</v>
      </c>
      <c r="JA13" s="6">
        <v>4405</v>
      </c>
      <c r="JB13" s="6">
        <v>4735</v>
      </c>
      <c r="JC13" s="6">
        <v>2837</v>
      </c>
      <c r="JD13" s="6">
        <v>7147</v>
      </c>
      <c r="JE13" s="6">
        <v>9186</v>
      </c>
      <c r="JF13" s="6">
        <v>4730</v>
      </c>
      <c r="JG13" s="6">
        <v>581</v>
      </c>
      <c r="JH13" s="6">
        <v>8498</v>
      </c>
      <c r="JI13" s="6">
        <v>9735</v>
      </c>
      <c r="JJ13" s="6">
        <v>5941</v>
      </c>
      <c r="JK13" s="6">
        <v>4301</v>
      </c>
      <c r="JL13" s="6">
        <v>8650</v>
      </c>
      <c r="JM13" s="6">
        <v>1308</v>
      </c>
      <c r="JN13" s="6">
        <v>9177</v>
      </c>
      <c r="JO13" s="6">
        <v>4507</v>
      </c>
      <c r="JP13" s="6">
        <v>1066</v>
      </c>
      <c r="JQ13" s="6">
        <v>4934</v>
      </c>
      <c r="JR13" s="6">
        <v>3284</v>
      </c>
      <c r="JS13" s="6">
        <v>4581</v>
      </c>
      <c r="JT13" s="6">
        <v>1132</v>
      </c>
      <c r="JU13" s="6">
        <v>9794</v>
      </c>
      <c r="JV13" s="6">
        <v>9635</v>
      </c>
      <c r="JW13" s="6">
        <v>290</v>
      </c>
      <c r="JX13" s="6">
        <v>5290</v>
      </c>
      <c r="JY13" s="6">
        <v>3106</v>
      </c>
      <c r="JZ13" s="6">
        <v>35</v>
      </c>
      <c r="KA13" s="6">
        <v>9081</v>
      </c>
      <c r="KB13" s="6">
        <v>4377</v>
      </c>
      <c r="KC13" s="6">
        <v>3187</v>
      </c>
      <c r="KD13" s="6">
        <v>3617</v>
      </c>
      <c r="KE13" s="6">
        <v>7186</v>
      </c>
      <c r="KF13" s="6">
        <v>4864</v>
      </c>
      <c r="KG13" s="6">
        <v>5807</v>
      </c>
      <c r="KH13" s="6">
        <v>6566</v>
      </c>
      <c r="KI13" s="6">
        <v>6679</v>
      </c>
      <c r="KJ13" s="6">
        <v>138</v>
      </c>
      <c r="KK13" s="6">
        <v>3970</v>
      </c>
      <c r="KL13" s="6">
        <v>3504</v>
      </c>
      <c r="KM13" s="6">
        <v>7537</v>
      </c>
      <c r="KN13" s="6">
        <v>3902</v>
      </c>
      <c r="KO13" s="6">
        <v>9831</v>
      </c>
      <c r="KP13" s="6">
        <v>2960</v>
      </c>
      <c r="KQ13" s="6">
        <v>4934</v>
      </c>
      <c r="KR13" s="6">
        <v>2160</v>
      </c>
      <c r="KS13" s="6">
        <v>1746</v>
      </c>
      <c r="KT13" s="6">
        <v>2865</v>
      </c>
      <c r="KU13" s="6">
        <v>9780</v>
      </c>
      <c r="KV13" s="6">
        <v>1279</v>
      </c>
      <c r="KW13" s="6">
        <v>3196</v>
      </c>
      <c r="KX13" s="6">
        <v>767</v>
      </c>
      <c r="KY13" s="6">
        <v>1433</v>
      </c>
      <c r="KZ13" s="6">
        <v>8663</v>
      </c>
      <c r="LA13" s="6">
        <v>4453</v>
      </c>
      <c r="LB13" s="6">
        <v>1876</v>
      </c>
      <c r="LC13" s="6">
        <v>9984</v>
      </c>
      <c r="LD13" s="6">
        <v>7904</v>
      </c>
      <c r="LE13" s="6">
        <v>7451</v>
      </c>
      <c r="LF13" s="6">
        <v>8623</v>
      </c>
      <c r="LG13" s="6">
        <v>1857</v>
      </c>
      <c r="LH13" s="6">
        <v>2983</v>
      </c>
      <c r="LI13" s="6">
        <v>9418</v>
      </c>
      <c r="LJ13" s="6">
        <v>1815</v>
      </c>
      <c r="LK13" s="6">
        <v>3363</v>
      </c>
      <c r="LL13" s="6">
        <v>6803</v>
      </c>
      <c r="LM13" s="6">
        <v>6840</v>
      </c>
      <c r="LN13" s="6">
        <v>3138</v>
      </c>
      <c r="LO13" s="6">
        <v>7704</v>
      </c>
      <c r="LP13" s="6">
        <v>2676</v>
      </c>
      <c r="LQ13" s="6">
        <v>6423</v>
      </c>
      <c r="LR13" s="6">
        <v>2866</v>
      </c>
      <c r="LS13" s="6">
        <v>6982</v>
      </c>
      <c r="LT13" s="6">
        <v>6101</v>
      </c>
      <c r="LU13" s="6">
        <v>737</v>
      </c>
      <c r="LV13" s="6">
        <v>8026</v>
      </c>
      <c r="LW13" s="6">
        <v>5253</v>
      </c>
      <c r="LX13" s="6">
        <v>5297</v>
      </c>
      <c r="LY13" s="6">
        <v>394</v>
      </c>
      <c r="LZ13" s="6">
        <v>4664</v>
      </c>
      <c r="MA13" s="6">
        <v>4812</v>
      </c>
      <c r="MB13" s="6">
        <v>6121</v>
      </c>
      <c r="MC13" s="6">
        <v>8903</v>
      </c>
      <c r="MD13" s="6">
        <v>7376</v>
      </c>
      <c r="ME13" s="6">
        <v>2720</v>
      </c>
      <c r="MF13" s="6">
        <v>250</v>
      </c>
      <c r="MG13" s="6">
        <v>9024</v>
      </c>
      <c r="MH13" s="6">
        <v>2573</v>
      </c>
      <c r="MI13" s="6">
        <v>4377</v>
      </c>
      <c r="MJ13" s="6">
        <v>8359</v>
      </c>
      <c r="MK13" s="6">
        <v>3621</v>
      </c>
      <c r="ML13" s="6">
        <v>3709</v>
      </c>
      <c r="MM13" s="6">
        <v>359</v>
      </c>
      <c r="MN13" s="6">
        <v>5688</v>
      </c>
      <c r="MO13" s="6">
        <v>2061</v>
      </c>
      <c r="MP13" s="6">
        <v>1502</v>
      </c>
      <c r="MQ13" s="6">
        <v>1604</v>
      </c>
      <c r="MR13" s="6">
        <v>3657</v>
      </c>
      <c r="MS13" s="6">
        <v>511</v>
      </c>
      <c r="MT13" s="6">
        <v>6001</v>
      </c>
      <c r="MU13" s="6">
        <v>6070</v>
      </c>
      <c r="MV13" s="6">
        <v>7362</v>
      </c>
      <c r="MW13" s="6">
        <v>3652</v>
      </c>
      <c r="MX13" s="6">
        <v>4926</v>
      </c>
      <c r="MY13" s="6">
        <v>8900</v>
      </c>
      <c r="MZ13" s="6">
        <v>3650</v>
      </c>
      <c r="NA13" s="6">
        <v>3489</v>
      </c>
      <c r="NB13" s="6">
        <v>7074</v>
      </c>
      <c r="NC13" s="6">
        <v>1145</v>
      </c>
      <c r="ND13" s="6">
        <v>188</v>
      </c>
      <c r="NE13" s="6">
        <v>2224</v>
      </c>
      <c r="NF13" s="6">
        <v>701</v>
      </c>
      <c r="NG13" s="6">
        <v>6693</v>
      </c>
      <c r="NH13" s="6">
        <v>9060</v>
      </c>
      <c r="NI13" s="6">
        <v>1579</v>
      </c>
      <c r="NJ13" s="6">
        <v>5703</v>
      </c>
      <c r="NK13" s="6">
        <v>5189</v>
      </c>
      <c r="NL13" s="6">
        <v>6222</v>
      </c>
      <c r="NM13" s="6">
        <v>3781</v>
      </c>
      <c r="NN13" s="6">
        <v>8940</v>
      </c>
      <c r="NO13" s="6">
        <v>5976</v>
      </c>
      <c r="NP13" s="6">
        <v>6212</v>
      </c>
      <c r="NQ13" s="6">
        <v>5808</v>
      </c>
      <c r="NR13" s="6">
        <v>3640</v>
      </c>
      <c r="NS13" s="6">
        <v>5598</v>
      </c>
      <c r="NT13" s="6">
        <v>8258</v>
      </c>
      <c r="NU13" s="6">
        <v>9647</v>
      </c>
      <c r="NV13" s="6">
        <v>8744</v>
      </c>
      <c r="NW13" s="6">
        <v>1705</v>
      </c>
      <c r="NX13" s="6">
        <v>8506</v>
      </c>
      <c r="NY13" s="6">
        <v>3123</v>
      </c>
      <c r="NZ13" s="6">
        <v>2103</v>
      </c>
      <c r="OA13" s="6">
        <v>817</v>
      </c>
      <c r="OB13" s="6">
        <v>8205</v>
      </c>
      <c r="OC13" s="6">
        <v>9797</v>
      </c>
      <c r="OD13" s="6">
        <v>8252</v>
      </c>
      <c r="OE13" s="6">
        <v>3580</v>
      </c>
      <c r="OF13" s="6">
        <v>879</v>
      </c>
      <c r="OG13" s="6">
        <v>1339</v>
      </c>
      <c r="OH13" s="6">
        <v>7473</v>
      </c>
      <c r="OI13" s="6">
        <v>1903</v>
      </c>
      <c r="OJ13" s="6">
        <v>4629</v>
      </c>
      <c r="OK13" s="6">
        <v>1492</v>
      </c>
      <c r="OL13" s="6">
        <v>3133</v>
      </c>
      <c r="OM13" s="6">
        <v>2013</v>
      </c>
      <c r="ON13" s="6">
        <v>3238</v>
      </c>
      <c r="OO13" s="6">
        <v>8412</v>
      </c>
      <c r="OP13" s="6">
        <v>2817</v>
      </c>
      <c r="OQ13" s="6">
        <v>4656</v>
      </c>
      <c r="OR13" s="6">
        <v>9207</v>
      </c>
      <c r="OS13" s="6">
        <v>5626</v>
      </c>
      <c r="OT13" s="6">
        <v>6497</v>
      </c>
      <c r="OU13" s="6">
        <v>9483</v>
      </c>
      <c r="OV13" s="6">
        <v>1434</v>
      </c>
      <c r="OW13" s="6">
        <v>9812</v>
      </c>
      <c r="OX13" s="6">
        <v>1017</v>
      </c>
      <c r="OY13" s="6">
        <v>9268</v>
      </c>
      <c r="OZ13" s="6">
        <v>6241</v>
      </c>
      <c r="PA13" s="6">
        <v>6309</v>
      </c>
      <c r="PB13" s="6">
        <v>2638</v>
      </c>
      <c r="PC13" s="6">
        <v>2376</v>
      </c>
      <c r="PD13" s="6">
        <v>1669</v>
      </c>
      <c r="PE13" s="6">
        <v>6165</v>
      </c>
      <c r="PF13" s="6">
        <v>4</v>
      </c>
      <c r="PG13" s="8">
        <v>4886</v>
      </c>
    </row>
    <row r="14" spans="1:423" s="19" customFormat="1" ht="19.149999999999999" customHeight="1" x14ac:dyDescent="0.6">
      <c r="A14" s="25" t="s">
        <v>17</v>
      </c>
      <c r="B14" s="20">
        <v>9776</v>
      </c>
      <c r="C14" s="21">
        <v>5504</v>
      </c>
      <c r="D14" s="21">
        <v>39</v>
      </c>
      <c r="E14" s="21">
        <v>9629</v>
      </c>
      <c r="F14" s="21">
        <v>7474</v>
      </c>
      <c r="G14" s="21">
        <v>6662</v>
      </c>
      <c r="H14" s="21">
        <v>1589</v>
      </c>
      <c r="I14" s="21">
        <v>5695</v>
      </c>
      <c r="J14" s="21">
        <v>4765</v>
      </c>
      <c r="K14" s="21">
        <v>352</v>
      </c>
      <c r="L14" s="21">
        <v>8763</v>
      </c>
      <c r="M14" s="21">
        <v>4635</v>
      </c>
      <c r="N14" s="21">
        <v>5193</v>
      </c>
      <c r="O14" s="21">
        <v>8619</v>
      </c>
      <c r="P14" s="21">
        <v>2401</v>
      </c>
      <c r="Q14" s="21">
        <v>7319</v>
      </c>
      <c r="R14" s="21">
        <v>887</v>
      </c>
      <c r="S14" s="21">
        <v>7965</v>
      </c>
      <c r="T14" s="21">
        <v>5496</v>
      </c>
      <c r="U14" s="22">
        <v>5609</v>
      </c>
      <c r="V14" s="15"/>
      <c r="W14" s="1">
        <v>0</v>
      </c>
      <c r="X14" s="40" t="s">
        <v>416</v>
      </c>
      <c r="Y14" s="7">
        <v>7964</v>
      </c>
      <c r="Z14" s="6">
        <v>6524</v>
      </c>
      <c r="AA14" s="6">
        <v>3333</v>
      </c>
      <c r="AB14" s="6">
        <v>2194</v>
      </c>
      <c r="AC14" s="8">
        <v>677</v>
      </c>
      <c r="AD14" s="37">
        <v>4185</v>
      </c>
      <c r="AE14" s="6">
        <v>5005</v>
      </c>
      <c r="AF14" s="6">
        <v>9490</v>
      </c>
      <c r="AG14" s="6">
        <v>9535</v>
      </c>
      <c r="AH14" s="6">
        <v>7792</v>
      </c>
      <c r="AI14" s="6">
        <v>5934</v>
      </c>
      <c r="AJ14" s="6">
        <v>7996</v>
      </c>
      <c r="AK14" s="6">
        <v>6130</v>
      </c>
      <c r="AL14" s="6">
        <v>1874</v>
      </c>
      <c r="AM14" s="6">
        <v>6335</v>
      </c>
      <c r="AN14" s="6">
        <v>7520</v>
      </c>
      <c r="AO14" s="6">
        <v>5988</v>
      </c>
      <c r="AP14" s="6">
        <v>1728</v>
      </c>
      <c r="AQ14" s="6">
        <v>4864</v>
      </c>
      <c r="AR14" s="6">
        <v>224</v>
      </c>
      <c r="AS14" s="6">
        <v>4973</v>
      </c>
      <c r="AT14" s="6">
        <v>7013</v>
      </c>
      <c r="AU14" s="6">
        <v>5728</v>
      </c>
      <c r="AV14" s="6">
        <v>6624</v>
      </c>
      <c r="AW14" s="6">
        <v>6991</v>
      </c>
      <c r="AX14" s="6">
        <v>8327</v>
      </c>
      <c r="AY14" s="6">
        <v>9668</v>
      </c>
      <c r="AZ14" s="6">
        <v>4948</v>
      </c>
      <c r="BA14" s="6">
        <v>8431</v>
      </c>
      <c r="BB14" s="6">
        <v>2936</v>
      </c>
      <c r="BC14" s="6">
        <v>4028</v>
      </c>
      <c r="BD14" s="6">
        <v>1206</v>
      </c>
      <c r="BE14" s="6">
        <v>7614</v>
      </c>
      <c r="BF14" s="6">
        <v>4737</v>
      </c>
      <c r="BG14" s="6">
        <v>9951</v>
      </c>
      <c r="BH14" s="6">
        <v>7334</v>
      </c>
      <c r="BI14" s="6">
        <v>5251</v>
      </c>
      <c r="BJ14" s="6">
        <v>3141</v>
      </c>
      <c r="BK14" s="6">
        <v>1173</v>
      </c>
      <c r="BL14" s="6">
        <v>5474</v>
      </c>
      <c r="BM14" s="6">
        <v>6784</v>
      </c>
      <c r="BN14" s="6">
        <v>7763</v>
      </c>
      <c r="BO14" s="6">
        <v>9870</v>
      </c>
      <c r="BP14" s="6">
        <v>7598</v>
      </c>
      <c r="BQ14" s="6">
        <v>2486</v>
      </c>
      <c r="BR14" s="6">
        <v>3498</v>
      </c>
      <c r="BS14" s="6">
        <v>2586</v>
      </c>
      <c r="BT14" s="6">
        <v>8523</v>
      </c>
      <c r="BU14" s="6">
        <v>1337</v>
      </c>
      <c r="BV14" s="6">
        <v>2453</v>
      </c>
      <c r="BW14" s="6">
        <v>959</v>
      </c>
      <c r="BX14" s="6">
        <v>8098</v>
      </c>
      <c r="BY14" s="6">
        <v>683</v>
      </c>
      <c r="BZ14" s="6">
        <v>1856</v>
      </c>
      <c r="CA14" s="6">
        <v>8147</v>
      </c>
      <c r="CB14" s="6">
        <v>6024</v>
      </c>
      <c r="CC14" s="6">
        <v>2635</v>
      </c>
      <c r="CD14" s="6">
        <v>9343</v>
      </c>
      <c r="CE14" s="6">
        <v>2290</v>
      </c>
      <c r="CF14" s="6">
        <v>2113</v>
      </c>
      <c r="CG14" s="6">
        <v>1916</v>
      </c>
      <c r="CH14" s="6">
        <v>4605</v>
      </c>
      <c r="CI14" s="6">
        <v>6487</v>
      </c>
      <c r="CJ14" s="6">
        <v>1511</v>
      </c>
      <c r="CK14" s="6">
        <v>5912</v>
      </c>
      <c r="CL14" s="6">
        <v>340</v>
      </c>
      <c r="CM14" s="6">
        <v>8767</v>
      </c>
      <c r="CN14" s="6">
        <v>488</v>
      </c>
      <c r="CO14" s="6">
        <v>9962</v>
      </c>
      <c r="CP14" s="6">
        <v>5689</v>
      </c>
      <c r="CQ14" s="6">
        <v>989</v>
      </c>
      <c r="CR14" s="6">
        <v>7978</v>
      </c>
      <c r="CS14" s="6">
        <v>5648</v>
      </c>
      <c r="CT14" s="6">
        <v>1137</v>
      </c>
      <c r="CU14" s="6">
        <v>2573</v>
      </c>
      <c r="CV14" s="6">
        <v>9220</v>
      </c>
      <c r="CW14" s="6">
        <v>2358</v>
      </c>
      <c r="CX14" s="6">
        <v>3827</v>
      </c>
      <c r="CY14" s="6">
        <v>7763</v>
      </c>
      <c r="CZ14" s="6">
        <v>3224</v>
      </c>
      <c r="DA14" s="6">
        <v>6207</v>
      </c>
      <c r="DB14" s="6">
        <v>2432</v>
      </c>
      <c r="DC14" s="6">
        <v>3654</v>
      </c>
      <c r="DD14" s="6">
        <v>2559</v>
      </c>
      <c r="DE14" s="6">
        <v>1073</v>
      </c>
      <c r="DF14" s="6">
        <v>7138</v>
      </c>
      <c r="DG14" s="6">
        <v>6867</v>
      </c>
      <c r="DH14" s="6">
        <v>6517</v>
      </c>
      <c r="DI14" s="6">
        <v>5564</v>
      </c>
      <c r="DJ14" s="6">
        <v>6357</v>
      </c>
      <c r="DK14" s="6">
        <v>8699</v>
      </c>
      <c r="DL14" s="6">
        <v>6290</v>
      </c>
      <c r="DM14" s="6">
        <v>2776</v>
      </c>
      <c r="DN14" s="6">
        <v>7124</v>
      </c>
      <c r="DO14" s="6">
        <v>9308</v>
      </c>
      <c r="DP14" s="6">
        <v>9220</v>
      </c>
      <c r="DQ14" s="6">
        <v>879</v>
      </c>
      <c r="DR14" s="6">
        <v>8273</v>
      </c>
      <c r="DS14" s="6">
        <v>8349</v>
      </c>
      <c r="DT14" s="6">
        <v>3755</v>
      </c>
      <c r="DU14" s="6">
        <v>561</v>
      </c>
      <c r="DV14" s="6">
        <v>5895</v>
      </c>
      <c r="DW14" s="6">
        <v>4172</v>
      </c>
      <c r="DX14" s="6">
        <v>6436</v>
      </c>
      <c r="DY14" s="6">
        <v>3025</v>
      </c>
      <c r="DZ14" s="6">
        <v>5681</v>
      </c>
      <c r="EA14" s="6">
        <v>9047</v>
      </c>
      <c r="EB14" s="6">
        <v>6551</v>
      </c>
      <c r="EC14" s="6">
        <v>1034</v>
      </c>
      <c r="ED14" s="6">
        <v>9887</v>
      </c>
      <c r="EE14" s="6">
        <v>9123</v>
      </c>
      <c r="EF14" s="6">
        <v>781</v>
      </c>
      <c r="EG14" s="6">
        <v>821</v>
      </c>
      <c r="EH14" s="6">
        <v>4604</v>
      </c>
      <c r="EI14" s="6">
        <v>7863</v>
      </c>
      <c r="EJ14" s="6">
        <v>2558</v>
      </c>
      <c r="EK14" s="6">
        <v>4623</v>
      </c>
      <c r="EL14" s="6">
        <v>1409</v>
      </c>
      <c r="EM14" s="6">
        <v>7653</v>
      </c>
      <c r="EN14" s="6">
        <v>6134</v>
      </c>
      <c r="EO14" s="6">
        <v>4753</v>
      </c>
      <c r="EP14" s="6">
        <v>937</v>
      </c>
      <c r="EQ14" s="6">
        <v>9260</v>
      </c>
      <c r="ER14" s="6">
        <v>8739</v>
      </c>
      <c r="ES14" s="6">
        <v>4934</v>
      </c>
      <c r="ET14" s="6">
        <v>7422</v>
      </c>
      <c r="EU14" s="6">
        <v>2680</v>
      </c>
      <c r="EV14" s="6">
        <v>8621</v>
      </c>
      <c r="EW14" s="6">
        <v>2086</v>
      </c>
      <c r="EX14" s="6">
        <v>7679</v>
      </c>
      <c r="EY14" s="6">
        <v>3600</v>
      </c>
      <c r="EZ14" s="6">
        <v>2263</v>
      </c>
      <c r="FA14" s="6">
        <v>8409</v>
      </c>
      <c r="FB14" s="6">
        <v>7341</v>
      </c>
      <c r="FC14" s="6">
        <v>3752</v>
      </c>
      <c r="FD14" s="6">
        <v>6092</v>
      </c>
      <c r="FE14" s="6">
        <v>2744</v>
      </c>
      <c r="FF14" s="6">
        <v>9786</v>
      </c>
      <c r="FG14" s="6">
        <v>4889</v>
      </c>
      <c r="FH14" s="6">
        <v>7583</v>
      </c>
      <c r="FI14" s="6">
        <v>931</v>
      </c>
      <c r="FJ14" s="6">
        <v>7891</v>
      </c>
      <c r="FK14" s="6">
        <v>9282</v>
      </c>
      <c r="FL14" s="6">
        <v>4859</v>
      </c>
      <c r="FM14" s="6">
        <v>2410</v>
      </c>
      <c r="FN14" s="6">
        <v>8747</v>
      </c>
      <c r="FO14" s="6">
        <v>8614</v>
      </c>
      <c r="FP14" s="6">
        <v>8782</v>
      </c>
      <c r="FQ14" s="6">
        <v>2395</v>
      </c>
      <c r="FR14" s="6">
        <v>3730</v>
      </c>
      <c r="FS14" s="6">
        <v>7891</v>
      </c>
      <c r="FT14" s="6">
        <v>906</v>
      </c>
      <c r="FU14" s="6">
        <v>1739</v>
      </c>
      <c r="FV14" s="6">
        <v>3138</v>
      </c>
      <c r="FW14" s="6">
        <v>9746</v>
      </c>
      <c r="FX14" s="6">
        <v>6178</v>
      </c>
      <c r="FY14" s="6">
        <v>9693</v>
      </c>
      <c r="FZ14" s="6">
        <v>6314</v>
      </c>
      <c r="GA14" s="6">
        <v>981</v>
      </c>
      <c r="GB14" s="6">
        <v>9576</v>
      </c>
      <c r="GC14" s="6">
        <v>6941</v>
      </c>
      <c r="GD14" s="6">
        <v>3573</v>
      </c>
      <c r="GE14" s="6">
        <v>9532</v>
      </c>
      <c r="GF14" s="6">
        <v>3751</v>
      </c>
      <c r="GG14" s="6">
        <v>5862</v>
      </c>
      <c r="GH14" s="6">
        <v>7004</v>
      </c>
      <c r="GI14" s="6">
        <v>5111</v>
      </c>
      <c r="GJ14" s="6">
        <v>6573</v>
      </c>
      <c r="GK14" s="6">
        <v>5503</v>
      </c>
      <c r="GL14" s="6">
        <v>7824</v>
      </c>
      <c r="GM14" s="6">
        <v>1675</v>
      </c>
      <c r="GN14" s="6">
        <v>898</v>
      </c>
      <c r="GO14" s="6">
        <v>4428</v>
      </c>
      <c r="GP14" s="6">
        <v>7422</v>
      </c>
      <c r="GQ14" s="6">
        <v>4924</v>
      </c>
      <c r="GR14" s="6">
        <v>6431</v>
      </c>
      <c r="GS14" s="6">
        <v>7709</v>
      </c>
      <c r="GT14" s="6">
        <v>5988</v>
      </c>
      <c r="GU14" s="6">
        <v>4227</v>
      </c>
      <c r="GV14" s="6">
        <v>147</v>
      </c>
      <c r="GW14" s="6">
        <v>3283</v>
      </c>
      <c r="GX14" s="6">
        <v>5155</v>
      </c>
      <c r="GY14" s="6">
        <v>946</v>
      </c>
      <c r="GZ14" s="6">
        <v>3545</v>
      </c>
      <c r="HA14" s="6">
        <v>2150</v>
      </c>
      <c r="HB14" s="6">
        <v>3076</v>
      </c>
      <c r="HC14" s="6">
        <v>2769</v>
      </c>
      <c r="HD14" s="6">
        <v>4112</v>
      </c>
      <c r="HE14" s="6">
        <v>9336</v>
      </c>
      <c r="HF14" s="6">
        <v>602</v>
      </c>
      <c r="HG14" s="6">
        <v>4195</v>
      </c>
      <c r="HH14" s="6">
        <v>1065</v>
      </c>
      <c r="HI14" s="6">
        <v>3057</v>
      </c>
      <c r="HJ14" s="6">
        <v>4227</v>
      </c>
      <c r="HK14" s="6">
        <v>9294</v>
      </c>
      <c r="HL14" s="6">
        <v>4600</v>
      </c>
      <c r="HM14" s="6">
        <v>26</v>
      </c>
      <c r="HN14" s="6">
        <v>9874</v>
      </c>
      <c r="HO14" s="6">
        <v>4907</v>
      </c>
      <c r="HP14" s="6">
        <v>7386</v>
      </c>
      <c r="HQ14" s="6">
        <v>1064</v>
      </c>
      <c r="HR14" s="6">
        <v>1712</v>
      </c>
      <c r="HS14" s="6">
        <v>543</v>
      </c>
      <c r="HT14" s="6">
        <v>5001</v>
      </c>
      <c r="HU14" s="6">
        <v>8923</v>
      </c>
      <c r="HV14" s="6">
        <v>1707</v>
      </c>
      <c r="HW14" s="6">
        <v>4065</v>
      </c>
      <c r="HX14" s="6">
        <v>7164</v>
      </c>
      <c r="HY14" s="6">
        <v>8069</v>
      </c>
      <c r="HZ14" s="6">
        <v>8734</v>
      </c>
      <c r="IA14" s="6">
        <v>8419</v>
      </c>
      <c r="IB14" s="6">
        <v>8494</v>
      </c>
      <c r="IC14" s="6">
        <v>5289</v>
      </c>
      <c r="ID14" s="6">
        <v>4048</v>
      </c>
      <c r="IE14" s="6">
        <v>4629</v>
      </c>
      <c r="IF14" s="6">
        <v>3955</v>
      </c>
      <c r="IG14" s="6">
        <v>1523</v>
      </c>
      <c r="IH14" s="6">
        <v>8236</v>
      </c>
      <c r="II14" s="6">
        <v>5022</v>
      </c>
      <c r="IJ14" s="6">
        <v>753</v>
      </c>
      <c r="IK14" s="6">
        <v>4349</v>
      </c>
      <c r="IL14" s="6">
        <v>5006</v>
      </c>
      <c r="IM14" s="6">
        <v>3114</v>
      </c>
      <c r="IN14" s="6">
        <v>1671</v>
      </c>
      <c r="IO14" s="6">
        <v>1929</v>
      </c>
      <c r="IP14" s="6">
        <v>4210</v>
      </c>
      <c r="IQ14" s="6">
        <v>1915</v>
      </c>
      <c r="IR14" s="6">
        <v>4315</v>
      </c>
      <c r="IS14" s="6">
        <v>3657</v>
      </c>
      <c r="IT14" s="6">
        <v>3524</v>
      </c>
      <c r="IU14" s="6">
        <v>6077</v>
      </c>
      <c r="IV14" s="6">
        <v>6180</v>
      </c>
      <c r="IW14" s="6">
        <v>6416</v>
      </c>
      <c r="IX14" s="6">
        <v>1466</v>
      </c>
      <c r="IY14" s="6">
        <v>8958</v>
      </c>
      <c r="IZ14" s="6">
        <v>9564</v>
      </c>
      <c r="JA14" s="6">
        <v>2118</v>
      </c>
      <c r="JB14" s="6">
        <v>6482</v>
      </c>
      <c r="JC14" s="6">
        <v>1270</v>
      </c>
      <c r="JD14" s="6">
        <v>6730</v>
      </c>
      <c r="JE14" s="6">
        <v>9949</v>
      </c>
      <c r="JF14" s="6">
        <v>9142</v>
      </c>
      <c r="JG14" s="6">
        <v>8591</v>
      </c>
      <c r="JH14" s="6">
        <v>6591</v>
      </c>
      <c r="JI14" s="6">
        <v>2594</v>
      </c>
      <c r="JJ14" s="6">
        <v>4341</v>
      </c>
      <c r="JK14" s="6">
        <v>8610</v>
      </c>
      <c r="JL14" s="6">
        <v>1158</v>
      </c>
      <c r="JM14" s="6">
        <v>1113</v>
      </c>
      <c r="JN14" s="6">
        <v>7364</v>
      </c>
      <c r="JO14" s="6">
        <v>146</v>
      </c>
      <c r="JP14" s="6">
        <v>4248</v>
      </c>
      <c r="JQ14" s="6">
        <v>2605</v>
      </c>
      <c r="JR14" s="6">
        <v>1008</v>
      </c>
      <c r="JS14" s="6">
        <v>5892</v>
      </c>
      <c r="JT14" s="6">
        <v>5956</v>
      </c>
      <c r="JU14" s="6">
        <v>4756</v>
      </c>
      <c r="JV14" s="6">
        <v>8169</v>
      </c>
      <c r="JW14" s="6">
        <v>7701</v>
      </c>
      <c r="JX14" s="6">
        <v>6679</v>
      </c>
      <c r="JY14" s="6">
        <v>3056</v>
      </c>
      <c r="JZ14" s="6">
        <v>6281</v>
      </c>
      <c r="KA14" s="6">
        <v>7764</v>
      </c>
      <c r="KB14" s="6">
        <v>3734</v>
      </c>
      <c r="KC14" s="6">
        <v>7192</v>
      </c>
      <c r="KD14" s="6">
        <v>2271</v>
      </c>
      <c r="KE14" s="6">
        <v>815</v>
      </c>
      <c r="KF14" s="6">
        <v>8038</v>
      </c>
      <c r="KG14" s="6">
        <v>6707</v>
      </c>
      <c r="KH14" s="6">
        <v>1426</v>
      </c>
      <c r="KI14" s="6">
        <v>5360</v>
      </c>
      <c r="KJ14" s="6">
        <v>9526</v>
      </c>
      <c r="KK14" s="6">
        <v>1620</v>
      </c>
      <c r="KL14" s="6">
        <v>4317</v>
      </c>
      <c r="KM14" s="6">
        <v>3650</v>
      </c>
      <c r="KN14" s="6">
        <v>6616</v>
      </c>
      <c r="KO14" s="6">
        <v>4344</v>
      </c>
      <c r="KP14" s="6">
        <v>2826</v>
      </c>
      <c r="KQ14" s="6">
        <v>510</v>
      </c>
      <c r="KR14" s="6">
        <v>690</v>
      </c>
      <c r="KS14" s="6">
        <v>1052</v>
      </c>
      <c r="KT14" s="6">
        <v>6370</v>
      </c>
      <c r="KU14" s="6">
        <v>2932</v>
      </c>
      <c r="KV14" s="6">
        <v>5378</v>
      </c>
      <c r="KW14" s="6">
        <v>2294</v>
      </c>
      <c r="KX14" s="6">
        <v>1856</v>
      </c>
      <c r="KY14" s="6">
        <v>7375</v>
      </c>
      <c r="KZ14" s="6">
        <v>3275</v>
      </c>
      <c r="LA14" s="6">
        <v>6055</v>
      </c>
      <c r="LB14" s="6">
        <v>3866</v>
      </c>
      <c r="LC14" s="6">
        <v>9150</v>
      </c>
      <c r="LD14" s="6">
        <v>3920</v>
      </c>
      <c r="LE14" s="6">
        <v>2006</v>
      </c>
      <c r="LF14" s="6">
        <v>1425</v>
      </c>
      <c r="LG14" s="6">
        <v>8925</v>
      </c>
      <c r="LH14" s="6">
        <v>9811</v>
      </c>
      <c r="LI14" s="6">
        <v>3392</v>
      </c>
      <c r="LJ14" s="6">
        <v>9210</v>
      </c>
      <c r="LK14" s="6">
        <v>2973</v>
      </c>
      <c r="LL14" s="6">
        <v>7662</v>
      </c>
      <c r="LM14" s="6">
        <v>9646</v>
      </c>
      <c r="LN14" s="6">
        <v>4112</v>
      </c>
      <c r="LO14" s="6">
        <v>5352</v>
      </c>
      <c r="LP14" s="6">
        <v>2556</v>
      </c>
      <c r="LQ14" s="6">
        <v>8415</v>
      </c>
      <c r="LR14" s="6">
        <v>5895</v>
      </c>
      <c r="LS14" s="6">
        <v>4020</v>
      </c>
      <c r="LT14" s="6">
        <v>8673</v>
      </c>
      <c r="LU14" s="6">
        <v>8893</v>
      </c>
      <c r="LV14" s="6">
        <v>1316</v>
      </c>
      <c r="LW14" s="6">
        <v>8293</v>
      </c>
      <c r="LX14" s="6">
        <v>7889</v>
      </c>
      <c r="LY14" s="6">
        <v>6953</v>
      </c>
      <c r="LZ14" s="6">
        <v>4355</v>
      </c>
      <c r="MA14" s="6">
        <v>5802</v>
      </c>
      <c r="MB14" s="6">
        <v>262</v>
      </c>
      <c r="MC14" s="6">
        <v>200</v>
      </c>
      <c r="MD14" s="6">
        <v>7094</v>
      </c>
      <c r="ME14" s="6">
        <v>8069</v>
      </c>
      <c r="MF14" s="6">
        <v>360</v>
      </c>
      <c r="MG14" s="6">
        <v>1028</v>
      </c>
      <c r="MH14" s="6">
        <v>8085</v>
      </c>
      <c r="MI14" s="6">
        <v>1576</v>
      </c>
      <c r="MJ14" s="6">
        <v>826</v>
      </c>
      <c r="MK14" s="6">
        <v>2807</v>
      </c>
      <c r="ML14" s="6">
        <v>4862</v>
      </c>
      <c r="MM14" s="6">
        <v>5369</v>
      </c>
      <c r="MN14" s="6">
        <v>1122</v>
      </c>
      <c r="MO14" s="6">
        <v>3840</v>
      </c>
      <c r="MP14" s="6">
        <v>6890</v>
      </c>
      <c r="MQ14" s="6">
        <v>9530</v>
      </c>
      <c r="MR14" s="6">
        <v>3721</v>
      </c>
      <c r="MS14" s="6">
        <v>1297</v>
      </c>
      <c r="MT14" s="6">
        <v>6664</v>
      </c>
      <c r="MU14" s="6">
        <v>6303</v>
      </c>
      <c r="MV14" s="6">
        <v>5247</v>
      </c>
      <c r="MW14" s="6">
        <v>9993</v>
      </c>
      <c r="MX14" s="6">
        <v>9568</v>
      </c>
      <c r="MY14" s="6">
        <v>7956</v>
      </c>
      <c r="MZ14" s="6">
        <v>5277</v>
      </c>
      <c r="NA14" s="6">
        <v>9165</v>
      </c>
      <c r="NB14" s="6">
        <v>7482</v>
      </c>
      <c r="NC14" s="6">
        <v>4378</v>
      </c>
      <c r="ND14" s="6">
        <v>1025</v>
      </c>
      <c r="NE14" s="6">
        <v>7187</v>
      </c>
      <c r="NF14" s="6">
        <v>6718</v>
      </c>
      <c r="NG14" s="6">
        <v>1422</v>
      </c>
      <c r="NH14" s="6">
        <v>9972</v>
      </c>
      <c r="NI14" s="6">
        <v>6465</v>
      </c>
      <c r="NJ14" s="6">
        <v>9710</v>
      </c>
      <c r="NK14" s="6">
        <v>2732</v>
      </c>
      <c r="NL14" s="6">
        <v>8219</v>
      </c>
      <c r="NM14" s="6">
        <v>4529</v>
      </c>
      <c r="NN14" s="6">
        <v>1836</v>
      </c>
      <c r="NO14" s="6">
        <v>8566</v>
      </c>
      <c r="NP14" s="6">
        <v>6894</v>
      </c>
      <c r="NQ14" s="6">
        <v>651</v>
      </c>
      <c r="NR14" s="6">
        <v>9508</v>
      </c>
      <c r="NS14" s="6">
        <v>5340</v>
      </c>
      <c r="NT14" s="6">
        <v>5408</v>
      </c>
      <c r="NU14" s="6">
        <v>5040</v>
      </c>
      <c r="NV14" s="6">
        <v>9457</v>
      </c>
      <c r="NW14" s="6">
        <v>3173</v>
      </c>
      <c r="NX14" s="6">
        <v>424</v>
      </c>
      <c r="NY14" s="6">
        <v>2687</v>
      </c>
      <c r="NZ14" s="6">
        <v>9709</v>
      </c>
      <c r="OA14" s="6">
        <v>5533</v>
      </c>
      <c r="OB14" s="6">
        <v>3722</v>
      </c>
      <c r="OC14" s="6">
        <v>4666</v>
      </c>
      <c r="OD14" s="6">
        <v>9503</v>
      </c>
      <c r="OE14" s="6">
        <v>9113</v>
      </c>
      <c r="OF14" s="6">
        <v>5252</v>
      </c>
      <c r="OG14" s="6">
        <v>1284</v>
      </c>
      <c r="OH14" s="6">
        <v>4373</v>
      </c>
      <c r="OI14" s="6">
        <v>7872</v>
      </c>
      <c r="OJ14" s="6">
        <v>979</v>
      </c>
      <c r="OK14" s="6">
        <v>1157</v>
      </c>
      <c r="OL14" s="6">
        <v>1840</v>
      </c>
      <c r="OM14" s="6">
        <v>9632</v>
      </c>
      <c r="ON14" s="6">
        <v>5377</v>
      </c>
      <c r="OO14" s="6">
        <v>7828</v>
      </c>
      <c r="OP14" s="6">
        <v>3608</v>
      </c>
      <c r="OQ14" s="6">
        <v>8389</v>
      </c>
      <c r="OR14" s="6">
        <v>7725</v>
      </c>
      <c r="OS14" s="6">
        <v>2962</v>
      </c>
      <c r="OT14" s="6">
        <v>3702</v>
      </c>
      <c r="OU14" s="6">
        <v>8340</v>
      </c>
      <c r="OV14" s="6">
        <v>4881</v>
      </c>
      <c r="OW14" s="6">
        <v>6276</v>
      </c>
      <c r="OX14" s="6">
        <v>4067</v>
      </c>
      <c r="OY14" s="6">
        <v>6349</v>
      </c>
      <c r="OZ14" s="6">
        <v>501</v>
      </c>
      <c r="PA14" s="6">
        <v>4770</v>
      </c>
      <c r="PB14" s="6">
        <v>8033</v>
      </c>
      <c r="PC14" s="6">
        <v>1062</v>
      </c>
      <c r="PD14" s="6">
        <v>6471</v>
      </c>
      <c r="PE14" s="6">
        <v>160</v>
      </c>
      <c r="PF14" s="6">
        <v>259</v>
      </c>
      <c r="PG14" s="8">
        <v>5339</v>
      </c>
    </row>
    <row r="15" spans="1:423" s="19" customFormat="1" ht="19.149999999999999" customHeight="1" x14ac:dyDescent="0.6">
      <c r="A15" s="25" t="s">
        <v>18</v>
      </c>
      <c r="B15" s="20">
        <v>4899</v>
      </c>
      <c r="C15" s="21">
        <v>1338</v>
      </c>
      <c r="D15" s="21">
        <v>9611</v>
      </c>
      <c r="E15" s="21">
        <v>202</v>
      </c>
      <c r="F15" s="21">
        <v>6700</v>
      </c>
      <c r="G15" s="21">
        <v>3291</v>
      </c>
      <c r="H15" s="21">
        <v>683</v>
      </c>
      <c r="I15" s="21">
        <v>9576</v>
      </c>
      <c r="J15" s="21">
        <v>7114</v>
      </c>
      <c r="K15" s="21">
        <v>9006</v>
      </c>
      <c r="L15" s="21">
        <v>537</v>
      </c>
      <c r="M15" s="21">
        <v>8647</v>
      </c>
      <c r="N15" s="21">
        <v>5784</v>
      </c>
      <c r="O15" s="21">
        <v>9333</v>
      </c>
      <c r="P15" s="21">
        <v>7485</v>
      </c>
      <c r="Q15" s="21">
        <v>9422</v>
      </c>
      <c r="R15" s="21">
        <v>5504</v>
      </c>
      <c r="S15" s="21">
        <v>8289</v>
      </c>
      <c r="T15" s="21">
        <v>8515</v>
      </c>
      <c r="U15" s="22">
        <v>6918</v>
      </c>
      <c r="V15" s="15"/>
      <c r="W15" s="1">
        <v>0</v>
      </c>
      <c r="X15" s="40" t="s">
        <v>417</v>
      </c>
      <c r="Y15" s="7">
        <v>1309</v>
      </c>
      <c r="Z15" s="6">
        <v>2985</v>
      </c>
      <c r="AA15" s="6">
        <v>4765</v>
      </c>
      <c r="AB15" s="6">
        <v>8283</v>
      </c>
      <c r="AC15" s="8">
        <v>4530</v>
      </c>
      <c r="AD15" s="37">
        <v>8152</v>
      </c>
      <c r="AE15" s="6">
        <v>2343</v>
      </c>
      <c r="AF15" s="6">
        <v>4388</v>
      </c>
      <c r="AG15" s="6">
        <v>3595</v>
      </c>
      <c r="AH15" s="6">
        <v>4902</v>
      </c>
      <c r="AI15" s="6">
        <v>9292</v>
      </c>
      <c r="AJ15" s="6">
        <v>6610</v>
      </c>
      <c r="AK15" s="6">
        <v>6750</v>
      </c>
      <c r="AL15" s="6">
        <v>7831</v>
      </c>
      <c r="AM15" s="6">
        <v>7144</v>
      </c>
      <c r="AN15" s="6">
        <v>430</v>
      </c>
      <c r="AO15" s="6">
        <v>6515</v>
      </c>
      <c r="AP15" s="6">
        <v>8254</v>
      </c>
      <c r="AQ15" s="6">
        <v>6842</v>
      </c>
      <c r="AR15" s="6">
        <v>2674</v>
      </c>
      <c r="AS15" s="6">
        <v>588</v>
      </c>
      <c r="AT15" s="6">
        <v>1663</v>
      </c>
      <c r="AU15" s="6">
        <v>1747</v>
      </c>
      <c r="AV15" s="6">
        <v>7722</v>
      </c>
      <c r="AW15" s="6">
        <v>9665</v>
      </c>
      <c r="AX15" s="6">
        <v>4214</v>
      </c>
      <c r="AY15" s="6">
        <v>2862</v>
      </c>
      <c r="AZ15" s="6">
        <v>4136</v>
      </c>
      <c r="BA15" s="6">
        <v>5562</v>
      </c>
      <c r="BB15" s="6">
        <v>2983</v>
      </c>
      <c r="BC15" s="6">
        <v>5563</v>
      </c>
      <c r="BD15" s="6">
        <v>5404</v>
      </c>
      <c r="BE15" s="6">
        <v>8712</v>
      </c>
      <c r="BF15" s="6">
        <v>515</v>
      </c>
      <c r="BG15" s="6">
        <v>273</v>
      </c>
      <c r="BH15" s="6">
        <v>3712</v>
      </c>
      <c r="BI15" s="6">
        <v>6795</v>
      </c>
      <c r="BJ15" s="6">
        <v>5385</v>
      </c>
      <c r="BK15" s="6">
        <v>5261</v>
      </c>
      <c r="BL15" s="6">
        <v>1156</v>
      </c>
      <c r="BM15" s="6">
        <v>8466</v>
      </c>
      <c r="BN15" s="6">
        <v>2159</v>
      </c>
      <c r="BO15" s="6">
        <v>2227</v>
      </c>
      <c r="BP15" s="6">
        <v>8150</v>
      </c>
      <c r="BQ15" s="6">
        <v>5348</v>
      </c>
      <c r="BR15" s="6">
        <v>2364</v>
      </c>
      <c r="BS15" s="6">
        <v>467</v>
      </c>
      <c r="BT15" s="6">
        <v>9919</v>
      </c>
      <c r="BU15" s="6">
        <v>1704</v>
      </c>
      <c r="BV15" s="6">
        <v>9371</v>
      </c>
      <c r="BW15" s="6">
        <v>5511</v>
      </c>
      <c r="BX15" s="6">
        <v>7205</v>
      </c>
      <c r="BY15" s="6">
        <v>1125</v>
      </c>
      <c r="BZ15" s="6">
        <v>5572</v>
      </c>
      <c r="CA15" s="6">
        <v>3777</v>
      </c>
      <c r="CB15" s="6">
        <v>5317</v>
      </c>
      <c r="CC15" s="6">
        <v>8037</v>
      </c>
      <c r="CD15" s="6">
        <v>2838</v>
      </c>
      <c r="CE15" s="6">
        <v>9973</v>
      </c>
      <c r="CF15" s="6">
        <v>6425</v>
      </c>
      <c r="CG15" s="6">
        <v>1591</v>
      </c>
      <c r="CH15" s="6">
        <v>351</v>
      </c>
      <c r="CI15" s="6">
        <v>9319</v>
      </c>
      <c r="CJ15" s="6">
        <v>5050</v>
      </c>
      <c r="CK15" s="6">
        <v>8996</v>
      </c>
      <c r="CL15" s="6">
        <v>335</v>
      </c>
      <c r="CM15" s="6">
        <v>9127</v>
      </c>
      <c r="CN15" s="6">
        <v>9113</v>
      </c>
      <c r="CO15" s="6">
        <v>3722</v>
      </c>
      <c r="CP15" s="6">
        <v>2462</v>
      </c>
      <c r="CQ15" s="6">
        <v>4933</v>
      </c>
      <c r="CR15" s="6">
        <v>8182</v>
      </c>
      <c r="CS15" s="6">
        <v>8191</v>
      </c>
      <c r="CT15" s="6">
        <v>58</v>
      </c>
      <c r="CU15" s="6">
        <v>2740</v>
      </c>
      <c r="CV15" s="6">
        <v>832</v>
      </c>
      <c r="CW15" s="6">
        <v>3148</v>
      </c>
      <c r="CX15" s="6">
        <v>4740</v>
      </c>
      <c r="CY15" s="6">
        <v>3634</v>
      </c>
      <c r="CZ15" s="6">
        <v>9035</v>
      </c>
      <c r="DA15" s="6">
        <v>2998</v>
      </c>
      <c r="DB15" s="6">
        <v>7722</v>
      </c>
      <c r="DC15" s="6">
        <v>333</v>
      </c>
      <c r="DD15" s="6">
        <v>1693</v>
      </c>
      <c r="DE15" s="6">
        <v>3800</v>
      </c>
      <c r="DF15" s="6">
        <v>3383</v>
      </c>
      <c r="DG15" s="6">
        <v>5525</v>
      </c>
      <c r="DH15" s="6">
        <v>7320</v>
      </c>
      <c r="DI15" s="6">
        <v>8044</v>
      </c>
      <c r="DJ15" s="6">
        <v>671</v>
      </c>
      <c r="DK15" s="6">
        <v>2447</v>
      </c>
      <c r="DL15" s="6">
        <v>209</v>
      </c>
      <c r="DM15" s="6">
        <v>2251</v>
      </c>
      <c r="DN15" s="6">
        <v>938</v>
      </c>
      <c r="DO15" s="6">
        <v>2565</v>
      </c>
      <c r="DP15" s="6">
        <v>7877</v>
      </c>
      <c r="DQ15" s="6">
        <v>7962</v>
      </c>
      <c r="DR15" s="6">
        <v>6294</v>
      </c>
      <c r="DS15" s="6">
        <v>8425</v>
      </c>
      <c r="DT15" s="6">
        <v>186</v>
      </c>
      <c r="DU15" s="6">
        <v>1173</v>
      </c>
      <c r="DV15" s="6">
        <v>6459</v>
      </c>
      <c r="DW15" s="6">
        <v>205</v>
      </c>
      <c r="DX15" s="6">
        <v>7717</v>
      </c>
      <c r="DY15" s="6">
        <v>5607</v>
      </c>
      <c r="DZ15" s="6">
        <v>6138</v>
      </c>
      <c r="EA15" s="6">
        <v>5643</v>
      </c>
      <c r="EB15" s="6">
        <v>5730</v>
      </c>
      <c r="EC15" s="6">
        <v>9238</v>
      </c>
      <c r="ED15" s="6">
        <v>1654</v>
      </c>
      <c r="EE15" s="6">
        <v>2209</v>
      </c>
      <c r="EF15" s="6">
        <v>3055</v>
      </c>
      <c r="EG15" s="6">
        <v>4600</v>
      </c>
      <c r="EH15" s="6">
        <v>546</v>
      </c>
      <c r="EI15" s="6">
        <v>4720</v>
      </c>
      <c r="EJ15" s="6">
        <v>7548</v>
      </c>
      <c r="EK15" s="6">
        <v>1371</v>
      </c>
      <c r="EL15" s="6">
        <v>2567</v>
      </c>
      <c r="EM15" s="6">
        <v>9502</v>
      </c>
      <c r="EN15" s="6">
        <v>4017</v>
      </c>
      <c r="EO15" s="6">
        <v>8750</v>
      </c>
      <c r="EP15" s="6">
        <v>1938</v>
      </c>
      <c r="EQ15" s="6">
        <v>5792</v>
      </c>
      <c r="ER15" s="6">
        <v>4254</v>
      </c>
      <c r="ES15" s="6">
        <v>4255</v>
      </c>
      <c r="ET15" s="6">
        <v>541</v>
      </c>
      <c r="EU15" s="6">
        <v>6908</v>
      </c>
      <c r="EV15" s="6">
        <v>1326</v>
      </c>
      <c r="EW15" s="6">
        <v>6844</v>
      </c>
      <c r="EX15" s="6">
        <v>5998</v>
      </c>
      <c r="EY15" s="6">
        <v>4847</v>
      </c>
      <c r="EZ15" s="6">
        <v>2273</v>
      </c>
      <c r="FA15" s="6">
        <v>8744</v>
      </c>
      <c r="FB15" s="6">
        <v>9403</v>
      </c>
      <c r="FC15" s="6">
        <v>9275</v>
      </c>
      <c r="FD15" s="6">
        <v>2342</v>
      </c>
      <c r="FE15" s="6">
        <v>4092</v>
      </c>
      <c r="FF15" s="6">
        <v>6903</v>
      </c>
      <c r="FG15" s="6">
        <v>5222</v>
      </c>
      <c r="FH15" s="6">
        <v>9819</v>
      </c>
      <c r="FI15" s="6">
        <v>7892</v>
      </c>
      <c r="FJ15" s="6">
        <v>9448</v>
      </c>
      <c r="FK15" s="6">
        <v>981</v>
      </c>
      <c r="FL15" s="6">
        <v>743</v>
      </c>
      <c r="FM15" s="6">
        <v>7866</v>
      </c>
      <c r="FN15" s="6">
        <v>8850</v>
      </c>
      <c r="FO15" s="6">
        <v>4696</v>
      </c>
      <c r="FP15" s="6">
        <v>5851</v>
      </c>
      <c r="FQ15" s="6">
        <v>3639</v>
      </c>
      <c r="FR15" s="6">
        <v>7558</v>
      </c>
      <c r="FS15" s="6">
        <v>9404</v>
      </c>
      <c r="FT15" s="6">
        <v>924</v>
      </c>
      <c r="FU15" s="6">
        <v>7490</v>
      </c>
      <c r="FV15" s="6">
        <v>6564</v>
      </c>
      <c r="FW15" s="6">
        <v>5155</v>
      </c>
      <c r="FX15" s="6">
        <v>259</v>
      </c>
      <c r="FY15" s="6">
        <v>5214</v>
      </c>
      <c r="FZ15" s="6">
        <v>103</v>
      </c>
      <c r="GA15" s="6">
        <v>9438</v>
      </c>
      <c r="GB15" s="6">
        <v>2289</v>
      </c>
      <c r="GC15" s="6">
        <v>7417</v>
      </c>
      <c r="GD15" s="6">
        <v>9542</v>
      </c>
      <c r="GE15" s="6">
        <v>5294</v>
      </c>
      <c r="GF15" s="6">
        <v>1480</v>
      </c>
      <c r="GG15" s="6">
        <v>2330</v>
      </c>
      <c r="GH15" s="6">
        <v>2259</v>
      </c>
      <c r="GI15" s="6">
        <v>6487</v>
      </c>
      <c r="GJ15" s="6">
        <v>2136</v>
      </c>
      <c r="GK15" s="6">
        <v>7516</v>
      </c>
      <c r="GL15" s="6">
        <v>9479</v>
      </c>
      <c r="GM15" s="6">
        <v>6246</v>
      </c>
      <c r="GN15" s="6">
        <v>3252</v>
      </c>
      <c r="GO15" s="6">
        <v>348</v>
      </c>
      <c r="GP15" s="6">
        <v>6899</v>
      </c>
      <c r="GQ15" s="6">
        <v>5203</v>
      </c>
      <c r="GR15" s="6">
        <v>6878</v>
      </c>
      <c r="GS15" s="6">
        <v>1360</v>
      </c>
      <c r="GT15" s="6">
        <v>6925</v>
      </c>
      <c r="GU15" s="6">
        <v>5848</v>
      </c>
      <c r="GV15" s="6">
        <v>6653</v>
      </c>
      <c r="GW15" s="6">
        <v>5206</v>
      </c>
      <c r="GX15" s="6">
        <v>30</v>
      </c>
      <c r="GY15" s="6">
        <v>4988</v>
      </c>
      <c r="GZ15" s="6">
        <v>8974</v>
      </c>
      <c r="HA15" s="6">
        <v>2867</v>
      </c>
      <c r="HB15" s="6">
        <v>3206</v>
      </c>
      <c r="HC15" s="6">
        <v>3212</v>
      </c>
      <c r="HD15" s="6">
        <v>6258</v>
      </c>
      <c r="HE15" s="6">
        <v>6485</v>
      </c>
      <c r="HF15" s="6">
        <v>1095</v>
      </c>
      <c r="HG15" s="6">
        <v>8121</v>
      </c>
      <c r="HH15" s="6">
        <v>9145</v>
      </c>
      <c r="HI15" s="6">
        <v>1569</v>
      </c>
      <c r="HJ15" s="6">
        <v>7257</v>
      </c>
      <c r="HK15" s="6">
        <v>9256</v>
      </c>
      <c r="HL15" s="6">
        <v>9281</v>
      </c>
      <c r="HM15" s="6">
        <v>7415</v>
      </c>
      <c r="HN15" s="6">
        <v>7825</v>
      </c>
      <c r="HO15" s="6">
        <v>5329</v>
      </c>
      <c r="HP15" s="6">
        <v>8433</v>
      </c>
      <c r="HQ15" s="6">
        <v>8570</v>
      </c>
      <c r="HR15" s="6">
        <v>6345</v>
      </c>
      <c r="HS15" s="6">
        <v>9740</v>
      </c>
      <c r="HT15" s="6">
        <v>470</v>
      </c>
      <c r="HU15" s="6">
        <v>8039</v>
      </c>
      <c r="HV15" s="6">
        <v>6268</v>
      </c>
      <c r="HW15" s="6">
        <v>8830</v>
      </c>
      <c r="HX15" s="6">
        <v>7383</v>
      </c>
      <c r="HY15" s="6">
        <v>8675</v>
      </c>
      <c r="HZ15" s="6">
        <v>5113</v>
      </c>
      <c r="IA15" s="6">
        <v>819</v>
      </c>
      <c r="IB15" s="6">
        <v>4775</v>
      </c>
      <c r="IC15" s="6">
        <v>781</v>
      </c>
      <c r="ID15" s="6">
        <v>8730</v>
      </c>
      <c r="IE15" s="6">
        <v>3097</v>
      </c>
      <c r="IF15" s="6">
        <v>5810</v>
      </c>
      <c r="IG15" s="6">
        <v>8574</v>
      </c>
      <c r="IH15" s="6">
        <v>5080</v>
      </c>
      <c r="II15" s="6">
        <v>3098</v>
      </c>
      <c r="IJ15" s="6">
        <v>4267</v>
      </c>
      <c r="IK15" s="6">
        <v>2326</v>
      </c>
      <c r="IL15" s="6">
        <v>7030</v>
      </c>
      <c r="IM15" s="6">
        <v>4210</v>
      </c>
      <c r="IN15" s="6">
        <v>3241</v>
      </c>
      <c r="IO15" s="6">
        <v>8468</v>
      </c>
      <c r="IP15" s="6">
        <v>944</v>
      </c>
      <c r="IQ15" s="6">
        <v>5657</v>
      </c>
      <c r="IR15" s="6">
        <v>5875</v>
      </c>
      <c r="IS15" s="6">
        <v>5971</v>
      </c>
      <c r="IT15" s="6">
        <v>4163</v>
      </c>
      <c r="IU15" s="6">
        <v>5090</v>
      </c>
      <c r="IV15" s="6">
        <v>7899</v>
      </c>
      <c r="IW15" s="6">
        <v>1949</v>
      </c>
      <c r="IX15" s="6">
        <v>8983</v>
      </c>
      <c r="IY15" s="6">
        <v>2515</v>
      </c>
      <c r="IZ15" s="6">
        <v>7811</v>
      </c>
      <c r="JA15" s="6">
        <v>7232</v>
      </c>
      <c r="JB15" s="6">
        <v>8902</v>
      </c>
      <c r="JC15" s="6">
        <v>6573</v>
      </c>
      <c r="JD15" s="6">
        <v>1973</v>
      </c>
      <c r="JE15" s="6">
        <v>8743</v>
      </c>
      <c r="JF15" s="6">
        <v>8424</v>
      </c>
      <c r="JG15" s="6">
        <v>2481</v>
      </c>
      <c r="JH15" s="6">
        <v>9041</v>
      </c>
      <c r="JI15" s="6">
        <v>2174</v>
      </c>
      <c r="JJ15" s="6">
        <v>6146</v>
      </c>
      <c r="JK15" s="6">
        <v>8136</v>
      </c>
      <c r="JL15" s="6">
        <v>2742</v>
      </c>
      <c r="JM15" s="6">
        <v>2602</v>
      </c>
      <c r="JN15" s="6">
        <v>9050</v>
      </c>
      <c r="JO15" s="6">
        <v>7134</v>
      </c>
      <c r="JP15" s="6">
        <v>1427</v>
      </c>
      <c r="JQ15" s="6">
        <v>4351</v>
      </c>
      <c r="JR15" s="6">
        <v>3157</v>
      </c>
      <c r="JS15" s="6">
        <v>9758</v>
      </c>
      <c r="JT15" s="6">
        <v>6847</v>
      </c>
      <c r="JU15" s="6">
        <v>1874</v>
      </c>
      <c r="JV15" s="6">
        <v>8553</v>
      </c>
      <c r="JW15" s="6">
        <v>4635</v>
      </c>
      <c r="JX15" s="6">
        <v>6867</v>
      </c>
      <c r="JY15" s="6">
        <v>6303</v>
      </c>
      <c r="JZ15" s="6">
        <v>594</v>
      </c>
      <c r="KA15" s="6">
        <v>364</v>
      </c>
      <c r="KB15" s="6">
        <v>6934</v>
      </c>
      <c r="KC15" s="6">
        <v>9761</v>
      </c>
      <c r="KD15" s="6">
        <v>1851</v>
      </c>
      <c r="KE15" s="6">
        <v>1544</v>
      </c>
      <c r="KF15" s="6">
        <v>5798</v>
      </c>
      <c r="KG15" s="6">
        <v>5806</v>
      </c>
      <c r="KH15" s="6">
        <v>1016</v>
      </c>
      <c r="KI15" s="6">
        <v>1594</v>
      </c>
      <c r="KJ15" s="6">
        <v>92</v>
      </c>
      <c r="KK15" s="6">
        <v>6938</v>
      </c>
      <c r="KL15" s="6">
        <v>5320</v>
      </c>
      <c r="KM15" s="6">
        <v>1505</v>
      </c>
      <c r="KN15" s="6">
        <v>5980</v>
      </c>
      <c r="KO15" s="6">
        <v>4744</v>
      </c>
      <c r="KP15" s="6">
        <v>8269</v>
      </c>
      <c r="KQ15" s="6">
        <v>737</v>
      </c>
      <c r="KR15" s="6">
        <v>7936</v>
      </c>
      <c r="KS15" s="6">
        <v>2224</v>
      </c>
      <c r="KT15" s="6">
        <v>6455</v>
      </c>
      <c r="KU15" s="6">
        <v>943</v>
      </c>
      <c r="KV15" s="6">
        <v>850</v>
      </c>
      <c r="KW15" s="6">
        <v>4397</v>
      </c>
      <c r="KX15" s="6">
        <v>7557</v>
      </c>
      <c r="KY15" s="6">
        <v>3514</v>
      </c>
      <c r="KZ15" s="6">
        <v>3019</v>
      </c>
      <c r="LA15" s="6">
        <v>2179</v>
      </c>
      <c r="LB15" s="6">
        <v>7843</v>
      </c>
      <c r="LC15" s="6">
        <v>9301</v>
      </c>
      <c r="LD15" s="6">
        <v>5434</v>
      </c>
      <c r="LE15" s="6">
        <v>3717</v>
      </c>
      <c r="LF15" s="6">
        <v>3721</v>
      </c>
      <c r="LG15" s="6">
        <v>4500</v>
      </c>
      <c r="LH15" s="6">
        <v>5292</v>
      </c>
      <c r="LI15" s="6">
        <v>8366</v>
      </c>
      <c r="LJ15" s="6">
        <v>1415</v>
      </c>
      <c r="LK15" s="6">
        <v>290</v>
      </c>
      <c r="LL15" s="6">
        <v>1072</v>
      </c>
      <c r="LM15" s="6">
        <v>3113</v>
      </c>
      <c r="LN15" s="6">
        <v>788</v>
      </c>
      <c r="LO15" s="6">
        <v>3858</v>
      </c>
      <c r="LP15" s="6">
        <v>9547</v>
      </c>
      <c r="LQ15" s="6">
        <v>796</v>
      </c>
      <c r="LR15" s="6">
        <v>1782</v>
      </c>
      <c r="LS15" s="6">
        <v>6468</v>
      </c>
      <c r="LT15" s="6">
        <v>8669</v>
      </c>
      <c r="LU15" s="6">
        <v>3152</v>
      </c>
      <c r="LV15" s="6">
        <v>735</v>
      </c>
      <c r="LW15" s="6">
        <v>6025</v>
      </c>
      <c r="LX15" s="6">
        <v>1210</v>
      </c>
      <c r="LY15" s="6">
        <v>874</v>
      </c>
      <c r="LZ15" s="6">
        <v>3244</v>
      </c>
      <c r="MA15" s="6">
        <v>3092</v>
      </c>
      <c r="MB15" s="6">
        <v>214</v>
      </c>
      <c r="MC15" s="6">
        <v>8658</v>
      </c>
      <c r="MD15" s="6">
        <v>9614</v>
      </c>
      <c r="ME15" s="6">
        <v>3064</v>
      </c>
      <c r="MF15" s="6">
        <v>1053</v>
      </c>
      <c r="MG15" s="6">
        <v>981</v>
      </c>
      <c r="MH15" s="6">
        <v>7049</v>
      </c>
      <c r="MI15" s="6">
        <v>8856</v>
      </c>
      <c r="MJ15" s="6">
        <v>5907</v>
      </c>
      <c r="MK15" s="6">
        <v>8254</v>
      </c>
      <c r="ML15" s="6">
        <v>6117</v>
      </c>
      <c r="MM15" s="6">
        <v>2060</v>
      </c>
      <c r="MN15" s="6">
        <v>8343</v>
      </c>
      <c r="MO15" s="6">
        <v>1524</v>
      </c>
      <c r="MP15" s="6">
        <v>1111</v>
      </c>
      <c r="MQ15" s="6">
        <v>8860</v>
      </c>
      <c r="MR15" s="6">
        <v>1072</v>
      </c>
      <c r="MS15" s="6">
        <v>152</v>
      </c>
      <c r="MT15" s="6">
        <v>9498</v>
      </c>
      <c r="MU15" s="6">
        <v>9454</v>
      </c>
      <c r="MV15" s="6">
        <v>1196</v>
      </c>
      <c r="MW15" s="6">
        <v>551</v>
      </c>
      <c r="MX15" s="6">
        <v>6243</v>
      </c>
      <c r="MY15" s="6">
        <v>220</v>
      </c>
      <c r="MZ15" s="6">
        <v>140</v>
      </c>
      <c r="NA15" s="6">
        <v>2772</v>
      </c>
      <c r="NB15" s="6">
        <v>1687</v>
      </c>
      <c r="NC15" s="6">
        <v>7422</v>
      </c>
      <c r="ND15" s="6">
        <v>1892</v>
      </c>
      <c r="NE15" s="6">
        <v>5414</v>
      </c>
      <c r="NF15" s="6">
        <v>7049</v>
      </c>
      <c r="NG15" s="6">
        <v>6211</v>
      </c>
      <c r="NH15" s="6">
        <v>3755</v>
      </c>
      <c r="NI15" s="6">
        <v>4395</v>
      </c>
      <c r="NJ15" s="6">
        <v>7917</v>
      </c>
      <c r="NK15" s="6">
        <v>5103</v>
      </c>
      <c r="NL15" s="6">
        <v>8231</v>
      </c>
      <c r="NM15" s="6">
        <v>2908</v>
      </c>
      <c r="NN15" s="6">
        <v>8629</v>
      </c>
      <c r="NO15" s="6">
        <v>8012</v>
      </c>
      <c r="NP15" s="6">
        <v>2149</v>
      </c>
      <c r="NQ15" s="6">
        <v>7183</v>
      </c>
      <c r="NR15" s="6">
        <v>8654</v>
      </c>
      <c r="NS15" s="6">
        <v>3041</v>
      </c>
      <c r="NT15" s="6">
        <v>841</v>
      </c>
      <c r="NU15" s="6">
        <v>5635</v>
      </c>
      <c r="NV15" s="6">
        <v>6721</v>
      </c>
      <c r="NW15" s="6">
        <v>1671</v>
      </c>
      <c r="NX15" s="6">
        <v>353</v>
      </c>
      <c r="NY15" s="6">
        <v>728</v>
      </c>
      <c r="NZ15" s="6">
        <v>7642</v>
      </c>
      <c r="OA15" s="6">
        <v>760</v>
      </c>
      <c r="OB15" s="6">
        <v>5986</v>
      </c>
      <c r="OC15" s="6">
        <v>7376</v>
      </c>
      <c r="OD15" s="6">
        <v>2868</v>
      </c>
      <c r="OE15" s="6">
        <v>9216</v>
      </c>
      <c r="OF15" s="6">
        <v>907</v>
      </c>
      <c r="OG15" s="6">
        <v>5135</v>
      </c>
      <c r="OH15" s="6">
        <v>7446</v>
      </c>
      <c r="OI15" s="6">
        <v>9455</v>
      </c>
      <c r="OJ15" s="6">
        <v>5467</v>
      </c>
      <c r="OK15" s="6">
        <v>4389</v>
      </c>
      <c r="OL15" s="6">
        <v>5265</v>
      </c>
      <c r="OM15" s="6">
        <v>9403</v>
      </c>
      <c r="ON15" s="6">
        <v>5230</v>
      </c>
      <c r="OO15" s="6">
        <v>3866</v>
      </c>
      <c r="OP15" s="6">
        <v>7002</v>
      </c>
      <c r="OQ15" s="6">
        <v>4360</v>
      </c>
      <c r="OR15" s="6">
        <v>9684</v>
      </c>
      <c r="OS15" s="6">
        <v>432</v>
      </c>
      <c r="OT15" s="6">
        <v>5747</v>
      </c>
      <c r="OU15" s="6">
        <v>130</v>
      </c>
      <c r="OV15" s="6">
        <v>284</v>
      </c>
      <c r="OW15" s="6">
        <v>9337</v>
      </c>
      <c r="OX15" s="6">
        <v>1322</v>
      </c>
      <c r="OY15" s="6">
        <v>8434</v>
      </c>
      <c r="OZ15" s="6">
        <v>970</v>
      </c>
      <c r="PA15" s="6">
        <v>5046</v>
      </c>
      <c r="PB15" s="6">
        <v>9512</v>
      </c>
      <c r="PC15" s="6">
        <v>1436</v>
      </c>
      <c r="PD15" s="6">
        <v>6874</v>
      </c>
      <c r="PE15" s="6">
        <v>487</v>
      </c>
      <c r="PF15" s="6">
        <v>7004</v>
      </c>
      <c r="PG15" s="8">
        <v>5128</v>
      </c>
    </row>
    <row r="16" spans="1:423" s="19" customFormat="1" ht="19.149999999999999" customHeight="1" x14ac:dyDescent="0.6">
      <c r="A16" s="25" t="s">
        <v>19</v>
      </c>
      <c r="B16" s="20">
        <v>9643</v>
      </c>
      <c r="C16" s="21">
        <v>286</v>
      </c>
      <c r="D16" s="21">
        <v>3720</v>
      </c>
      <c r="E16" s="21">
        <v>5923</v>
      </c>
      <c r="F16" s="21">
        <v>2657</v>
      </c>
      <c r="G16" s="21">
        <v>350</v>
      </c>
      <c r="H16" s="21">
        <v>6245</v>
      </c>
      <c r="I16" s="21">
        <v>5311</v>
      </c>
      <c r="J16" s="21">
        <v>9781</v>
      </c>
      <c r="K16" s="21">
        <v>5038</v>
      </c>
      <c r="L16" s="21">
        <v>5518</v>
      </c>
      <c r="M16" s="21">
        <v>4173</v>
      </c>
      <c r="N16" s="21">
        <v>1761</v>
      </c>
      <c r="O16" s="21">
        <v>1966</v>
      </c>
      <c r="P16" s="21">
        <v>7436</v>
      </c>
      <c r="Q16" s="21">
        <v>1726</v>
      </c>
      <c r="R16" s="21">
        <v>1332</v>
      </c>
      <c r="S16" s="21">
        <v>3196</v>
      </c>
      <c r="T16" s="21">
        <v>5416</v>
      </c>
      <c r="U16" s="22">
        <v>3226</v>
      </c>
      <c r="V16" s="15"/>
      <c r="W16" s="1">
        <v>0</v>
      </c>
      <c r="X16" s="40" t="s">
        <v>418</v>
      </c>
      <c r="Y16" s="7">
        <v>5244</v>
      </c>
      <c r="Z16" s="6">
        <v>2091</v>
      </c>
      <c r="AA16" s="6">
        <v>8847</v>
      </c>
      <c r="AB16" s="6">
        <v>1151</v>
      </c>
      <c r="AC16" s="8">
        <v>6884</v>
      </c>
      <c r="AD16" s="37">
        <v>2652</v>
      </c>
      <c r="AE16" s="6">
        <v>5929</v>
      </c>
      <c r="AF16" s="6">
        <v>9292</v>
      </c>
      <c r="AG16" s="6">
        <v>8</v>
      </c>
      <c r="AH16" s="6">
        <v>4106</v>
      </c>
      <c r="AI16" s="6">
        <v>3740</v>
      </c>
      <c r="AJ16" s="6">
        <v>9331</v>
      </c>
      <c r="AK16" s="6">
        <v>776</v>
      </c>
      <c r="AL16" s="6">
        <v>4815</v>
      </c>
      <c r="AM16" s="6">
        <v>9106</v>
      </c>
      <c r="AN16" s="6">
        <v>4339</v>
      </c>
      <c r="AO16" s="6">
        <v>50</v>
      </c>
      <c r="AP16" s="6">
        <v>1885</v>
      </c>
      <c r="AQ16" s="6">
        <v>3693</v>
      </c>
      <c r="AR16" s="6">
        <v>4294</v>
      </c>
      <c r="AS16" s="6">
        <v>5313</v>
      </c>
      <c r="AT16" s="6">
        <v>6099</v>
      </c>
      <c r="AU16" s="6">
        <v>3738</v>
      </c>
      <c r="AV16" s="6">
        <v>2850</v>
      </c>
      <c r="AW16" s="6">
        <v>3639</v>
      </c>
      <c r="AX16" s="6">
        <v>5682</v>
      </c>
      <c r="AY16" s="6">
        <v>2484</v>
      </c>
      <c r="AZ16" s="6">
        <v>505</v>
      </c>
      <c r="BA16" s="6">
        <v>6742</v>
      </c>
      <c r="BB16" s="6">
        <v>7896</v>
      </c>
      <c r="BC16" s="6">
        <v>2046</v>
      </c>
      <c r="BD16" s="6">
        <v>2208</v>
      </c>
      <c r="BE16" s="6">
        <v>2615</v>
      </c>
      <c r="BF16" s="6">
        <v>2988</v>
      </c>
      <c r="BG16" s="6">
        <v>1440</v>
      </c>
      <c r="BH16" s="6">
        <v>4551</v>
      </c>
      <c r="BI16" s="6">
        <v>218</v>
      </c>
      <c r="BJ16" s="6">
        <v>4954</v>
      </c>
      <c r="BK16" s="6">
        <v>3522</v>
      </c>
      <c r="BL16" s="6">
        <v>3190</v>
      </c>
      <c r="BM16" s="6">
        <v>7930</v>
      </c>
      <c r="BN16" s="6">
        <v>1061</v>
      </c>
      <c r="BO16" s="6">
        <v>9243</v>
      </c>
      <c r="BP16" s="6">
        <v>3089</v>
      </c>
      <c r="BQ16" s="6">
        <v>7205</v>
      </c>
      <c r="BR16" s="6">
        <v>1808</v>
      </c>
      <c r="BS16" s="6">
        <v>4007</v>
      </c>
      <c r="BT16" s="6">
        <v>6211</v>
      </c>
      <c r="BU16" s="6">
        <v>8949</v>
      </c>
      <c r="BV16" s="6">
        <v>7163</v>
      </c>
      <c r="BW16" s="6">
        <v>9520</v>
      </c>
      <c r="BX16" s="6">
        <v>454</v>
      </c>
      <c r="BY16" s="6">
        <v>4978</v>
      </c>
      <c r="BZ16" s="6">
        <v>9307</v>
      </c>
      <c r="CA16" s="6">
        <v>7815</v>
      </c>
      <c r="CB16" s="6">
        <v>3538</v>
      </c>
      <c r="CC16" s="6">
        <v>6798</v>
      </c>
      <c r="CD16" s="6">
        <v>8095</v>
      </c>
      <c r="CE16" s="6">
        <v>6032</v>
      </c>
      <c r="CF16" s="6">
        <v>4304</v>
      </c>
      <c r="CG16" s="6">
        <v>2809</v>
      </c>
      <c r="CH16" s="6">
        <v>3931</v>
      </c>
      <c r="CI16" s="6">
        <v>1943</v>
      </c>
      <c r="CJ16" s="6">
        <v>4176</v>
      </c>
      <c r="CK16" s="6">
        <v>1173</v>
      </c>
      <c r="CL16" s="6">
        <v>1439</v>
      </c>
      <c r="CM16" s="6">
        <v>9750</v>
      </c>
      <c r="CN16" s="6">
        <v>5561</v>
      </c>
      <c r="CO16" s="6">
        <v>4481</v>
      </c>
      <c r="CP16" s="6">
        <v>4124</v>
      </c>
      <c r="CQ16" s="6">
        <v>6233</v>
      </c>
      <c r="CR16" s="6">
        <v>2247</v>
      </c>
      <c r="CS16" s="6">
        <v>8113</v>
      </c>
      <c r="CT16" s="6">
        <v>8199</v>
      </c>
      <c r="CU16" s="6">
        <v>8045</v>
      </c>
      <c r="CV16" s="6">
        <v>5079</v>
      </c>
      <c r="CW16" s="6">
        <v>2751</v>
      </c>
      <c r="CX16" s="6">
        <v>54</v>
      </c>
      <c r="CY16" s="6">
        <v>4383</v>
      </c>
      <c r="CZ16" s="6">
        <v>2815</v>
      </c>
      <c r="DA16" s="6">
        <v>7603</v>
      </c>
      <c r="DB16" s="6">
        <v>5738</v>
      </c>
      <c r="DC16" s="6">
        <v>905</v>
      </c>
      <c r="DD16" s="6">
        <v>6523</v>
      </c>
      <c r="DE16" s="6">
        <v>7993</v>
      </c>
      <c r="DF16" s="6">
        <v>8855</v>
      </c>
      <c r="DG16" s="6">
        <v>5216</v>
      </c>
      <c r="DH16" s="6">
        <v>3875</v>
      </c>
      <c r="DI16" s="6">
        <v>9320</v>
      </c>
      <c r="DJ16" s="6">
        <v>7472</v>
      </c>
      <c r="DK16" s="6">
        <v>9149</v>
      </c>
      <c r="DL16" s="6">
        <v>1272</v>
      </c>
      <c r="DM16" s="6">
        <v>3741</v>
      </c>
      <c r="DN16" s="6">
        <v>6428</v>
      </c>
      <c r="DO16" s="6">
        <v>1970</v>
      </c>
      <c r="DP16" s="6">
        <v>1079</v>
      </c>
      <c r="DQ16" s="6">
        <v>5234</v>
      </c>
      <c r="DR16" s="6">
        <v>9934</v>
      </c>
      <c r="DS16" s="6">
        <v>4005</v>
      </c>
      <c r="DT16" s="6">
        <v>4712</v>
      </c>
      <c r="DU16" s="6">
        <v>731</v>
      </c>
      <c r="DV16" s="6">
        <v>6773</v>
      </c>
      <c r="DW16" s="6">
        <v>8446</v>
      </c>
      <c r="DX16" s="6">
        <v>7000</v>
      </c>
      <c r="DY16" s="6">
        <v>5937</v>
      </c>
      <c r="DZ16" s="6">
        <v>8769</v>
      </c>
      <c r="EA16" s="6">
        <v>5173</v>
      </c>
      <c r="EB16" s="6">
        <v>7239</v>
      </c>
      <c r="EC16" s="6">
        <v>3058</v>
      </c>
      <c r="ED16" s="6">
        <v>4679</v>
      </c>
      <c r="EE16" s="6">
        <v>2686</v>
      </c>
      <c r="EF16" s="6">
        <v>2385</v>
      </c>
      <c r="EG16" s="6">
        <v>7476</v>
      </c>
      <c r="EH16" s="6">
        <v>7780</v>
      </c>
      <c r="EI16" s="6">
        <v>5200</v>
      </c>
      <c r="EJ16" s="6">
        <v>1758</v>
      </c>
      <c r="EK16" s="6">
        <v>2644</v>
      </c>
      <c r="EL16" s="6">
        <v>373</v>
      </c>
      <c r="EM16" s="6">
        <v>5770</v>
      </c>
      <c r="EN16" s="6">
        <v>1521</v>
      </c>
      <c r="EO16" s="6">
        <v>6884</v>
      </c>
      <c r="EP16" s="6">
        <v>5985</v>
      </c>
      <c r="EQ16" s="6">
        <v>10</v>
      </c>
      <c r="ER16" s="6">
        <v>2178</v>
      </c>
      <c r="ES16" s="6">
        <v>6110</v>
      </c>
      <c r="ET16" s="6">
        <v>1359</v>
      </c>
      <c r="EU16" s="6">
        <v>3659</v>
      </c>
      <c r="EV16" s="6">
        <v>8583</v>
      </c>
      <c r="EW16" s="6">
        <v>6470</v>
      </c>
      <c r="EX16" s="6">
        <v>1670</v>
      </c>
      <c r="EY16" s="6">
        <v>9252</v>
      </c>
      <c r="EZ16" s="6">
        <v>6000</v>
      </c>
      <c r="FA16" s="6">
        <v>2945</v>
      </c>
      <c r="FB16" s="6">
        <v>7914</v>
      </c>
      <c r="FC16" s="6">
        <v>3120</v>
      </c>
      <c r="FD16" s="6">
        <v>5626</v>
      </c>
      <c r="FE16" s="6">
        <v>7415</v>
      </c>
      <c r="FF16" s="6">
        <v>8267</v>
      </c>
      <c r="FG16" s="6">
        <v>2572</v>
      </c>
      <c r="FH16" s="6">
        <v>7403</v>
      </c>
      <c r="FI16" s="6">
        <v>7414</v>
      </c>
      <c r="FJ16" s="6">
        <v>6744</v>
      </c>
      <c r="FK16" s="6">
        <v>6822</v>
      </c>
      <c r="FL16" s="6">
        <v>1043</v>
      </c>
      <c r="FM16" s="6">
        <v>2306</v>
      </c>
      <c r="FN16" s="6">
        <v>9891</v>
      </c>
      <c r="FO16" s="6">
        <v>6136</v>
      </c>
      <c r="FP16" s="6">
        <v>5259</v>
      </c>
      <c r="FQ16" s="6">
        <v>7885</v>
      </c>
      <c r="FR16" s="6">
        <v>9736</v>
      </c>
      <c r="FS16" s="6">
        <v>1769</v>
      </c>
      <c r="FT16" s="6">
        <v>3948</v>
      </c>
      <c r="FU16" s="6">
        <v>9750</v>
      </c>
      <c r="FV16" s="6">
        <v>8767</v>
      </c>
      <c r="FW16" s="6">
        <v>224</v>
      </c>
      <c r="FX16" s="6">
        <v>1368</v>
      </c>
      <c r="FY16" s="6">
        <v>3142</v>
      </c>
      <c r="FZ16" s="6">
        <v>2515</v>
      </c>
      <c r="GA16" s="6">
        <v>3463</v>
      </c>
      <c r="GB16" s="6">
        <v>8405</v>
      </c>
      <c r="GC16" s="6">
        <v>6772</v>
      </c>
      <c r="GD16" s="6">
        <v>6380</v>
      </c>
      <c r="GE16" s="6">
        <v>1858</v>
      </c>
      <c r="GF16" s="6">
        <v>5389</v>
      </c>
      <c r="GG16" s="6">
        <v>5138</v>
      </c>
      <c r="GH16" s="6">
        <v>2622</v>
      </c>
      <c r="GI16" s="6">
        <v>3950</v>
      </c>
      <c r="GJ16" s="6">
        <v>9572</v>
      </c>
      <c r="GK16" s="6">
        <v>301</v>
      </c>
      <c r="GL16" s="6">
        <v>9055</v>
      </c>
      <c r="GM16" s="6">
        <v>5828</v>
      </c>
      <c r="GN16" s="6">
        <v>9027</v>
      </c>
      <c r="GO16" s="6">
        <v>2562</v>
      </c>
      <c r="GP16" s="6">
        <v>1139</v>
      </c>
      <c r="GQ16" s="6">
        <v>4199</v>
      </c>
      <c r="GR16" s="6">
        <v>2133</v>
      </c>
      <c r="GS16" s="6">
        <v>7930</v>
      </c>
      <c r="GT16" s="6">
        <v>55</v>
      </c>
      <c r="GU16" s="6">
        <v>9065</v>
      </c>
      <c r="GV16" s="6">
        <v>4505</v>
      </c>
      <c r="GW16" s="6">
        <v>1597</v>
      </c>
      <c r="GX16" s="6">
        <v>7630</v>
      </c>
      <c r="GY16" s="6">
        <v>1926</v>
      </c>
      <c r="GZ16" s="6">
        <v>3857</v>
      </c>
      <c r="HA16" s="6">
        <v>9134</v>
      </c>
      <c r="HB16" s="6">
        <v>3740</v>
      </c>
      <c r="HC16" s="6">
        <v>9490</v>
      </c>
      <c r="HD16" s="6">
        <v>706</v>
      </c>
      <c r="HE16" s="6">
        <v>2479</v>
      </c>
      <c r="HF16" s="6">
        <v>1266</v>
      </c>
      <c r="HG16" s="6">
        <v>6890</v>
      </c>
      <c r="HH16" s="6">
        <v>5484</v>
      </c>
      <c r="HI16" s="6">
        <v>2711</v>
      </c>
      <c r="HJ16" s="6">
        <v>8120</v>
      </c>
      <c r="HK16" s="6">
        <v>1035</v>
      </c>
      <c r="HL16" s="6">
        <v>4619</v>
      </c>
      <c r="HM16" s="6">
        <v>5463</v>
      </c>
      <c r="HN16" s="6">
        <v>6008</v>
      </c>
      <c r="HO16" s="6">
        <v>1182</v>
      </c>
      <c r="HP16" s="6">
        <v>9099</v>
      </c>
      <c r="HQ16" s="6">
        <v>8961</v>
      </c>
      <c r="HR16" s="6">
        <v>9025</v>
      </c>
      <c r="HS16" s="6">
        <v>2253</v>
      </c>
      <c r="HT16" s="6">
        <v>8453</v>
      </c>
      <c r="HU16" s="6">
        <v>1969</v>
      </c>
      <c r="HV16" s="6">
        <v>970</v>
      </c>
      <c r="HW16" s="6">
        <v>3131</v>
      </c>
      <c r="HX16" s="6">
        <v>3988</v>
      </c>
      <c r="HY16" s="6">
        <v>6597</v>
      </c>
      <c r="HZ16" s="6">
        <v>391</v>
      </c>
      <c r="IA16" s="6">
        <v>4740</v>
      </c>
      <c r="IB16" s="6">
        <v>5429</v>
      </c>
      <c r="IC16" s="6">
        <v>1000</v>
      </c>
      <c r="ID16" s="6">
        <v>6093</v>
      </c>
      <c r="IE16" s="6">
        <v>934</v>
      </c>
      <c r="IF16" s="6">
        <v>7079</v>
      </c>
      <c r="IG16" s="6">
        <v>6059</v>
      </c>
      <c r="IH16" s="6">
        <v>8928</v>
      </c>
      <c r="II16" s="6">
        <v>3352</v>
      </c>
      <c r="IJ16" s="6">
        <v>4144</v>
      </c>
      <c r="IK16" s="6">
        <v>1041</v>
      </c>
      <c r="IL16" s="6">
        <v>9649</v>
      </c>
      <c r="IM16" s="6">
        <v>6332</v>
      </c>
      <c r="IN16" s="6">
        <v>7202</v>
      </c>
      <c r="IO16" s="6">
        <v>7767</v>
      </c>
      <c r="IP16" s="6">
        <v>5484</v>
      </c>
      <c r="IQ16" s="6">
        <v>4539</v>
      </c>
      <c r="IR16" s="6">
        <v>3732</v>
      </c>
      <c r="IS16" s="6">
        <v>4910</v>
      </c>
      <c r="IT16" s="6">
        <v>7269</v>
      </c>
      <c r="IU16" s="6">
        <v>5853</v>
      </c>
      <c r="IV16" s="6">
        <v>6951</v>
      </c>
      <c r="IW16" s="6">
        <v>9194</v>
      </c>
      <c r="IX16" s="6">
        <v>7732</v>
      </c>
      <c r="IY16" s="6">
        <v>2283</v>
      </c>
      <c r="IZ16" s="6">
        <v>9139</v>
      </c>
      <c r="JA16" s="6">
        <v>4042</v>
      </c>
      <c r="JB16" s="6">
        <v>7421</v>
      </c>
      <c r="JC16" s="6">
        <v>4265</v>
      </c>
      <c r="JD16" s="6">
        <v>4682</v>
      </c>
      <c r="JE16" s="6">
        <v>6350</v>
      </c>
      <c r="JF16" s="6">
        <v>6562</v>
      </c>
      <c r="JG16" s="6">
        <v>9453</v>
      </c>
      <c r="JH16" s="6">
        <v>7823</v>
      </c>
      <c r="JI16" s="6">
        <v>3848</v>
      </c>
      <c r="JJ16" s="6">
        <v>510</v>
      </c>
      <c r="JK16" s="6">
        <v>5345</v>
      </c>
      <c r="JL16" s="6">
        <v>4761</v>
      </c>
      <c r="JM16" s="6">
        <v>8202</v>
      </c>
      <c r="JN16" s="6">
        <v>5315</v>
      </c>
      <c r="JO16" s="6">
        <v>9321</v>
      </c>
      <c r="JP16" s="6">
        <v>3801</v>
      </c>
      <c r="JQ16" s="6">
        <v>184</v>
      </c>
      <c r="JR16" s="6">
        <v>571</v>
      </c>
      <c r="JS16" s="6">
        <v>4304</v>
      </c>
      <c r="JT16" s="6">
        <v>5299</v>
      </c>
      <c r="JU16" s="6">
        <v>2466</v>
      </c>
      <c r="JV16" s="6">
        <v>9771</v>
      </c>
      <c r="JW16" s="6">
        <v>1978</v>
      </c>
      <c r="JX16" s="6">
        <v>6929</v>
      </c>
      <c r="JY16" s="6">
        <v>7994</v>
      </c>
      <c r="JZ16" s="6">
        <v>8780</v>
      </c>
      <c r="KA16" s="6">
        <v>8050</v>
      </c>
      <c r="KB16" s="6">
        <v>8322</v>
      </c>
      <c r="KC16" s="6">
        <v>3618</v>
      </c>
      <c r="KD16" s="6">
        <v>2539</v>
      </c>
      <c r="KE16" s="6">
        <v>3287</v>
      </c>
      <c r="KF16" s="6">
        <v>7983</v>
      </c>
      <c r="KG16" s="6">
        <v>4670</v>
      </c>
      <c r="KH16" s="6">
        <v>6199</v>
      </c>
      <c r="KI16" s="6">
        <v>1490</v>
      </c>
      <c r="KJ16" s="6">
        <v>2393</v>
      </c>
      <c r="KK16" s="6">
        <v>2067</v>
      </c>
      <c r="KL16" s="6">
        <v>1932</v>
      </c>
      <c r="KM16" s="6">
        <v>6632</v>
      </c>
      <c r="KN16" s="6">
        <v>4060</v>
      </c>
      <c r="KO16" s="6">
        <v>8416</v>
      </c>
      <c r="KP16" s="6">
        <v>3610</v>
      </c>
      <c r="KQ16" s="6">
        <v>3850</v>
      </c>
      <c r="KR16" s="6">
        <v>1291</v>
      </c>
      <c r="KS16" s="6">
        <v>859</v>
      </c>
      <c r="KT16" s="6">
        <v>7187</v>
      </c>
      <c r="KU16" s="6">
        <v>7185</v>
      </c>
      <c r="KV16" s="6">
        <v>2742</v>
      </c>
      <c r="KW16" s="6">
        <v>6800</v>
      </c>
      <c r="KX16" s="6">
        <v>4469</v>
      </c>
      <c r="KY16" s="6">
        <v>4411</v>
      </c>
      <c r="KZ16" s="6">
        <v>3828</v>
      </c>
      <c r="LA16" s="6">
        <v>3052</v>
      </c>
      <c r="LB16" s="6">
        <v>9348</v>
      </c>
      <c r="LC16" s="6">
        <v>6682</v>
      </c>
      <c r="LD16" s="6">
        <v>1152</v>
      </c>
      <c r="LE16" s="6">
        <v>2509</v>
      </c>
      <c r="LF16" s="6">
        <v>9402</v>
      </c>
      <c r="LG16" s="6">
        <v>4770</v>
      </c>
      <c r="LH16" s="6">
        <v>949</v>
      </c>
      <c r="LI16" s="6">
        <v>454</v>
      </c>
      <c r="LJ16" s="6">
        <v>2498</v>
      </c>
      <c r="LK16" s="6">
        <v>1318</v>
      </c>
      <c r="LL16" s="6">
        <v>6191</v>
      </c>
      <c r="LM16" s="6">
        <v>3448</v>
      </c>
      <c r="LN16" s="6">
        <v>2292</v>
      </c>
      <c r="LO16" s="6">
        <v>1826</v>
      </c>
      <c r="LP16" s="6">
        <v>8223</v>
      </c>
      <c r="LQ16" s="6">
        <v>2286</v>
      </c>
      <c r="LR16" s="6">
        <v>1208</v>
      </c>
      <c r="LS16" s="6">
        <v>1307</v>
      </c>
      <c r="LT16" s="6">
        <v>2586</v>
      </c>
      <c r="LU16" s="6">
        <v>5323</v>
      </c>
      <c r="LV16" s="6">
        <v>5884</v>
      </c>
      <c r="LW16" s="6">
        <v>3871</v>
      </c>
      <c r="LX16" s="6">
        <v>9360</v>
      </c>
      <c r="LY16" s="6">
        <v>1184</v>
      </c>
      <c r="LZ16" s="6">
        <v>3764</v>
      </c>
      <c r="MA16" s="6">
        <v>7938</v>
      </c>
      <c r="MB16" s="6">
        <v>4186</v>
      </c>
      <c r="MC16" s="6">
        <v>6558</v>
      </c>
      <c r="MD16" s="6">
        <v>5930</v>
      </c>
      <c r="ME16" s="6">
        <v>7605</v>
      </c>
      <c r="MF16" s="6">
        <v>7673</v>
      </c>
      <c r="MG16" s="6">
        <v>1911</v>
      </c>
      <c r="MH16" s="6">
        <v>9033</v>
      </c>
      <c r="MI16" s="6">
        <v>4707</v>
      </c>
      <c r="MJ16" s="6">
        <v>3612</v>
      </c>
      <c r="MK16" s="6">
        <v>7333</v>
      </c>
      <c r="ML16" s="6">
        <v>2313</v>
      </c>
      <c r="MM16" s="6">
        <v>6582</v>
      </c>
      <c r="MN16" s="6">
        <v>4281</v>
      </c>
      <c r="MO16" s="6">
        <v>1859</v>
      </c>
      <c r="MP16" s="6">
        <v>8288</v>
      </c>
      <c r="MQ16" s="6">
        <v>4732</v>
      </c>
      <c r="MR16" s="6">
        <v>1447</v>
      </c>
      <c r="MS16" s="6">
        <v>6590</v>
      </c>
      <c r="MT16" s="6">
        <v>9807</v>
      </c>
      <c r="MU16" s="6">
        <v>4232</v>
      </c>
      <c r="MV16" s="6">
        <v>1717</v>
      </c>
      <c r="MW16" s="6">
        <v>6459</v>
      </c>
      <c r="MX16" s="6">
        <v>4205</v>
      </c>
      <c r="MY16" s="6">
        <v>2900</v>
      </c>
      <c r="MZ16" s="6">
        <v>2134</v>
      </c>
      <c r="NA16" s="6">
        <v>2146</v>
      </c>
      <c r="NB16" s="6">
        <v>7207</v>
      </c>
      <c r="NC16" s="6">
        <v>4631</v>
      </c>
      <c r="ND16" s="6">
        <v>7556</v>
      </c>
      <c r="NE16" s="6">
        <v>5768</v>
      </c>
      <c r="NF16" s="6">
        <v>3109</v>
      </c>
      <c r="NG16" s="6">
        <v>9246</v>
      </c>
      <c r="NH16" s="6">
        <v>6391</v>
      </c>
      <c r="NI16" s="6">
        <v>4562</v>
      </c>
      <c r="NJ16" s="6">
        <v>1933</v>
      </c>
      <c r="NK16" s="6">
        <v>3959</v>
      </c>
      <c r="NL16" s="6">
        <v>5176</v>
      </c>
      <c r="NM16" s="6">
        <v>7808</v>
      </c>
      <c r="NN16" s="6">
        <v>3199</v>
      </c>
      <c r="NO16" s="6">
        <v>217</v>
      </c>
      <c r="NP16" s="6">
        <v>9061</v>
      </c>
      <c r="NQ16" s="6">
        <v>4759</v>
      </c>
      <c r="NR16" s="6">
        <v>7055</v>
      </c>
      <c r="NS16" s="6">
        <v>8094</v>
      </c>
      <c r="NT16" s="6">
        <v>7531</v>
      </c>
      <c r="NU16" s="6">
        <v>234</v>
      </c>
      <c r="NV16" s="6">
        <v>5632</v>
      </c>
      <c r="NW16" s="6">
        <v>4955</v>
      </c>
      <c r="NX16" s="6">
        <v>3507</v>
      </c>
      <c r="NY16" s="6">
        <v>5242</v>
      </c>
      <c r="NZ16" s="6">
        <v>4608</v>
      </c>
      <c r="OA16" s="6">
        <v>3484</v>
      </c>
      <c r="OB16" s="6">
        <v>4101</v>
      </c>
      <c r="OC16" s="6">
        <v>9520</v>
      </c>
      <c r="OD16" s="6">
        <v>3430</v>
      </c>
      <c r="OE16" s="6">
        <v>8022</v>
      </c>
      <c r="OF16" s="6">
        <v>8434</v>
      </c>
      <c r="OG16" s="6">
        <v>8014</v>
      </c>
      <c r="OH16" s="6">
        <v>6687</v>
      </c>
      <c r="OI16" s="6">
        <v>3705</v>
      </c>
      <c r="OJ16" s="6">
        <v>6452</v>
      </c>
      <c r="OK16" s="6">
        <v>9054</v>
      </c>
      <c r="OL16" s="6">
        <v>5507</v>
      </c>
      <c r="OM16" s="6">
        <v>2406</v>
      </c>
      <c r="ON16" s="6">
        <v>2824</v>
      </c>
      <c r="OO16" s="6">
        <v>5724</v>
      </c>
      <c r="OP16" s="6">
        <v>27</v>
      </c>
      <c r="OQ16" s="6">
        <v>2252</v>
      </c>
      <c r="OR16" s="6">
        <v>2184</v>
      </c>
      <c r="OS16" s="6">
        <v>8716</v>
      </c>
      <c r="OT16" s="6">
        <v>8878</v>
      </c>
      <c r="OU16" s="6">
        <v>4448</v>
      </c>
      <c r="OV16" s="6">
        <v>9555</v>
      </c>
      <c r="OW16" s="6">
        <v>3998</v>
      </c>
      <c r="OX16" s="6">
        <v>3213</v>
      </c>
      <c r="OY16" s="6">
        <v>3661</v>
      </c>
      <c r="OZ16" s="6">
        <v>2005</v>
      </c>
      <c r="PA16" s="6">
        <v>9301</v>
      </c>
      <c r="PB16" s="6">
        <v>2264</v>
      </c>
      <c r="PC16" s="6">
        <v>6841</v>
      </c>
      <c r="PD16" s="6">
        <v>4430</v>
      </c>
      <c r="PE16" s="6">
        <v>5020</v>
      </c>
      <c r="PF16" s="6">
        <v>74</v>
      </c>
      <c r="PG16" s="8">
        <v>8080</v>
      </c>
    </row>
    <row r="17" spans="1:423" s="19" customFormat="1" ht="19.149999999999999" customHeight="1" x14ac:dyDescent="0.6">
      <c r="A17" s="25" t="s">
        <v>20</v>
      </c>
      <c r="B17" s="20">
        <v>3773</v>
      </c>
      <c r="C17" s="21">
        <v>7490</v>
      </c>
      <c r="D17" s="21">
        <v>5909</v>
      </c>
      <c r="E17" s="21">
        <v>7799</v>
      </c>
      <c r="F17" s="21">
        <v>1162</v>
      </c>
      <c r="G17" s="21">
        <v>3823</v>
      </c>
      <c r="H17" s="21">
        <v>9788</v>
      </c>
      <c r="I17" s="21">
        <v>5520</v>
      </c>
      <c r="J17" s="21">
        <v>6326</v>
      </c>
      <c r="K17" s="21">
        <v>3005</v>
      </c>
      <c r="L17" s="21">
        <v>2308</v>
      </c>
      <c r="M17" s="21">
        <v>9204</v>
      </c>
      <c r="N17" s="21">
        <v>8676</v>
      </c>
      <c r="O17" s="21">
        <v>4926</v>
      </c>
      <c r="P17" s="21">
        <v>2191</v>
      </c>
      <c r="Q17" s="21">
        <v>3939</v>
      </c>
      <c r="R17" s="21">
        <v>1414</v>
      </c>
      <c r="S17" s="21">
        <v>9940</v>
      </c>
      <c r="T17" s="21">
        <v>6516</v>
      </c>
      <c r="U17" s="22">
        <v>5399</v>
      </c>
      <c r="V17" s="15"/>
      <c r="W17" s="1">
        <v>0</v>
      </c>
      <c r="X17" s="40" t="s">
        <v>419</v>
      </c>
      <c r="Y17" s="7">
        <v>6801</v>
      </c>
      <c r="Z17" s="6">
        <v>6299</v>
      </c>
      <c r="AA17" s="6">
        <v>8405</v>
      </c>
      <c r="AB17" s="6">
        <v>5052</v>
      </c>
      <c r="AC17" s="8">
        <v>6134</v>
      </c>
      <c r="AD17" s="37">
        <v>3917</v>
      </c>
      <c r="AE17" s="6">
        <v>7770</v>
      </c>
      <c r="AF17" s="6">
        <v>6491</v>
      </c>
      <c r="AG17" s="6">
        <v>6647</v>
      </c>
      <c r="AH17" s="6">
        <v>9146</v>
      </c>
      <c r="AI17" s="6">
        <v>6065</v>
      </c>
      <c r="AJ17" s="6">
        <v>7908</v>
      </c>
      <c r="AK17" s="6">
        <v>360</v>
      </c>
      <c r="AL17" s="6">
        <v>9655</v>
      </c>
      <c r="AM17" s="6">
        <v>5151</v>
      </c>
      <c r="AN17" s="6">
        <v>630</v>
      </c>
      <c r="AO17" s="6">
        <v>4855</v>
      </c>
      <c r="AP17" s="6">
        <v>1405</v>
      </c>
      <c r="AQ17" s="6">
        <v>1330</v>
      </c>
      <c r="AR17" s="6">
        <v>4373</v>
      </c>
      <c r="AS17" s="6">
        <v>7166</v>
      </c>
      <c r="AT17" s="6">
        <v>7677</v>
      </c>
      <c r="AU17" s="6">
        <v>3026</v>
      </c>
      <c r="AV17" s="6">
        <v>849</v>
      </c>
      <c r="AW17" s="6">
        <v>3433</v>
      </c>
      <c r="AX17" s="6">
        <v>4730</v>
      </c>
      <c r="AY17" s="6">
        <v>5490</v>
      </c>
      <c r="AZ17" s="6">
        <v>8744</v>
      </c>
      <c r="BA17" s="6">
        <v>3321</v>
      </c>
      <c r="BB17" s="6">
        <v>2207</v>
      </c>
      <c r="BC17" s="6">
        <v>7850</v>
      </c>
      <c r="BD17" s="6">
        <v>1772</v>
      </c>
      <c r="BE17" s="6">
        <v>2727</v>
      </c>
      <c r="BF17" s="6">
        <v>736</v>
      </c>
      <c r="BG17" s="6">
        <v>5736</v>
      </c>
      <c r="BH17" s="6">
        <v>5191</v>
      </c>
      <c r="BI17" s="6">
        <v>4523</v>
      </c>
      <c r="BJ17" s="6">
        <v>3619</v>
      </c>
      <c r="BK17" s="6">
        <v>3425</v>
      </c>
      <c r="BL17" s="6">
        <v>1907</v>
      </c>
      <c r="BM17" s="6">
        <v>5966</v>
      </c>
      <c r="BN17" s="6">
        <v>1383</v>
      </c>
      <c r="BO17" s="6">
        <v>1250</v>
      </c>
      <c r="BP17" s="6">
        <v>6794</v>
      </c>
      <c r="BQ17" s="6">
        <v>7711</v>
      </c>
      <c r="BR17" s="6">
        <v>2258</v>
      </c>
      <c r="BS17" s="6">
        <v>4591</v>
      </c>
      <c r="BT17" s="6">
        <v>9956</v>
      </c>
      <c r="BU17" s="6">
        <v>7495</v>
      </c>
      <c r="BV17" s="6">
        <v>3080</v>
      </c>
      <c r="BW17" s="6">
        <v>3746</v>
      </c>
      <c r="BX17" s="6">
        <v>4211</v>
      </c>
      <c r="BY17" s="6">
        <v>1966</v>
      </c>
      <c r="BZ17" s="6">
        <v>7747</v>
      </c>
      <c r="CA17" s="6">
        <v>3342</v>
      </c>
      <c r="CB17" s="6">
        <v>7762</v>
      </c>
      <c r="CC17" s="6">
        <v>676</v>
      </c>
      <c r="CD17" s="6">
        <v>2761</v>
      </c>
      <c r="CE17" s="6">
        <v>7044</v>
      </c>
      <c r="CF17" s="6">
        <v>2675</v>
      </c>
      <c r="CG17" s="6">
        <v>8193</v>
      </c>
      <c r="CH17" s="6">
        <v>2020</v>
      </c>
      <c r="CI17" s="6">
        <v>9452</v>
      </c>
      <c r="CJ17" s="6">
        <v>4904</v>
      </c>
      <c r="CK17" s="6">
        <v>2706</v>
      </c>
      <c r="CL17" s="6">
        <v>8695</v>
      </c>
      <c r="CM17" s="6">
        <v>5599</v>
      </c>
      <c r="CN17" s="6">
        <v>9164</v>
      </c>
      <c r="CO17" s="6">
        <v>4542</v>
      </c>
      <c r="CP17" s="6">
        <v>6814</v>
      </c>
      <c r="CQ17" s="6">
        <v>6718</v>
      </c>
      <c r="CR17" s="6">
        <v>4546</v>
      </c>
      <c r="CS17" s="6">
        <v>9144</v>
      </c>
      <c r="CT17" s="6">
        <v>7193</v>
      </c>
      <c r="CU17" s="6">
        <v>3466</v>
      </c>
      <c r="CV17" s="6">
        <v>480</v>
      </c>
      <c r="CW17" s="6">
        <v>4845</v>
      </c>
      <c r="CX17" s="6">
        <v>1261</v>
      </c>
      <c r="CY17" s="6">
        <v>5779</v>
      </c>
      <c r="CZ17" s="6">
        <v>6423</v>
      </c>
      <c r="DA17" s="6">
        <v>8026</v>
      </c>
      <c r="DB17" s="6">
        <v>1985</v>
      </c>
      <c r="DC17" s="6">
        <v>2762</v>
      </c>
      <c r="DD17" s="6">
        <v>4687</v>
      </c>
      <c r="DE17" s="6">
        <v>4046</v>
      </c>
      <c r="DF17" s="6">
        <v>1295</v>
      </c>
      <c r="DG17" s="6">
        <v>2599</v>
      </c>
      <c r="DH17" s="6">
        <v>977</v>
      </c>
      <c r="DI17" s="6">
        <v>4646</v>
      </c>
      <c r="DJ17" s="6">
        <v>6981</v>
      </c>
      <c r="DK17" s="6">
        <v>4519</v>
      </c>
      <c r="DL17" s="6">
        <v>7089</v>
      </c>
      <c r="DM17" s="6">
        <v>7141</v>
      </c>
      <c r="DN17" s="6">
        <v>6341</v>
      </c>
      <c r="DO17" s="6">
        <v>6469</v>
      </c>
      <c r="DP17" s="6">
        <v>2174</v>
      </c>
      <c r="DQ17" s="6">
        <v>3088</v>
      </c>
      <c r="DR17" s="6">
        <v>5967</v>
      </c>
      <c r="DS17" s="6">
        <v>6880</v>
      </c>
      <c r="DT17" s="6">
        <v>997</v>
      </c>
      <c r="DU17" s="6">
        <v>8318</v>
      </c>
      <c r="DV17" s="6">
        <v>2856</v>
      </c>
      <c r="DW17" s="6">
        <v>7739</v>
      </c>
      <c r="DX17" s="6">
        <v>5892</v>
      </c>
      <c r="DY17" s="6">
        <v>4952</v>
      </c>
      <c r="DZ17" s="6">
        <v>511</v>
      </c>
      <c r="EA17" s="6">
        <v>5912</v>
      </c>
      <c r="EB17" s="6">
        <v>1141</v>
      </c>
      <c r="EC17" s="6">
        <v>6297</v>
      </c>
      <c r="ED17" s="6">
        <v>1009</v>
      </c>
      <c r="EE17" s="6">
        <v>3661</v>
      </c>
      <c r="EF17" s="6">
        <v>1786</v>
      </c>
      <c r="EG17" s="6">
        <v>5682</v>
      </c>
      <c r="EH17" s="6">
        <v>8854</v>
      </c>
      <c r="EI17" s="6">
        <v>1366</v>
      </c>
      <c r="EJ17" s="6">
        <v>263</v>
      </c>
      <c r="EK17" s="6">
        <v>9791</v>
      </c>
      <c r="EL17" s="6">
        <v>4814</v>
      </c>
      <c r="EM17" s="6">
        <v>3249</v>
      </c>
      <c r="EN17" s="6">
        <v>927</v>
      </c>
      <c r="EO17" s="6">
        <v>3070</v>
      </c>
      <c r="EP17" s="6">
        <v>6080</v>
      </c>
      <c r="EQ17" s="6">
        <v>9047</v>
      </c>
      <c r="ER17" s="6">
        <v>4188</v>
      </c>
      <c r="ES17" s="6">
        <v>3090</v>
      </c>
      <c r="ET17" s="6">
        <v>9771</v>
      </c>
      <c r="EU17" s="6">
        <v>7731</v>
      </c>
      <c r="EV17" s="6">
        <v>6186</v>
      </c>
      <c r="EW17" s="6">
        <v>5831</v>
      </c>
      <c r="EX17" s="6">
        <v>4890</v>
      </c>
      <c r="EY17" s="6">
        <v>6681</v>
      </c>
      <c r="EZ17" s="6">
        <v>9048</v>
      </c>
      <c r="FA17" s="6">
        <v>4281</v>
      </c>
      <c r="FB17" s="6">
        <v>774</v>
      </c>
      <c r="FC17" s="6">
        <v>5583</v>
      </c>
      <c r="FD17" s="6">
        <v>182</v>
      </c>
      <c r="FE17" s="6">
        <v>9562</v>
      </c>
      <c r="FF17" s="6">
        <v>8852</v>
      </c>
      <c r="FG17" s="6">
        <v>8352</v>
      </c>
      <c r="FH17" s="6">
        <v>8300</v>
      </c>
      <c r="FI17" s="6">
        <v>471</v>
      </c>
      <c r="FJ17" s="6">
        <v>1031</v>
      </c>
      <c r="FK17" s="6">
        <v>8637</v>
      </c>
      <c r="FL17" s="6">
        <v>8848</v>
      </c>
      <c r="FM17" s="6">
        <v>3703</v>
      </c>
      <c r="FN17" s="6">
        <v>1567</v>
      </c>
      <c r="FO17" s="6">
        <v>8196</v>
      </c>
      <c r="FP17" s="6">
        <v>5796</v>
      </c>
      <c r="FQ17" s="6">
        <v>3694</v>
      </c>
      <c r="FR17" s="6">
        <v>6671</v>
      </c>
      <c r="FS17" s="6">
        <v>3056</v>
      </c>
      <c r="FT17" s="6">
        <v>7619</v>
      </c>
      <c r="FU17" s="6">
        <v>9359</v>
      </c>
      <c r="FV17" s="6">
        <v>9358</v>
      </c>
      <c r="FW17" s="6">
        <v>3836</v>
      </c>
      <c r="FX17" s="6">
        <v>147</v>
      </c>
      <c r="FY17" s="6">
        <v>2795</v>
      </c>
      <c r="FZ17" s="6">
        <v>727</v>
      </c>
      <c r="GA17" s="6">
        <v>231</v>
      </c>
      <c r="GB17" s="6">
        <v>5496</v>
      </c>
      <c r="GC17" s="6">
        <v>4639</v>
      </c>
      <c r="GD17" s="6">
        <v>753</v>
      </c>
      <c r="GE17" s="6">
        <v>8888</v>
      </c>
      <c r="GF17" s="6">
        <v>7175</v>
      </c>
      <c r="GG17" s="6">
        <v>2219</v>
      </c>
      <c r="GH17" s="6">
        <v>1337</v>
      </c>
      <c r="GI17" s="6">
        <v>9949</v>
      </c>
      <c r="GJ17" s="6">
        <v>203</v>
      </c>
      <c r="GK17" s="6">
        <v>9921</v>
      </c>
      <c r="GL17" s="6">
        <v>8946</v>
      </c>
      <c r="GM17" s="6">
        <v>2129</v>
      </c>
      <c r="GN17" s="6">
        <v>8020</v>
      </c>
      <c r="GO17" s="6">
        <v>8049</v>
      </c>
      <c r="GP17" s="6">
        <v>5314</v>
      </c>
      <c r="GQ17" s="6">
        <v>2741</v>
      </c>
      <c r="GR17" s="6">
        <v>4091</v>
      </c>
      <c r="GS17" s="6">
        <v>3388</v>
      </c>
      <c r="GT17" s="6">
        <v>2724</v>
      </c>
      <c r="GU17" s="6">
        <v>8186</v>
      </c>
      <c r="GV17" s="6">
        <v>2390</v>
      </c>
      <c r="GW17" s="6">
        <v>946</v>
      </c>
      <c r="GX17" s="6">
        <v>5119</v>
      </c>
      <c r="GY17" s="6">
        <v>8762</v>
      </c>
      <c r="GZ17" s="6">
        <v>9248</v>
      </c>
      <c r="HA17" s="6">
        <v>7097</v>
      </c>
      <c r="HB17" s="6">
        <v>197</v>
      </c>
      <c r="HC17" s="6">
        <v>9215</v>
      </c>
      <c r="HD17" s="6">
        <v>9115</v>
      </c>
      <c r="HE17" s="6">
        <v>8255</v>
      </c>
      <c r="HF17" s="6">
        <v>3840</v>
      </c>
      <c r="HG17" s="6">
        <v>5867</v>
      </c>
      <c r="HH17" s="6">
        <v>9987</v>
      </c>
      <c r="HI17" s="6">
        <v>9337</v>
      </c>
      <c r="HJ17" s="6">
        <v>5640</v>
      </c>
      <c r="HK17" s="6">
        <v>5578</v>
      </c>
      <c r="HL17" s="6">
        <v>2921</v>
      </c>
      <c r="HM17" s="6">
        <v>1679</v>
      </c>
      <c r="HN17" s="6">
        <v>6921</v>
      </c>
      <c r="HO17" s="6">
        <v>4141</v>
      </c>
      <c r="HP17" s="6">
        <v>3870</v>
      </c>
      <c r="HQ17" s="6">
        <v>6748</v>
      </c>
      <c r="HR17" s="6">
        <v>6055</v>
      </c>
      <c r="HS17" s="6">
        <v>5407</v>
      </c>
      <c r="HT17" s="6">
        <v>1795</v>
      </c>
      <c r="HU17" s="6">
        <v>4266</v>
      </c>
      <c r="HV17" s="6">
        <v>7568</v>
      </c>
      <c r="HW17" s="6">
        <v>9397</v>
      </c>
      <c r="HX17" s="6">
        <v>8638</v>
      </c>
      <c r="HY17" s="6">
        <v>3739</v>
      </c>
      <c r="HZ17" s="6">
        <v>5478</v>
      </c>
      <c r="IA17" s="6">
        <v>7766</v>
      </c>
      <c r="IB17" s="6">
        <v>3094</v>
      </c>
      <c r="IC17" s="6">
        <v>8462</v>
      </c>
      <c r="ID17" s="6">
        <v>5547</v>
      </c>
      <c r="IE17" s="6">
        <v>9302</v>
      </c>
      <c r="IF17" s="6">
        <v>1202</v>
      </c>
      <c r="IG17" s="6">
        <v>4342</v>
      </c>
      <c r="IH17" s="6">
        <v>4839</v>
      </c>
      <c r="II17" s="6">
        <v>993</v>
      </c>
      <c r="IJ17" s="6">
        <v>8006</v>
      </c>
      <c r="IK17" s="6">
        <v>8469</v>
      </c>
      <c r="IL17" s="6">
        <v>3813</v>
      </c>
      <c r="IM17" s="6">
        <v>2644</v>
      </c>
      <c r="IN17" s="6">
        <v>6680</v>
      </c>
      <c r="IO17" s="6">
        <v>2224</v>
      </c>
      <c r="IP17" s="6">
        <v>1173</v>
      </c>
      <c r="IQ17" s="6">
        <v>4752</v>
      </c>
      <c r="IR17" s="6">
        <v>2868</v>
      </c>
      <c r="IS17" s="6">
        <v>6539</v>
      </c>
      <c r="IT17" s="6">
        <v>7045</v>
      </c>
      <c r="IU17" s="6">
        <v>7034</v>
      </c>
      <c r="IV17" s="6">
        <v>1699</v>
      </c>
      <c r="IW17" s="6">
        <v>5589</v>
      </c>
      <c r="IX17" s="6">
        <v>5815</v>
      </c>
      <c r="IY17" s="6">
        <v>7307</v>
      </c>
      <c r="IZ17" s="6">
        <v>327</v>
      </c>
      <c r="JA17" s="6">
        <v>2163</v>
      </c>
      <c r="JB17" s="6">
        <v>1178</v>
      </c>
      <c r="JC17" s="6">
        <v>519</v>
      </c>
      <c r="JD17" s="6">
        <v>4826</v>
      </c>
      <c r="JE17" s="6">
        <v>489</v>
      </c>
      <c r="JF17" s="6">
        <v>6204</v>
      </c>
      <c r="JG17" s="6">
        <v>4208</v>
      </c>
      <c r="JH17" s="6">
        <v>3369</v>
      </c>
      <c r="JI17" s="6">
        <v>491</v>
      </c>
      <c r="JJ17" s="6">
        <v>3762</v>
      </c>
      <c r="JK17" s="6">
        <v>6137</v>
      </c>
      <c r="JL17" s="6">
        <v>2637</v>
      </c>
      <c r="JM17" s="6">
        <v>235</v>
      </c>
      <c r="JN17" s="6">
        <v>498</v>
      </c>
      <c r="JO17" s="6">
        <v>9166</v>
      </c>
      <c r="JP17" s="6">
        <v>6097</v>
      </c>
      <c r="JQ17" s="6">
        <v>1703</v>
      </c>
      <c r="JR17" s="6">
        <v>7517</v>
      </c>
      <c r="JS17" s="6">
        <v>3907</v>
      </c>
      <c r="JT17" s="6">
        <v>9687</v>
      </c>
      <c r="JU17" s="6">
        <v>6889</v>
      </c>
      <c r="JV17" s="6">
        <v>499</v>
      </c>
      <c r="JW17" s="6">
        <v>4685</v>
      </c>
      <c r="JX17" s="6">
        <v>2427</v>
      </c>
      <c r="JY17" s="6">
        <v>6730</v>
      </c>
      <c r="JZ17" s="6">
        <v>1666</v>
      </c>
      <c r="KA17" s="6">
        <v>4856</v>
      </c>
      <c r="KB17" s="6">
        <v>4048</v>
      </c>
      <c r="KC17" s="6">
        <v>3789</v>
      </c>
      <c r="KD17" s="6">
        <v>9080</v>
      </c>
      <c r="KE17" s="6">
        <v>9054</v>
      </c>
      <c r="KF17" s="6">
        <v>9061</v>
      </c>
      <c r="KG17" s="6">
        <v>1894</v>
      </c>
      <c r="KH17" s="6">
        <v>5270</v>
      </c>
      <c r="KI17" s="6">
        <v>1290</v>
      </c>
      <c r="KJ17" s="6">
        <v>9075</v>
      </c>
      <c r="KK17" s="6">
        <v>979</v>
      </c>
      <c r="KL17" s="6">
        <v>4261</v>
      </c>
      <c r="KM17" s="6">
        <v>2857</v>
      </c>
      <c r="KN17" s="6">
        <v>5880</v>
      </c>
      <c r="KO17" s="6">
        <v>6220</v>
      </c>
      <c r="KP17" s="6">
        <v>4672</v>
      </c>
      <c r="KQ17" s="6">
        <v>2252</v>
      </c>
      <c r="KR17" s="6">
        <v>3650</v>
      </c>
      <c r="KS17" s="6">
        <v>3509</v>
      </c>
      <c r="KT17" s="6">
        <v>7564</v>
      </c>
      <c r="KU17" s="6">
        <v>6869</v>
      </c>
      <c r="KV17" s="6">
        <v>2116</v>
      </c>
      <c r="KW17" s="6">
        <v>1493</v>
      </c>
      <c r="KX17" s="6">
        <v>8049</v>
      </c>
      <c r="KY17" s="6">
        <v>9317</v>
      </c>
      <c r="KZ17" s="6">
        <v>8072</v>
      </c>
      <c r="LA17" s="6">
        <v>6960</v>
      </c>
      <c r="LB17" s="6">
        <v>7519</v>
      </c>
      <c r="LC17" s="6">
        <v>3825</v>
      </c>
      <c r="LD17" s="6">
        <v>6013</v>
      </c>
      <c r="LE17" s="6">
        <v>3617</v>
      </c>
      <c r="LF17" s="6">
        <v>6661</v>
      </c>
      <c r="LG17" s="6">
        <v>2495</v>
      </c>
      <c r="LH17" s="6">
        <v>6112</v>
      </c>
      <c r="LI17" s="6">
        <v>6914</v>
      </c>
      <c r="LJ17" s="6">
        <v>1286</v>
      </c>
      <c r="LK17" s="6">
        <v>7918</v>
      </c>
      <c r="LL17" s="6">
        <v>9435</v>
      </c>
      <c r="LM17" s="6">
        <v>8610</v>
      </c>
      <c r="LN17" s="6">
        <v>1167</v>
      </c>
      <c r="LO17" s="6">
        <v>5765</v>
      </c>
      <c r="LP17" s="6">
        <v>9364</v>
      </c>
      <c r="LQ17" s="6">
        <v>7965</v>
      </c>
      <c r="LR17" s="6">
        <v>4035</v>
      </c>
      <c r="LS17" s="6">
        <v>5289</v>
      </c>
      <c r="LT17" s="6">
        <v>1427</v>
      </c>
      <c r="LU17" s="6">
        <v>5715</v>
      </c>
      <c r="LV17" s="6">
        <v>3991</v>
      </c>
      <c r="LW17" s="6">
        <v>1193</v>
      </c>
      <c r="LX17" s="6">
        <v>5554</v>
      </c>
      <c r="LY17" s="6">
        <v>4272</v>
      </c>
      <c r="LZ17" s="6">
        <v>2861</v>
      </c>
      <c r="MA17" s="6">
        <v>8572</v>
      </c>
      <c r="MB17" s="6">
        <v>2870</v>
      </c>
      <c r="MC17" s="6">
        <v>5868</v>
      </c>
      <c r="MD17" s="6">
        <v>3296</v>
      </c>
      <c r="ME17" s="6">
        <v>7958</v>
      </c>
      <c r="MF17" s="6">
        <v>4690</v>
      </c>
      <c r="MG17" s="6">
        <v>1986</v>
      </c>
      <c r="MH17" s="6">
        <v>6283</v>
      </c>
      <c r="MI17" s="6">
        <v>4514</v>
      </c>
      <c r="MJ17" s="6">
        <v>4472</v>
      </c>
      <c r="MK17" s="6">
        <v>8810</v>
      </c>
      <c r="ML17" s="6">
        <v>3419</v>
      </c>
      <c r="MM17" s="6">
        <v>5214</v>
      </c>
      <c r="MN17" s="6">
        <v>7620</v>
      </c>
      <c r="MO17" s="6">
        <v>843</v>
      </c>
      <c r="MP17" s="6">
        <v>4321</v>
      </c>
      <c r="MQ17" s="6">
        <v>2085</v>
      </c>
      <c r="MR17" s="6">
        <v>8919</v>
      </c>
      <c r="MS17" s="6">
        <v>2341</v>
      </c>
      <c r="MT17" s="6">
        <v>9024</v>
      </c>
      <c r="MU17" s="6">
        <v>8748</v>
      </c>
      <c r="MV17" s="6">
        <v>3673</v>
      </c>
      <c r="MW17" s="6">
        <v>5020</v>
      </c>
      <c r="MX17" s="6">
        <v>8758</v>
      </c>
      <c r="MY17" s="6">
        <v>7539</v>
      </c>
      <c r="MZ17" s="6">
        <v>7885</v>
      </c>
      <c r="NA17" s="6">
        <v>4771</v>
      </c>
      <c r="NB17" s="6">
        <v>8277</v>
      </c>
      <c r="NC17" s="6">
        <v>8334</v>
      </c>
      <c r="ND17" s="6">
        <v>3609</v>
      </c>
      <c r="NE17" s="6">
        <v>9977</v>
      </c>
      <c r="NF17" s="6">
        <v>369</v>
      </c>
      <c r="NG17" s="6">
        <v>8035</v>
      </c>
      <c r="NH17" s="6">
        <v>5395</v>
      </c>
      <c r="NI17" s="6">
        <v>2959</v>
      </c>
      <c r="NJ17" s="6">
        <v>2020</v>
      </c>
      <c r="NK17" s="6">
        <v>6537</v>
      </c>
      <c r="NL17" s="6">
        <v>8933</v>
      </c>
      <c r="NM17" s="6">
        <v>7926</v>
      </c>
      <c r="NN17" s="6">
        <v>6789</v>
      </c>
      <c r="NO17" s="6">
        <v>4982</v>
      </c>
      <c r="NP17" s="6">
        <v>6787</v>
      </c>
      <c r="NQ17" s="6">
        <v>4721</v>
      </c>
      <c r="NR17" s="6">
        <v>7988</v>
      </c>
      <c r="NS17" s="6">
        <v>7333</v>
      </c>
      <c r="NT17" s="6">
        <v>7409</v>
      </c>
      <c r="NU17" s="6">
        <v>4933</v>
      </c>
      <c r="NV17" s="6">
        <v>5215</v>
      </c>
      <c r="NW17" s="6">
        <v>102</v>
      </c>
      <c r="NX17" s="6">
        <v>5777</v>
      </c>
      <c r="NY17" s="6">
        <v>396</v>
      </c>
      <c r="NZ17" s="6">
        <v>7438</v>
      </c>
      <c r="OA17" s="6">
        <v>7027</v>
      </c>
      <c r="OB17" s="6">
        <v>6534</v>
      </c>
      <c r="OC17" s="6">
        <v>6385</v>
      </c>
      <c r="OD17" s="6">
        <v>6984</v>
      </c>
      <c r="OE17" s="6">
        <v>3875</v>
      </c>
      <c r="OF17" s="6">
        <v>8642</v>
      </c>
      <c r="OG17" s="6">
        <v>9184</v>
      </c>
      <c r="OH17" s="6">
        <v>7065</v>
      </c>
      <c r="OI17" s="6">
        <v>4578</v>
      </c>
      <c r="OJ17" s="6">
        <v>1727</v>
      </c>
      <c r="OK17" s="6">
        <v>3694</v>
      </c>
      <c r="OL17" s="6">
        <v>2388</v>
      </c>
      <c r="OM17" s="6">
        <v>4172</v>
      </c>
      <c r="ON17" s="6">
        <v>942</v>
      </c>
      <c r="OO17" s="6">
        <v>7936</v>
      </c>
      <c r="OP17" s="6">
        <v>8298</v>
      </c>
      <c r="OQ17" s="6">
        <v>2712</v>
      </c>
      <c r="OR17" s="6">
        <v>8009</v>
      </c>
      <c r="OS17" s="6">
        <v>5664</v>
      </c>
      <c r="OT17" s="6">
        <v>141</v>
      </c>
      <c r="OU17" s="6">
        <v>9080</v>
      </c>
      <c r="OV17" s="6">
        <v>8836</v>
      </c>
      <c r="OW17" s="6">
        <v>6141</v>
      </c>
      <c r="OX17" s="6">
        <v>4187</v>
      </c>
      <c r="OY17" s="6">
        <v>1508</v>
      </c>
      <c r="OZ17" s="6">
        <v>5060</v>
      </c>
      <c r="PA17" s="6">
        <v>1439</v>
      </c>
      <c r="PB17" s="6">
        <v>4449</v>
      </c>
      <c r="PC17" s="6">
        <v>9352</v>
      </c>
      <c r="PD17" s="6">
        <v>1441</v>
      </c>
      <c r="PE17" s="6">
        <v>1011</v>
      </c>
      <c r="PF17" s="6">
        <v>3886</v>
      </c>
      <c r="PG17" s="8">
        <v>7400</v>
      </c>
    </row>
    <row r="18" spans="1:423" s="19" customFormat="1" ht="19.149999999999999" customHeight="1" x14ac:dyDescent="0.6">
      <c r="A18" s="25" t="s">
        <v>21</v>
      </c>
      <c r="B18" s="20">
        <v>6311</v>
      </c>
      <c r="C18" s="21">
        <v>9348</v>
      </c>
      <c r="D18" s="21">
        <v>2698</v>
      </c>
      <c r="E18" s="21">
        <v>2846</v>
      </c>
      <c r="F18" s="21">
        <v>5818</v>
      </c>
      <c r="G18" s="21">
        <v>8335</v>
      </c>
      <c r="H18" s="21">
        <v>7193</v>
      </c>
      <c r="I18" s="21">
        <v>4650</v>
      </c>
      <c r="J18" s="21">
        <v>3153</v>
      </c>
      <c r="K18" s="21">
        <v>8703</v>
      </c>
      <c r="L18" s="21">
        <v>8187</v>
      </c>
      <c r="M18" s="21">
        <v>7719</v>
      </c>
      <c r="N18" s="21">
        <v>7311</v>
      </c>
      <c r="O18" s="21">
        <v>608</v>
      </c>
      <c r="P18" s="21">
        <v>3953</v>
      </c>
      <c r="Q18" s="21">
        <v>8067</v>
      </c>
      <c r="R18" s="21">
        <v>2960</v>
      </c>
      <c r="S18" s="21">
        <v>8315</v>
      </c>
      <c r="T18" s="21">
        <v>5884</v>
      </c>
      <c r="U18" s="22">
        <v>211</v>
      </c>
      <c r="V18" s="15"/>
      <c r="W18" s="1">
        <v>0</v>
      </c>
      <c r="X18" s="40" t="s">
        <v>420</v>
      </c>
      <c r="Y18" s="7">
        <v>7771</v>
      </c>
      <c r="Z18" s="6">
        <v>9534</v>
      </c>
      <c r="AA18" s="6">
        <v>1486</v>
      </c>
      <c r="AB18" s="6">
        <v>926</v>
      </c>
      <c r="AC18" s="8">
        <v>1751</v>
      </c>
      <c r="AD18" s="37">
        <v>1291</v>
      </c>
      <c r="AE18" s="6">
        <v>261</v>
      </c>
      <c r="AF18" s="6">
        <v>5603</v>
      </c>
      <c r="AG18" s="6">
        <v>9990</v>
      </c>
      <c r="AH18" s="6">
        <v>8939</v>
      </c>
      <c r="AI18" s="6">
        <v>4985</v>
      </c>
      <c r="AJ18" s="6">
        <v>4241</v>
      </c>
      <c r="AK18" s="6">
        <v>6576</v>
      </c>
      <c r="AL18" s="6">
        <v>6529</v>
      </c>
      <c r="AM18" s="6">
        <v>1329</v>
      </c>
      <c r="AN18" s="6">
        <v>9239</v>
      </c>
      <c r="AO18" s="6">
        <v>434</v>
      </c>
      <c r="AP18" s="6">
        <v>219</v>
      </c>
      <c r="AQ18" s="6">
        <v>9730</v>
      </c>
      <c r="AR18" s="6">
        <v>543</v>
      </c>
      <c r="AS18" s="6">
        <v>5809</v>
      </c>
      <c r="AT18" s="6">
        <v>9176</v>
      </c>
      <c r="AU18" s="6">
        <v>7326</v>
      </c>
      <c r="AV18" s="6">
        <v>7803</v>
      </c>
      <c r="AW18" s="6">
        <v>2494</v>
      </c>
      <c r="AX18" s="6">
        <v>8544</v>
      </c>
      <c r="AY18" s="6">
        <v>4347</v>
      </c>
      <c r="AZ18" s="6">
        <v>3518</v>
      </c>
      <c r="BA18" s="6">
        <v>6196</v>
      </c>
      <c r="BB18" s="6">
        <v>7012</v>
      </c>
      <c r="BC18" s="6">
        <v>9334</v>
      </c>
      <c r="BD18" s="6">
        <v>5028</v>
      </c>
      <c r="BE18" s="6">
        <v>6532</v>
      </c>
      <c r="BF18" s="6">
        <v>733</v>
      </c>
      <c r="BG18" s="6">
        <v>2055</v>
      </c>
      <c r="BH18" s="6">
        <v>7095</v>
      </c>
      <c r="BI18" s="6">
        <v>5188</v>
      </c>
      <c r="BJ18" s="6">
        <v>6412</v>
      </c>
      <c r="BK18" s="6">
        <v>3945</v>
      </c>
      <c r="BL18" s="6">
        <v>3622</v>
      </c>
      <c r="BM18" s="6">
        <v>438</v>
      </c>
      <c r="BN18" s="6">
        <v>6249</v>
      </c>
      <c r="BO18" s="6">
        <v>8114</v>
      </c>
      <c r="BP18" s="6">
        <v>5773</v>
      </c>
      <c r="BQ18" s="6">
        <v>7551</v>
      </c>
      <c r="BR18" s="6">
        <v>192</v>
      </c>
      <c r="BS18" s="6">
        <v>1650</v>
      </c>
      <c r="BT18" s="6">
        <v>9038</v>
      </c>
      <c r="BU18" s="6">
        <v>3061</v>
      </c>
      <c r="BV18" s="6">
        <v>8125</v>
      </c>
      <c r="BW18" s="6">
        <v>7260</v>
      </c>
      <c r="BX18" s="6">
        <v>3588</v>
      </c>
      <c r="BY18" s="6">
        <v>2265</v>
      </c>
      <c r="BZ18" s="6">
        <v>3403</v>
      </c>
      <c r="CA18" s="6">
        <v>585</v>
      </c>
      <c r="CB18" s="6">
        <v>1370</v>
      </c>
      <c r="CC18" s="6">
        <v>2150</v>
      </c>
      <c r="CD18" s="6">
        <v>1079</v>
      </c>
      <c r="CE18" s="6">
        <v>4551</v>
      </c>
      <c r="CF18" s="6">
        <v>4090</v>
      </c>
      <c r="CG18" s="6">
        <v>8238</v>
      </c>
      <c r="CH18" s="6">
        <v>2336</v>
      </c>
      <c r="CI18" s="6">
        <v>5900</v>
      </c>
      <c r="CJ18" s="6">
        <v>5503</v>
      </c>
      <c r="CK18" s="6">
        <v>3969</v>
      </c>
      <c r="CL18" s="6">
        <v>9945</v>
      </c>
      <c r="CM18" s="6">
        <v>4663</v>
      </c>
      <c r="CN18" s="6">
        <v>1645</v>
      </c>
      <c r="CO18" s="6">
        <v>9398</v>
      </c>
      <c r="CP18" s="6">
        <v>159</v>
      </c>
      <c r="CQ18" s="6">
        <v>2100</v>
      </c>
      <c r="CR18" s="6">
        <v>2059</v>
      </c>
      <c r="CS18" s="6">
        <v>2629</v>
      </c>
      <c r="CT18" s="6">
        <v>5154</v>
      </c>
      <c r="CU18" s="6">
        <v>7072</v>
      </c>
      <c r="CV18" s="6">
        <v>2440</v>
      </c>
      <c r="CW18" s="6">
        <v>13</v>
      </c>
      <c r="CX18" s="6">
        <v>2750</v>
      </c>
      <c r="CY18" s="6">
        <v>5797</v>
      </c>
      <c r="CZ18" s="6">
        <v>3283</v>
      </c>
      <c r="DA18" s="6">
        <v>5845</v>
      </c>
      <c r="DB18" s="6">
        <v>4209</v>
      </c>
      <c r="DC18" s="6">
        <v>1912</v>
      </c>
      <c r="DD18" s="6">
        <v>1357</v>
      </c>
      <c r="DE18" s="6">
        <v>9272</v>
      </c>
      <c r="DF18" s="6">
        <v>3001</v>
      </c>
      <c r="DG18" s="6">
        <v>2175</v>
      </c>
      <c r="DH18" s="6">
        <v>4331</v>
      </c>
      <c r="DI18" s="6">
        <v>3415</v>
      </c>
      <c r="DJ18" s="6">
        <v>5272</v>
      </c>
      <c r="DK18" s="6">
        <v>8442</v>
      </c>
      <c r="DL18" s="6">
        <v>3685</v>
      </c>
      <c r="DM18" s="6">
        <v>5413</v>
      </c>
      <c r="DN18" s="6">
        <v>9188</v>
      </c>
      <c r="DO18" s="6">
        <v>3694</v>
      </c>
      <c r="DP18" s="6">
        <v>9022</v>
      </c>
      <c r="DQ18" s="6">
        <v>9</v>
      </c>
      <c r="DR18" s="6">
        <v>7251</v>
      </c>
      <c r="DS18" s="6">
        <v>9138</v>
      </c>
      <c r="DT18" s="6">
        <v>152</v>
      </c>
      <c r="DU18" s="6">
        <v>1618</v>
      </c>
      <c r="DV18" s="6">
        <v>6068</v>
      </c>
      <c r="DW18" s="6">
        <v>5792</v>
      </c>
      <c r="DX18" s="6">
        <v>384</v>
      </c>
      <c r="DY18" s="6">
        <v>6648</v>
      </c>
      <c r="DZ18" s="6">
        <v>9347</v>
      </c>
      <c r="EA18" s="6">
        <v>5033</v>
      </c>
      <c r="EB18" s="6">
        <v>608</v>
      </c>
      <c r="EC18" s="6">
        <v>1006</v>
      </c>
      <c r="ED18" s="6">
        <v>2370</v>
      </c>
      <c r="EE18" s="6">
        <v>4040</v>
      </c>
      <c r="EF18" s="6">
        <v>9848</v>
      </c>
      <c r="EG18" s="6">
        <v>1250</v>
      </c>
      <c r="EH18" s="6">
        <v>3274</v>
      </c>
      <c r="EI18" s="6">
        <v>5803</v>
      </c>
      <c r="EJ18" s="6">
        <v>4416</v>
      </c>
      <c r="EK18" s="6">
        <v>9573</v>
      </c>
      <c r="EL18" s="6">
        <v>1495</v>
      </c>
      <c r="EM18" s="6">
        <v>1521</v>
      </c>
      <c r="EN18" s="6">
        <v>3629</v>
      </c>
      <c r="EO18" s="6">
        <v>236</v>
      </c>
      <c r="EP18" s="6">
        <v>9320</v>
      </c>
      <c r="EQ18" s="6">
        <v>7280</v>
      </c>
      <c r="ER18" s="6">
        <v>653</v>
      </c>
      <c r="ES18" s="6">
        <v>1297</v>
      </c>
      <c r="ET18" s="6">
        <v>4400</v>
      </c>
      <c r="EU18" s="6">
        <v>8041</v>
      </c>
      <c r="EV18" s="6">
        <v>3493</v>
      </c>
      <c r="EW18" s="6">
        <v>2893</v>
      </c>
      <c r="EX18" s="6">
        <v>1111</v>
      </c>
      <c r="EY18" s="6">
        <v>1820</v>
      </c>
      <c r="EZ18" s="6">
        <v>2572</v>
      </c>
      <c r="FA18" s="6">
        <v>7368</v>
      </c>
      <c r="FB18" s="6">
        <v>9382</v>
      </c>
      <c r="FC18" s="6">
        <v>231</v>
      </c>
      <c r="FD18" s="6">
        <v>2281</v>
      </c>
      <c r="FE18" s="6">
        <v>3866</v>
      </c>
      <c r="FF18" s="6">
        <v>7382</v>
      </c>
      <c r="FG18" s="6">
        <v>8160</v>
      </c>
      <c r="FH18" s="6">
        <v>7694</v>
      </c>
      <c r="FI18" s="6">
        <v>1967</v>
      </c>
      <c r="FJ18" s="6">
        <v>9376</v>
      </c>
      <c r="FK18" s="6">
        <v>4174</v>
      </c>
      <c r="FL18" s="6">
        <v>3794</v>
      </c>
      <c r="FM18" s="6">
        <v>2654</v>
      </c>
      <c r="FN18" s="6">
        <v>7432</v>
      </c>
      <c r="FO18" s="6">
        <v>8590</v>
      </c>
      <c r="FP18" s="6">
        <v>9633</v>
      </c>
      <c r="FQ18" s="6">
        <v>5296</v>
      </c>
      <c r="FR18" s="6">
        <v>3992</v>
      </c>
      <c r="FS18" s="6">
        <v>1698</v>
      </c>
      <c r="FT18" s="6">
        <v>4981</v>
      </c>
      <c r="FU18" s="6">
        <v>4524</v>
      </c>
      <c r="FV18" s="6">
        <v>5218</v>
      </c>
      <c r="FW18" s="6">
        <v>9778</v>
      </c>
      <c r="FX18" s="6">
        <v>2350</v>
      </c>
      <c r="FY18" s="6">
        <v>4200</v>
      </c>
      <c r="FZ18" s="6">
        <v>7980</v>
      </c>
      <c r="GA18" s="6">
        <v>6820</v>
      </c>
      <c r="GB18" s="6">
        <v>1501</v>
      </c>
      <c r="GC18" s="6">
        <v>1406</v>
      </c>
      <c r="GD18" s="6">
        <v>2561</v>
      </c>
      <c r="GE18" s="6">
        <v>6486</v>
      </c>
      <c r="GF18" s="6">
        <v>650</v>
      </c>
      <c r="GG18" s="6">
        <v>5361</v>
      </c>
      <c r="GH18" s="6">
        <v>6011</v>
      </c>
      <c r="GI18" s="6">
        <v>6217</v>
      </c>
      <c r="GJ18" s="6">
        <v>4666</v>
      </c>
      <c r="GK18" s="6">
        <v>8824</v>
      </c>
      <c r="GL18" s="6">
        <v>764</v>
      </c>
      <c r="GM18" s="6">
        <v>1628</v>
      </c>
      <c r="GN18" s="6">
        <v>9781</v>
      </c>
      <c r="GO18" s="6">
        <v>6508</v>
      </c>
      <c r="GP18" s="6">
        <v>9597</v>
      </c>
      <c r="GQ18" s="6">
        <v>5522</v>
      </c>
      <c r="GR18" s="6">
        <v>7116</v>
      </c>
      <c r="GS18" s="6">
        <v>7635</v>
      </c>
      <c r="GT18" s="6">
        <v>9423</v>
      </c>
      <c r="GU18" s="6">
        <v>5830</v>
      </c>
      <c r="GV18" s="6">
        <v>3488</v>
      </c>
      <c r="GW18" s="6">
        <v>9225</v>
      </c>
      <c r="GX18" s="6">
        <v>3200</v>
      </c>
      <c r="GY18" s="6">
        <v>473</v>
      </c>
      <c r="GZ18" s="6">
        <v>3275</v>
      </c>
      <c r="HA18" s="6">
        <v>1940</v>
      </c>
      <c r="HB18" s="6">
        <v>5872</v>
      </c>
      <c r="HC18" s="6">
        <v>9822</v>
      </c>
      <c r="HD18" s="6">
        <v>6240</v>
      </c>
      <c r="HE18" s="6">
        <v>3011</v>
      </c>
      <c r="HF18" s="6">
        <v>9225</v>
      </c>
      <c r="HG18" s="6">
        <v>3906</v>
      </c>
      <c r="HH18" s="6">
        <v>6784</v>
      </c>
      <c r="HI18" s="6">
        <v>6588</v>
      </c>
      <c r="HJ18" s="6">
        <v>1868</v>
      </c>
      <c r="HK18" s="6">
        <v>6054</v>
      </c>
      <c r="HL18" s="6">
        <v>5512</v>
      </c>
      <c r="HM18" s="6">
        <v>6466</v>
      </c>
      <c r="HN18" s="6">
        <v>3830</v>
      </c>
      <c r="HO18" s="6">
        <v>2977</v>
      </c>
      <c r="HP18" s="6">
        <v>9834</v>
      </c>
      <c r="HQ18" s="6">
        <v>2769</v>
      </c>
      <c r="HR18" s="6">
        <v>4915</v>
      </c>
      <c r="HS18" s="6">
        <v>1784</v>
      </c>
      <c r="HT18" s="6">
        <v>4988</v>
      </c>
      <c r="HU18" s="6">
        <v>5015</v>
      </c>
      <c r="HV18" s="6">
        <v>9060</v>
      </c>
      <c r="HW18" s="6">
        <v>2680</v>
      </c>
      <c r="HX18" s="6">
        <v>1859</v>
      </c>
      <c r="HY18" s="6">
        <v>6975</v>
      </c>
      <c r="HZ18" s="6">
        <v>8974</v>
      </c>
      <c r="IA18" s="6">
        <v>6566</v>
      </c>
      <c r="IB18" s="6">
        <v>6916</v>
      </c>
      <c r="IC18" s="6">
        <v>8235</v>
      </c>
      <c r="ID18" s="6">
        <v>9907</v>
      </c>
      <c r="IE18" s="6">
        <v>2393</v>
      </c>
      <c r="IF18" s="6">
        <v>2835</v>
      </c>
      <c r="IG18" s="6">
        <v>1896</v>
      </c>
      <c r="IH18" s="6">
        <v>8220</v>
      </c>
      <c r="II18" s="6">
        <v>6230</v>
      </c>
      <c r="IJ18" s="6">
        <v>5925</v>
      </c>
      <c r="IK18" s="6">
        <v>9299</v>
      </c>
      <c r="IL18" s="6">
        <v>1297</v>
      </c>
      <c r="IM18" s="6">
        <v>3929</v>
      </c>
      <c r="IN18" s="6">
        <v>2754</v>
      </c>
      <c r="IO18" s="6">
        <v>4239</v>
      </c>
      <c r="IP18" s="6">
        <v>2233</v>
      </c>
      <c r="IQ18" s="6">
        <v>3083</v>
      </c>
      <c r="IR18" s="6">
        <v>3678</v>
      </c>
      <c r="IS18" s="6">
        <v>3647</v>
      </c>
      <c r="IT18" s="6">
        <v>8668</v>
      </c>
      <c r="IU18" s="6">
        <v>5371</v>
      </c>
      <c r="IV18" s="6">
        <v>19</v>
      </c>
      <c r="IW18" s="6">
        <v>4671</v>
      </c>
      <c r="IX18" s="6">
        <v>7775</v>
      </c>
      <c r="IY18" s="6">
        <v>7231</v>
      </c>
      <c r="IZ18" s="6">
        <v>1563</v>
      </c>
      <c r="JA18" s="6">
        <v>1931</v>
      </c>
      <c r="JB18" s="6">
        <v>300</v>
      </c>
      <c r="JC18" s="6">
        <v>9889</v>
      </c>
      <c r="JD18" s="6">
        <v>9538</v>
      </c>
      <c r="JE18" s="6">
        <v>3260</v>
      </c>
      <c r="JF18" s="6">
        <v>6029</v>
      </c>
      <c r="JG18" s="6">
        <v>939</v>
      </c>
      <c r="JH18" s="6">
        <v>9804</v>
      </c>
      <c r="JI18" s="6">
        <v>4623</v>
      </c>
      <c r="JJ18" s="6">
        <v>2878</v>
      </c>
      <c r="JK18" s="6">
        <v>701</v>
      </c>
      <c r="JL18" s="6">
        <v>8237</v>
      </c>
      <c r="JM18" s="6">
        <v>4399</v>
      </c>
      <c r="JN18" s="6">
        <v>3161</v>
      </c>
      <c r="JO18" s="6">
        <v>975</v>
      </c>
      <c r="JP18" s="6">
        <v>6379</v>
      </c>
      <c r="JQ18" s="6">
        <v>2689</v>
      </c>
      <c r="JR18" s="6">
        <v>6538</v>
      </c>
      <c r="JS18" s="6">
        <v>7731</v>
      </c>
      <c r="JT18" s="6">
        <v>3645</v>
      </c>
      <c r="JU18" s="6">
        <v>2514</v>
      </c>
      <c r="JV18" s="6">
        <v>8807</v>
      </c>
      <c r="JW18" s="6">
        <v>7567</v>
      </c>
      <c r="JX18" s="6">
        <v>3572</v>
      </c>
      <c r="JY18" s="6">
        <v>2335</v>
      </c>
      <c r="JZ18" s="6">
        <v>5545</v>
      </c>
      <c r="KA18" s="6">
        <v>1693</v>
      </c>
      <c r="KB18" s="6">
        <v>7651</v>
      </c>
      <c r="KC18" s="6">
        <v>7391</v>
      </c>
      <c r="KD18" s="6">
        <v>2412</v>
      </c>
      <c r="KE18" s="6">
        <v>4867</v>
      </c>
      <c r="KF18" s="6">
        <v>632</v>
      </c>
      <c r="KG18" s="6">
        <v>9377</v>
      </c>
      <c r="KH18" s="6">
        <v>6092</v>
      </c>
      <c r="KI18" s="6">
        <v>3790</v>
      </c>
      <c r="KJ18" s="6">
        <v>8251</v>
      </c>
      <c r="KK18" s="6">
        <v>1293</v>
      </c>
      <c r="KL18" s="6">
        <v>1566</v>
      </c>
      <c r="KM18" s="6">
        <v>1932</v>
      </c>
      <c r="KN18" s="6">
        <v>964</v>
      </c>
      <c r="KO18" s="6">
        <v>5059</v>
      </c>
      <c r="KP18" s="6">
        <v>7577</v>
      </c>
      <c r="KQ18" s="6">
        <v>448</v>
      </c>
      <c r="KR18" s="6">
        <v>7651</v>
      </c>
      <c r="KS18" s="6">
        <v>4709</v>
      </c>
      <c r="KT18" s="6">
        <v>7283</v>
      </c>
      <c r="KU18" s="6">
        <v>9184</v>
      </c>
      <c r="KV18" s="6">
        <v>3684</v>
      </c>
      <c r="KW18" s="6">
        <v>4141</v>
      </c>
      <c r="KX18" s="6">
        <v>8146</v>
      </c>
      <c r="KY18" s="6">
        <v>828</v>
      </c>
      <c r="KZ18" s="6">
        <v>131</v>
      </c>
      <c r="LA18" s="6">
        <v>4090</v>
      </c>
      <c r="LB18" s="6">
        <v>4050</v>
      </c>
      <c r="LC18" s="6">
        <v>4499</v>
      </c>
      <c r="LD18" s="6">
        <v>3783</v>
      </c>
      <c r="LE18" s="6">
        <v>3824</v>
      </c>
      <c r="LF18" s="6">
        <v>4813</v>
      </c>
      <c r="LG18" s="6">
        <v>8947</v>
      </c>
      <c r="LH18" s="6">
        <v>3030</v>
      </c>
      <c r="LI18" s="6">
        <v>3728</v>
      </c>
      <c r="LJ18" s="6">
        <v>9654</v>
      </c>
      <c r="LK18" s="6">
        <v>9555</v>
      </c>
      <c r="LL18" s="6">
        <v>3222</v>
      </c>
      <c r="LM18" s="6">
        <v>4696</v>
      </c>
      <c r="LN18" s="6">
        <v>5029</v>
      </c>
      <c r="LO18" s="6">
        <v>7973</v>
      </c>
      <c r="LP18" s="6">
        <v>7643</v>
      </c>
      <c r="LQ18" s="6">
        <v>9639</v>
      </c>
      <c r="LR18" s="6">
        <v>7073</v>
      </c>
      <c r="LS18" s="6">
        <v>9786</v>
      </c>
      <c r="LT18" s="6">
        <v>3732</v>
      </c>
      <c r="LU18" s="6">
        <v>8774</v>
      </c>
      <c r="LV18" s="6">
        <v>9103</v>
      </c>
      <c r="LW18" s="6">
        <v>1956</v>
      </c>
      <c r="LX18" s="6">
        <v>6971</v>
      </c>
      <c r="LY18" s="6">
        <v>4285</v>
      </c>
      <c r="LZ18" s="6">
        <v>4061</v>
      </c>
      <c r="MA18" s="6">
        <v>6794</v>
      </c>
      <c r="MB18" s="6">
        <v>1775</v>
      </c>
      <c r="MC18" s="6">
        <v>3631</v>
      </c>
      <c r="MD18" s="6">
        <v>7848</v>
      </c>
      <c r="ME18" s="6">
        <v>2268</v>
      </c>
      <c r="MF18" s="6">
        <v>5878</v>
      </c>
      <c r="MG18" s="6">
        <v>6415</v>
      </c>
      <c r="MH18" s="6">
        <v>45</v>
      </c>
      <c r="MI18" s="6">
        <v>4855</v>
      </c>
      <c r="MJ18" s="6">
        <v>2218</v>
      </c>
      <c r="MK18" s="6">
        <v>9346</v>
      </c>
      <c r="ML18" s="6">
        <v>1072</v>
      </c>
      <c r="MM18" s="6">
        <v>9451</v>
      </c>
      <c r="MN18" s="6">
        <v>6039</v>
      </c>
      <c r="MO18" s="6">
        <v>6787</v>
      </c>
      <c r="MP18" s="6">
        <v>5632</v>
      </c>
      <c r="MQ18" s="6">
        <v>5696</v>
      </c>
      <c r="MR18" s="6">
        <v>6232</v>
      </c>
      <c r="MS18" s="6">
        <v>5265</v>
      </c>
      <c r="MT18" s="6">
        <v>8131</v>
      </c>
      <c r="MU18" s="6">
        <v>2281</v>
      </c>
      <c r="MV18" s="6">
        <v>6918</v>
      </c>
      <c r="MW18" s="6">
        <v>5828</v>
      </c>
      <c r="MX18" s="6">
        <v>1881</v>
      </c>
      <c r="MY18" s="6">
        <v>3589</v>
      </c>
      <c r="MZ18" s="6">
        <v>7726</v>
      </c>
      <c r="NA18" s="6">
        <v>2498</v>
      </c>
      <c r="NB18" s="6">
        <v>8275</v>
      </c>
      <c r="NC18" s="6">
        <v>502</v>
      </c>
      <c r="ND18" s="6">
        <v>2295</v>
      </c>
      <c r="NE18" s="6">
        <v>198</v>
      </c>
      <c r="NF18" s="6">
        <v>822</v>
      </c>
      <c r="NG18" s="6">
        <v>6423</v>
      </c>
      <c r="NH18" s="6">
        <v>5492</v>
      </c>
      <c r="NI18" s="6">
        <v>2676</v>
      </c>
      <c r="NJ18" s="6">
        <v>1116</v>
      </c>
      <c r="NK18" s="6">
        <v>5107</v>
      </c>
      <c r="NL18" s="6">
        <v>5544</v>
      </c>
      <c r="NM18" s="6">
        <v>4592</v>
      </c>
      <c r="NN18" s="6">
        <v>8191</v>
      </c>
      <c r="NO18" s="6">
        <v>6261</v>
      </c>
      <c r="NP18" s="6">
        <v>1336</v>
      </c>
      <c r="NQ18" s="6">
        <v>9808</v>
      </c>
      <c r="NR18" s="6">
        <v>8294</v>
      </c>
      <c r="NS18" s="6">
        <v>1823</v>
      </c>
      <c r="NT18" s="6">
        <v>8827</v>
      </c>
      <c r="NU18" s="6">
        <v>1320</v>
      </c>
      <c r="NV18" s="6">
        <v>5626</v>
      </c>
      <c r="NW18" s="6">
        <v>9840</v>
      </c>
      <c r="NX18" s="6">
        <v>2958</v>
      </c>
      <c r="NY18" s="6">
        <v>6181</v>
      </c>
      <c r="NZ18" s="6">
        <v>9240</v>
      </c>
      <c r="OA18" s="6">
        <v>2090</v>
      </c>
      <c r="OB18" s="6">
        <v>1170</v>
      </c>
      <c r="OC18" s="6">
        <v>3349</v>
      </c>
      <c r="OD18" s="6">
        <v>2726</v>
      </c>
      <c r="OE18" s="6">
        <v>5366</v>
      </c>
      <c r="OF18" s="6">
        <v>70</v>
      </c>
      <c r="OG18" s="6">
        <v>6213</v>
      </c>
      <c r="OH18" s="6">
        <v>5342</v>
      </c>
      <c r="OI18" s="6">
        <v>3113</v>
      </c>
      <c r="OJ18" s="6">
        <v>7970</v>
      </c>
      <c r="OK18" s="6">
        <v>3949</v>
      </c>
      <c r="OL18" s="6">
        <v>5802</v>
      </c>
      <c r="OM18" s="6">
        <v>6987</v>
      </c>
      <c r="ON18" s="6">
        <v>7947</v>
      </c>
      <c r="OO18" s="6">
        <v>9263</v>
      </c>
      <c r="OP18" s="6">
        <v>3002</v>
      </c>
      <c r="OQ18" s="6">
        <v>3743</v>
      </c>
      <c r="OR18" s="6">
        <v>7520</v>
      </c>
      <c r="OS18" s="6">
        <v>9728</v>
      </c>
      <c r="OT18" s="6">
        <v>3903</v>
      </c>
      <c r="OU18" s="6">
        <v>7582</v>
      </c>
      <c r="OV18" s="6">
        <v>302</v>
      </c>
      <c r="OW18" s="6">
        <v>3306</v>
      </c>
      <c r="OX18" s="6">
        <v>4475</v>
      </c>
      <c r="OY18" s="6">
        <v>7141</v>
      </c>
      <c r="OZ18" s="6">
        <v>2140</v>
      </c>
      <c r="PA18" s="6">
        <v>5879</v>
      </c>
      <c r="PB18" s="6">
        <v>3029</v>
      </c>
      <c r="PC18" s="6">
        <v>620</v>
      </c>
      <c r="PD18" s="6">
        <v>7118</v>
      </c>
      <c r="PE18" s="6">
        <v>4808</v>
      </c>
      <c r="PF18" s="6">
        <v>1400</v>
      </c>
      <c r="PG18" s="8">
        <v>4139</v>
      </c>
    </row>
    <row r="19" spans="1:423" s="19" customFormat="1" ht="19.149999999999999" customHeight="1" x14ac:dyDescent="0.6">
      <c r="A19" s="25" t="s">
        <v>22</v>
      </c>
      <c r="B19" s="20">
        <v>8154</v>
      </c>
      <c r="C19" s="21">
        <v>9142</v>
      </c>
      <c r="D19" s="21">
        <v>5252</v>
      </c>
      <c r="E19" s="21">
        <v>6248</v>
      </c>
      <c r="F19" s="21">
        <v>3431</v>
      </c>
      <c r="G19" s="21">
        <v>3947</v>
      </c>
      <c r="H19" s="21">
        <v>4395</v>
      </c>
      <c r="I19" s="21">
        <v>7609</v>
      </c>
      <c r="J19" s="21">
        <v>8204</v>
      </c>
      <c r="K19" s="21">
        <v>3428</v>
      </c>
      <c r="L19" s="21">
        <v>7544</v>
      </c>
      <c r="M19" s="21">
        <v>2196</v>
      </c>
      <c r="N19" s="21">
        <v>8705</v>
      </c>
      <c r="O19" s="21">
        <v>2130</v>
      </c>
      <c r="P19" s="21">
        <v>4711</v>
      </c>
      <c r="Q19" s="21">
        <v>190</v>
      </c>
      <c r="R19" s="21">
        <v>5488</v>
      </c>
      <c r="S19" s="21">
        <v>2149</v>
      </c>
      <c r="T19" s="21">
        <v>1770</v>
      </c>
      <c r="U19" s="22">
        <v>8289</v>
      </c>
      <c r="V19" s="15"/>
      <c r="W19" s="1">
        <v>0</v>
      </c>
      <c r="X19" s="40" t="s">
        <v>421</v>
      </c>
      <c r="Y19" s="7">
        <v>5010</v>
      </c>
      <c r="Z19" s="6">
        <v>7256</v>
      </c>
      <c r="AA19" s="6">
        <v>6606</v>
      </c>
      <c r="AB19" s="6">
        <v>9019</v>
      </c>
      <c r="AC19" s="8">
        <v>9234</v>
      </c>
      <c r="AD19" s="37">
        <v>5097</v>
      </c>
      <c r="AE19" s="6">
        <v>9380</v>
      </c>
      <c r="AF19" s="6">
        <v>5398</v>
      </c>
      <c r="AG19" s="6">
        <v>5852</v>
      </c>
      <c r="AH19" s="6">
        <v>1420</v>
      </c>
      <c r="AI19" s="6">
        <v>2173</v>
      </c>
      <c r="AJ19" s="6">
        <v>6550</v>
      </c>
      <c r="AK19" s="6">
        <v>1843</v>
      </c>
      <c r="AL19" s="6">
        <v>1251</v>
      </c>
      <c r="AM19" s="6">
        <v>9791</v>
      </c>
      <c r="AN19" s="6">
        <v>4394</v>
      </c>
      <c r="AO19" s="6">
        <v>865</v>
      </c>
      <c r="AP19" s="6">
        <v>7882</v>
      </c>
      <c r="AQ19" s="6">
        <v>103</v>
      </c>
      <c r="AR19" s="6">
        <v>9016</v>
      </c>
      <c r="AS19" s="6">
        <v>287</v>
      </c>
      <c r="AT19" s="6">
        <v>370</v>
      </c>
      <c r="AU19" s="6">
        <v>2326</v>
      </c>
      <c r="AV19" s="6">
        <v>6082</v>
      </c>
      <c r="AW19" s="6">
        <v>168</v>
      </c>
      <c r="AX19" s="6">
        <v>8781</v>
      </c>
      <c r="AY19" s="6">
        <v>3234</v>
      </c>
      <c r="AZ19" s="6">
        <v>5672</v>
      </c>
      <c r="BA19" s="6">
        <v>7066</v>
      </c>
      <c r="BB19" s="6">
        <v>2064</v>
      </c>
      <c r="BC19" s="6">
        <v>5207</v>
      </c>
      <c r="BD19" s="6">
        <v>809</v>
      </c>
      <c r="BE19" s="6">
        <v>3384</v>
      </c>
      <c r="BF19" s="6">
        <v>1664</v>
      </c>
      <c r="BG19" s="6">
        <v>4661</v>
      </c>
      <c r="BH19" s="6">
        <v>5499</v>
      </c>
      <c r="BI19" s="6">
        <v>4758</v>
      </c>
      <c r="BJ19" s="6">
        <v>5821</v>
      </c>
      <c r="BK19" s="6">
        <v>2573</v>
      </c>
      <c r="BL19" s="6">
        <v>4244</v>
      </c>
      <c r="BM19" s="6">
        <v>2688</v>
      </c>
      <c r="BN19" s="6">
        <v>9326</v>
      </c>
      <c r="BO19" s="6">
        <v>2637</v>
      </c>
      <c r="BP19" s="6">
        <v>9033</v>
      </c>
      <c r="BQ19" s="6">
        <v>8819</v>
      </c>
      <c r="BR19" s="6">
        <v>971</v>
      </c>
      <c r="BS19" s="6">
        <v>275</v>
      </c>
      <c r="BT19" s="6">
        <v>5986</v>
      </c>
      <c r="BU19" s="6">
        <v>8953</v>
      </c>
      <c r="BV19" s="6">
        <v>4125</v>
      </c>
      <c r="BW19" s="6">
        <v>6606</v>
      </c>
      <c r="BX19" s="6">
        <v>6656</v>
      </c>
      <c r="BY19" s="6">
        <v>1265</v>
      </c>
      <c r="BZ19" s="6">
        <v>7760</v>
      </c>
      <c r="CA19" s="6">
        <v>5452</v>
      </c>
      <c r="CB19" s="6">
        <v>8385</v>
      </c>
      <c r="CC19" s="6">
        <v>5850</v>
      </c>
      <c r="CD19" s="6">
        <v>6077</v>
      </c>
      <c r="CE19" s="6">
        <v>291</v>
      </c>
      <c r="CF19" s="6">
        <v>5487</v>
      </c>
      <c r="CG19" s="6">
        <v>9259</v>
      </c>
      <c r="CH19" s="6">
        <v>2185</v>
      </c>
      <c r="CI19" s="6">
        <v>6732</v>
      </c>
      <c r="CJ19" s="6">
        <v>9222</v>
      </c>
      <c r="CK19" s="6">
        <v>4154</v>
      </c>
      <c r="CL19" s="6">
        <v>7183</v>
      </c>
      <c r="CM19" s="6">
        <v>8671</v>
      </c>
      <c r="CN19" s="6">
        <v>467</v>
      </c>
      <c r="CO19" s="6">
        <v>6589</v>
      </c>
      <c r="CP19" s="6">
        <v>9721</v>
      </c>
      <c r="CQ19" s="6">
        <v>4030</v>
      </c>
      <c r="CR19" s="6">
        <v>9557</v>
      </c>
      <c r="CS19" s="6">
        <v>2713</v>
      </c>
      <c r="CT19" s="6">
        <v>1227</v>
      </c>
      <c r="CU19" s="6">
        <v>2581</v>
      </c>
      <c r="CV19" s="6">
        <v>4292</v>
      </c>
      <c r="CW19" s="6">
        <v>6709</v>
      </c>
      <c r="CX19" s="6">
        <v>7003</v>
      </c>
      <c r="CY19" s="6">
        <v>8327</v>
      </c>
      <c r="CZ19" s="6">
        <v>9512</v>
      </c>
      <c r="DA19" s="6">
        <v>3796</v>
      </c>
      <c r="DB19" s="6">
        <v>8101</v>
      </c>
      <c r="DC19" s="6">
        <v>7031</v>
      </c>
      <c r="DD19" s="6">
        <v>2867</v>
      </c>
      <c r="DE19" s="6">
        <v>6099</v>
      </c>
      <c r="DF19" s="6">
        <v>7606</v>
      </c>
      <c r="DG19" s="6">
        <v>5652</v>
      </c>
      <c r="DH19" s="6">
        <v>944</v>
      </c>
      <c r="DI19" s="6">
        <v>7455</v>
      </c>
      <c r="DJ19" s="6">
        <v>9166</v>
      </c>
      <c r="DK19" s="6">
        <v>8066</v>
      </c>
      <c r="DL19" s="6">
        <v>4646</v>
      </c>
      <c r="DM19" s="6">
        <v>5026</v>
      </c>
      <c r="DN19" s="6">
        <v>9284</v>
      </c>
      <c r="DO19" s="6">
        <v>5793</v>
      </c>
      <c r="DP19" s="6">
        <v>4885</v>
      </c>
      <c r="DQ19" s="6">
        <v>5437</v>
      </c>
      <c r="DR19" s="6">
        <v>1258</v>
      </c>
      <c r="DS19" s="6">
        <v>2474</v>
      </c>
      <c r="DT19" s="6">
        <v>2632</v>
      </c>
      <c r="DU19" s="6">
        <v>2804</v>
      </c>
      <c r="DV19" s="6">
        <v>2069</v>
      </c>
      <c r="DW19" s="6">
        <v>2571</v>
      </c>
      <c r="DX19" s="6">
        <v>4292</v>
      </c>
      <c r="DY19" s="6">
        <v>3286</v>
      </c>
      <c r="DZ19" s="6">
        <v>9480</v>
      </c>
      <c r="EA19" s="6">
        <v>9888</v>
      </c>
      <c r="EB19" s="6">
        <v>7054</v>
      </c>
      <c r="EC19" s="6">
        <v>9320</v>
      </c>
      <c r="ED19" s="6">
        <v>9890</v>
      </c>
      <c r="EE19" s="6">
        <v>1009</v>
      </c>
      <c r="EF19" s="6">
        <v>2473</v>
      </c>
      <c r="EG19" s="6">
        <v>6537</v>
      </c>
      <c r="EH19" s="6">
        <v>74</v>
      </c>
      <c r="EI19" s="6">
        <v>9084</v>
      </c>
      <c r="EJ19" s="6">
        <v>8018</v>
      </c>
      <c r="EK19" s="6">
        <v>4979</v>
      </c>
      <c r="EL19" s="6">
        <v>5087</v>
      </c>
      <c r="EM19" s="6">
        <v>2781</v>
      </c>
      <c r="EN19" s="6">
        <v>347</v>
      </c>
      <c r="EO19" s="6">
        <v>6688</v>
      </c>
      <c r="EP19" s="6">
        <v>2903</v>
      </c>
      <c r="EQ19" s="6">
        <v>9876</v>
      </c>
      <c r="ER19" s="6">
        <v>5798</v>
      </c>
      <c r="ES19" s="6">
        <v>3143</v>
      </c>
      <c r="ET19" s="6">
        <v>9817</v>
      </c>
      <c r="EU19" s="6">
        <v>7917</v>
      </c>
      <c r="EV19" s="6">
        <v>861</v>
      </c>
      <c r="EW19" s="6">
        <v>9099</v>
      </c>
      <c r="EX19" s="6">
        <v>7860</v>
      </c>
      <c r="EY19" s="6">
        <v>2929</v>
      </c>
      <c r="EZ19" s="6">
        <v>1102</v>
      </c>
      <c r="FA19" s="6">
        <v>703</v>
      </c>
      <c r="FB19" s="6">
        <v>4240</v>
      </c>
      <c r="FC19" s="6">
        <v>4592</v>
      </c>
      <c r="FD19" s="6">
        <v>6477</v>
      </c>
      <c r="FE19" s="6">
        <v>6461</v>
      </c>
      <c r="FF19" s="6">
        <v>1444</v>
      </c>
      <c r="FG19" s="6">
        <v>727</v>
      </c>
      <c r="FH19" s="6">
        <v>1533</v>
      </c>
      <c r="FI19" s="6">
        <v>3091</v>
      </c>
      <c r="FJ19" s="6">
        <v>4157</v>
      </c>
      <c r="FK19" s="6">
        <v>333</v>
      </c>
      <c r="FL19" s="6">
        <v>7097</v>
      </c>
      <c r="FM19" s="6">
        <v>266</v>
      </c>
      <c r="FN19" s="6">
        <v>6608</v>
      </c>
      <c r="FO19" s="6">
        <v>7587</v>
      </c>
      <c r="FP19" s="6">
        <v>5651</v>
      </c>
      <c r="FQ19" s="6">
        <v>4300</v>
      </c>
      <c r="FR19" s="6">
        <v>4834</v>
      </c>
      <c r="FS19" s="6">
        <v>8925</v>
      </c>
      <c r="FT19" s="6">
        <v>3026</v>
      </c>
      <c r="FU19" s="6">
        <v>584</v>
      </c>
      <c r="FV19" s="6">
        <v>9110</v>
      </c>
      <c r="FW19" s="6">
        <v>3371</v>
      </c>
      <c r="FX19" s="6">
        <v>8786</v>
      </c>
      <c r="FY19" s="6">
        <v>6707</v>
      </c>
      <c r="FZ19" s="6">
        <v>6066</v>
      </c>
      <c r="GA19" s="6">
        <v>7010</v>
      </c>
      <c r="GB19" s="6">
        <v>1606</v>
      </c>
      <c r="GC19" s="6">
        <v>7486</v>
      </c>
      <c r="GD19" s="6">
        <v>7752</v>
      </c>
      <c r="GE19" s="6">
        <v>6438</v>
      </c>
      <c r="GF19" s="6">
        <v>9341</v>
      </c>
      <c r="GG19" s="6">
        <v>5873</v>
      </c>
      <c r="GH19" s="6">
        <v>6445</v>
      </c>
      <c r="GI19" s="6">
        <v>8146</v>
      </c>
      <c r="GJ19" s="6">
        <v>659</v>
      </c>
      <c r="GK19" s="6">
        <v>6033</v>
      </c>
      <c r="GL19" s="6">
        <v>7941</v>
      </c>
      <c r="GM19" s="6">
        <v>1249</v>
      </c>
      <c r="GN19" s="6">
        <v>6454</v>
      </c>
      <c r="GO19" s="6">
        <v>5318</v>
      </c>
      <c r="GP19" s="6">
        <v>979</v>
      </c>
      <c r="GQ19" s="6">
        <v>2162</v>
      </c>
      <c r="GR19" s="6">
        <v>3123</v>
      </c>
      <c r="GS19" s="6">
        <v>6760</v>
      </c>
      <c r="GT19" s="6">
        <v>5575</v>
      </c>
      <c r="GU19" s="6">
        <v>7983</v>
      </c>
      <c r="GV19" s="6">
        <v>4422</v>
      </c>
      <c r="GW19" s="6">
        <v>4280</v>
      </c>
      <c r="GX19" s="6">
        <v>9829</v>
      </c>
      <c r="GY19" s="6">
        <v>3088</v>
      </c>
      <c r="GZ19" s="6">
        <v>1852</v>
      </c>
      <c r="HA19" s="6">
        <v>592</v>
      </c>
      <c r="HB19" s="6">
        <v>5844</v>
      </c>
      <c r="HC19" s="6">
        <v>6785</v>
      </c>
      <c r="HD19" s="6">
        <v>7573</v>
      </c>
      <c r="HE19" s="6">
        <v>2614</v>
      </c>
      <c r="HF19" s="6">
        <v>2909</v>
      </c>
      <c r="HG19" s="6">
        <v>9173</v>
      </c>
      <c r="HH19" s="6">
        <v>3135</v>
      </c>
      <c r="HI19" s="6">
        <v>9678</v>
      </c>
      <c r="HJ19" s="6">
        <v>2279</v>
      </c>
      <c r="HK19" s="6">
        <v>5094</v>
      </c>
      <c r="HL19" s="6">
        <v>4034</v>
      </c>
      <c r="HM19" s="6">
        <v>8280</v>
      </c>
      <c r="HN19" s="6">
        <v>8879</v>
      </c>
      <c r="HO19" s="6">
        <v>9968</v>
      </c>
      <c r="HP19" s="6">
        <v>7043</v>
      </c>
      <c r="HQ19" s="6">
        <v>5730</v>
      </c>
      <c r="HR19" s="6">
        <v>8986</v>
      </c>
      <c r="HS19" s="6">
        <v>1558</v>
      </c>
      <c r="HT19" s="6">
        <v>5923</v>
      </c>
      <c r="HU19" s="6">
        <v>4561</v>
      </c>
      <c r="HV19" s="6">
        <v>6889</v>
      </c>
      <c r="HW19" s="6">
        <v>5412</v>
      </c>
      <c r="HX19" s="6">
        <v>7226</v>
      </c>
      <c r="HY19" s="6">
        <v>432</v>
      </c>
      <c r="HZ19" s="6">
        <v>1089</v>
      </c>
      <c r="IA19" s="6">
        <v>5977</v>
      </c>
      <c r="IB19" s="6">
        <v>6104</v>
      </c>
      <c r="IC19" s="6">
        <v>1550</v>
      </c>
      <c r="ID19" s="6">
        <v>1750</v>
      </c>
      <c r="IE19" s="6">
        <v>581</v>
      </c>
      <c r="IF19" s="6">
        <v>3700</v>
      </c>
      <c r="IG19" s="6">
        <v>3204</v>
      </c>
      <c r="IH19" s="6">
        <v>3230</v>
      </c>
      <c r="II19" s="6">
        <v>3110</v>
      </c>
      <c r="IJ19" s="6">
        <v>586</v>
      </c>
      <c r="IK19" s="6">
        <v>7253</v>
      </c>
      <c r="IL19" s="6">
        <v>8612</v>
      </c>
      <c r="IM19" s="6">
        <v>7543</v>
      </c>
      <c r="IN19" s="6">
        <v>1460</v>
      </c>
      <c r="IO19" s="6">
        <v>8057</v>
      </c>
      <c r="IP19" s="6">
        <v>5580</v>
      </c>
      <c r="IQ19" s="6">
        <v>2015</v>
      </c>
      <c r="IR19" s="6">
        <v>3296</v>
      </c>
      <c r="IS19" s="6">
        <v>1208</v>
      </c>
      <c r="IT19" s="6">
        <v>9310</v>
      </c>
      <c r="IU19" s="6">
        <v>6863</v>
      </c>
      <c r="IV19" s="6">
        <v>9363</v>
      </c>
      <c r="IW19" s="6">
        <v>8293</v>
      </c>
      <c r="IX19" s="6">
        <v>4335</v>
      </c>
      <c r="IY19" s="6">
        <v>2263</v>
      </c>
      <c r="IZ19" s="6">
        <v>8291</v>
      </c>
      <c r="JA19" s="6">
        <v>2463</v>
      </c>
      <c r="JB19" s="6">
        <v>1319</v>
      </c>
      <c r="JC19" s="6">
        <v>7224</v>
      </c>
      <c r="JD19" s="6">
        <v>3437</v>
      </c>
      <c r="JE19" s="6">
        <v>1372</v>
      </c>
      <c r="JF19" s="6">
        <v>7590</v>
      </c>
      <c r="JG19" s="6">
        <v>7689</v>
      </c>
      <c r="JH19" s="6">
        <v>7483</v>
      </c>
      <c r="JI19" s="6">
        <v>8002</v>
      </c>
      <c r="JJ19" s="6">
        <v>3140</v>
      </c>
      <c r="JK19" s="6">
        <v>4255</v>
      </c>
      <c r="JL19" s="6">
        <v>9308</v>
      </c>
      <c r="JM19" s="6">
        <v>8730</v>
      </c>
      <c r="JN19" s="6">
        <v>6463</v>
      </c>
      <c r="JO19" s="6">
        <v>1458</v>
      </c>
      <c r="JP19" s="6">
        <v>9632</v>
      </c>
      <c r="JQ19" s="6">
        <v>8894</v>
      </c>
      <c r="JR19" s="6">
        <v>9154</v>
      </c>
      <c r="JS19" s="6">
        <v>3850</v>
      </c>
      <c r="JT19" s="6">
        <v>844</v>
      </c>
      <c r="JU19" s="6">
        <v>3494</v>
      </c>
      <c r="JV19" s="6">
        <v>9376</v>
      </c>
      <c r="JW19" s="6">
        <v>6271</v>
      </c>
      <c r="JX19" s="6">
        <v>406</v>
      </c>
      <c r="JY19" s="6">
        <v>6221</v>
      </c>
      <c r="JZ19" s="6">
        <v>5616</v>
      </c>
      <c r="KA19" s="6">
        <v>5849</v>
      </c>
      <c r="KB19" s="6">
        <v>1106</v>
      </c>
      <c r="KC19" s="6">
        <v>3543</v>
      </c>
      <c r="KD19" s="6">
        <v>8216</v>
      </c>
      <c r="KE19" s="6">
        <v>2371</v>
      </c>
      <c r="KF19" s="6">
        <v>5125</v>
      </c>
      <c r="KG19" s="6">
        <v>8651</v>
      </c>
      <c r="KH19" s="6">
        <v>4910</v>
      </c>
      <c r="KI19" s="6">
        <v>9112</v>
      </c>
      <c r="KJ19" s="6">
        <v>7941</v>
      </c>
      <c r="KK19" s="6">
        <v>6217</v>
      </c>
      <c r="KL19" s="6">
        <v>8452</v>
      </c>
      <c r="KM19" s="6">
        <v>3255</v>
      </c>
      <c r="KN19" s="6">
        <v>7732</v>
      </c>
      <c r="KO19" s="6">
        <v>2505</v>
      </c>
      <c r="KP19" s="6">
        <v>6513</v>
      </c>
      <c r="KQ19" s="6">
        <v>1041</v>
      </c>
      <c r="KR19" s="6">
        <v>5643</v>
      </c>
      <c r="KS19" s="6">
        <v>8067</v>
      </c>
      <c r="KT19" s="6">
        <v>3379</v>
      </c>
      <c r="KU19" s="6">
        <v>1879</v>
      </c>
      <c r="KV19" s="6">
        <v>8606</v>
      </c>
      <c r="KW19" s="6">
        <v>9628</v>
      </c>
      <c r="KX19" s="6">
        <v>7214</v>
      </c>
      <c r="KY19" s="6">
        <v>2983</v>
      </c>
      <c r="KZ19" s="6">
        <v>5536</v>
      </c>
      <c r="LA19" s="6">
        <v>5381</v>
      </c>
      <c r="LB19" s="6">
        <v>3726</v>
      </c>
      <c r="LC19" s="6">
        <v>593</v>
      </c>
      <c r="LD19" s="6">
        <v>1606</v>
      </c>
      <c r="LE19" s="6">
        <v>9997</v>
      </c>
      <c r="LF19" s="6">
        <v>4182</v>
      </c>
      <c r="LG19" s="6">
        <v>999</v>
      </c>
      <c r="LH19" s="6">
        <v>298</v>
      </c>
      <c r="LI19" s="6">
        <v>3460</v>
      </c>
      <c r="LJ19" s="6">
        <v>1533</v>
      </c>
      <c r="LK19" s="6">
        <v>2064</v>
      </c>
      <c r="LL19" s="6">
        <v>8780</v>
      </c>
      <c r="LM19" s="6">
        <v>8936</v>
      </c>
      <c r="LN19" s="6">
        <v>7331</v>
      </c>
      <c r="LO19" s="6">
        <v>3200</v>
      </c>
      <c r="LP19" s="6">
        <v>9173</v>
      </c>
      <c r="LQ19" s="6">
        <v>685</v>
      </c>
      <c r="LR19" s="6">
        <v>8163</v>
      </c>
      <c r="LS19" s="6">
        <v>2450</v>
      </c>
      <c r="LT19" s="6">
        <v>8359</v>
      </c>
      <c r="LU19" s="6">
        <v>2341</v>
      </c>
      <c r="LV19" s="6">
        <v>6321</v>
      </c>
      <c r="LW19" s="6">
        <v>7814</v>
      </c>
      <c r="LX19" s="6">
        <v>8479</v>
      </c>
      <c r="LY19" s="6">
        <v>1056</v>
      </c>
      <c r="LZ19" s="6">
        <v>2727</v>
      </c>
      <c r="MA19" s="6">
        <v>2847</v>
      </c>
      <c r="MB19" s="6">
        <v>2234</v>
      </c>
      <c r="MC19" s="6">
        <v>4764</v>
      </c>
      <c r="MD19" s="6">
        <v>9640</v>
      </c>
      <c r="ME19" s="6">
        <v>9737</v>
      </c>
      <c r="MF19" s="6">
        <v>6969</v>
      </c>
      <c r="MG19" s="6">
        <v>9978</v>
      </c>
      <c r="MH19" s="6">
        <v>6148</v>
      </c>
      <c r="MI19" s="6">
        <v>9534</v>
      </c>
      <c r="MJ19" s="6">
        <v>1741</v>
      </c>
      <c r="MK19" s="6">
        <v>18</v>
      </c>
      <c r="ML19" s="6">
        <v>6198</v>
      </c>
      <c r="MM19" s="6">
        <v>6539</v>
      </c>
      <c r="MN19" s="6">
        <v>6914</v>
      </c>
      <c r="MO19" s="6">
        <v>5618</v>
      </c>
      <c r="MP19" s="6">
        <v>1590</v>
      </c>
      <c r="MQ19" s="6">
        <v>8689</v>
      </c>
      <c r="MR19" s="6">
        <v>4251</v>
      </c>
      <c r="MS19" s="6">
        <v>3069</v>
      </c>
      <c r="MT19" s="6">
        <v>8859</v>
      </c>
      <c r="MU19" s="6">
        <v>4183</v>
      </c>
      <c r="MV19" s="6">
        <v>655</v>
      </c>
      <c r="MW19" s="6">
        <v>3537</v>
      </c>
      <c r="MX19" s="6">
        <v>8949</v>
      </c>
      <c r="MY19" s="6">
        <v>7045</v>
      </c>
      <c r="MZ19" s="6">
        <v>5834</v>
      </c>
      <c r="NA19" s="6">
        <v>549</v>
      </c>
      <c r="NB19" s="6">
        <v>5158</v>
      </c>
      <c r="NC19" s="6">
        <v>5811</v>
      </c>
      <c r="ND19" s="6">
        <v>5495</v>
      </c>
      <c r="NE19" s="6">
        <v>3985</v>
      </c>
      <c r="NF19" s="6">
        <v>7676</v>
      </c>
      <c r="NG19" s="6">
        <v>9702</v>
      </c>
      <c r="NH19" s="6">
        <v>5558</v>
      </c>
      <c r="NI19" s="6">
        <v>4471</v>
      </c>
      <c r="NJ19" s="6">
        <v>3602</v>
      </c>
      <c r="NK19" s="6">
        <v>9887</v>
      </c>
      <c r="NL19" s="6">
        <v>3112</v>
      </c>
      <c r="NM19" s="6">
        <v>364</v>
      </c>
      <c r="NN19" s="6">
        <v>7647</v>
      </c>
      <c r="NO19" s="6">
        <v>8600</v>
      </c>
      <c r="NP19" s="6">
        <v>1299</v>
      </c>
      <c r="NQ19" s="6">
        <v>911</v>
      </c>
      <c r="NR19" s="6">
        <v>7535</v>
      </c>
      <c r="NS19" s="6">
        <v>2619</v>
      </c>
      <c r="NT19" s="6">
        <v>1180</v>
      </c>
      <c r="NU19" s="6">
        <v>8047</v>
      </c>
      <c r="NV19" s="6">
        <v>1545</v>
      </c>
      <c r="NW19" s="6">
        <v>5907</v>
      </c>
      <c r="NX19" s="6">
        <v>6734</v>
      </c>
      <c r="NY19" s="6">
        <v>761</v>
      </c>
      <c r="NZ19" s="6">
        <v>1805</v>
      </c>
      <c r="OA19" s="6">
        <v>8256</v>
      </c>
      <c r="OB19" s="6">
        <v>2070</v>
      </c>
      <c r="OC19" s="6">
        <v>3483</v>
      </c>
      <c r="OD19" s="6">
        <v>4708</v>
      </c>
      <c r="OE19" s="6">
        <v>9045</v>
      </c>
      <c r="OF19" s="6">
        <v>6265</v>
      </c>
      <c r="OG19" s="6">
        <v>9377</v>
      </c>
      <c r="OH19" s="6">
        <v>2508</v>
      </c>
      <c r="OI19" s="6">
        <v>2756</v>
      </c>
      <c r="OJ19" s="6">
        <v>3253</v>
      </c>
      <c r="OK19" s="6">
        <v>7545</v>
      </c>
      <c r="OL19" s="6">
        <v>4409</v>
      </c>
      <c r="OM19" s="6">
        <v>7305</v>
      </c>
      <c r="ON19" s="6">
        <v>3077</v>
      </c>
      <c r="OO19" s="6">
        <v>6082</v>
      </c>
      <c r="OP19" s="6">
        <v>7178</v>
      </c>
      <c r="OQ19" s="6">
        <v>8980</v>
      </c>
      <c r="OR19" s="6">
        <v>3742</v>
      </c>
      <c r="OS19" s="6">
        <v>9091</v>
      </c>
      <c r="OT19" s="6">
        <v>7560</v>
      </c>
      <c r="OU19" s="6">
        <v>2278</v>
      </c>
      <c r="OV19" s="6">
        <v>1266</v>
      </c>
      <c r="OW19" s="6">
        <v>2795</v>
      </c>
      <c r="OX19" s="6">
        <v>4120</v>
      </c>
      <c r="OY19" s="6">
        <v>9177</v>
      </c>
      <c r="OZ19" s="6">
        <v>1776</v>
      </c>
      <c r="PA19" s="6">
        <v>3840</v>
      </c>
      <c r="PB19" s="6">
        <v>7176</v>
      </c>
      <c r="PC19" s="6">
        <v>9858</v>
      </c>
      <c r="PD19" s="6">
        <v>7209</v>
      </c>
      <c r="PE19" s="6">
        <v>7042</v>
      </c>
      <c r="PF19" s="6">
        <v>7086</v>
      </c>
      <c r="PG19" s="8">
        <v>9241</v>
      </c>
    </row>
    <row r="20" spans="1:423" s="19" customFormat="1" ht="19.149999999999999" customHeight="1" x14ac:dyDescent="0.6">
      <c r="A20" s="25" t="s">
        <v>23</v>
      </c>
      <c r="B20" s="20">
        <v>2265</v>
      </c>
      <c r="C20" s="21">
        <v>7949</v>
      </c>
      <c r="D20" s="21">
        <v>5358</v>
      </c>
      <c r="E20" s="21">
        <v>598</v>
      </c>
      <c r="F20" s="21">
        <v>3119</v>
      </c>
      <c r="G20" s="21">
        <v>6138</v>
      </c>
      <c r="H20" s="21">
        <v>6836</v>
      </c>
      <c r="I20" s="21">
        <v>6320</v>
      </c>
      <c r="J20" s="21">
        <v>5695</v>
      </c>
      <c r="K20" s="21">
        <v>4588</v>
      </c>
      <c r="L20" s="21">
        <v>3462</v>
      </c>
      <c r="M20" s="21">
        <v>4839</v>
      </c>
      <c r="N20" s="21">
        <v>1670</v>
      </c>
      <c r="O20" s="21">
        <v>7319</v>
      </c>
      <c r="P20" s="21">
        <v>16</v>
      </c>
      <c r="Q20" s="21">
        <v>733</v>
      </c>
      <c r="R20" s="21">
        <v>2125</v>
      </c>
      <c r="S20" s="21">
        <v>3029</v>
      </c>
      <c r="T20" s="21">
        <v>6329</v>
      </c>
      <c r="U20" s="22">
        <v>2325</v>
      </c>
      <c r="V20" s="15"/>
      <c r="W20" s="1">
        <v>0</v>
      </c>
      <c r="X20" s="40" t="s">
        <v>422</v>
      </c>
      <c r="Y20" s="7">
        <v>4566</v>
      </c>
      <c r="Z20" s="6">
        <v>1884</v>
      </c>
      <c r="AA20" s="6">
        <v>4795</v>
      </c>
      <c r="AB20" s="6">
        <v>8904</v>
      </c>
      <c r="AC20" s="8">
        <v>9617</v>
      </c>
      <c r="AD20" s="37">
        <v>1283</v>
      </c>
      <c r="AE20" s="6">
        <v>738</v>
      </c>
      <c r="AF20" s="6">
        <v>1149</v>
      </c>
      <c r="AG20" s="6">
        <v>3642</v>
      </c>
      <c r="AH20" s="6">
        <v>8100</v>
      </c>
      <c r="AI20" s="6">
        <v>2471</v>
      </c>
      <c r="AJ20" s="6">
        <v>5863</v>
      </c>
      <c r="AK20" s="6">
        <v>6836</v>
      </c>
      <c r="AL20" s="6">
        <v>9565</v>
      </c>
      <c r="AM20" s="6">
        <v>8329</v>
      </c>
      <c r="AN20" s="6">
        <v>5618</v>
      </c>
      <c r="AO20" s="6">
        <v>9895</v>
      </c>
      <c r="AP20" s="6">
        <v>7464</v>
      </c>
      <c r="AQ20" s="6">
        <v>9026</v>
      </c>
      <c r="AR20" s="6">
        <v>1712</v>
      </c>
      <c r="AS20" s="6">
        <v>7404</v>
      </c>
      <c r="AT20" s="6">
        <v>6958</v>
      </c>
      <c r="AU20" s="6">
        <v>5608</v>
      </c>
      <c r="AV20" s="6">
        <v>7505</v>
      </c>
      <c r="AW20" s="6">
        <v>7105</v>
      </c>
      <c r="AX20" s="6">
        <v>5097</v>
      </c>
      <c r="AY20" s="6">
        <v>5460</v>
      </c>
      <c r="AZ20" s="6">
        <v>8419</v>
      </c>
      <c r="BA20" s="6">
        <v>5471</v>
      </c>
      <c r="BB20" s="6">
        <v>5199</v>
      </c>
      <c r="BC20" s="6">
        <v>6228</v>
      </c>
      <c r="BD20" s="6">
        <v>3757</v>
      </c>
      <c r="BE20" s="6">
        <v>3449</v>
      </c>
      <c r="BF20" s="6">
        <v>1098</v>
      </c>
      <c r="BG20" s="6">
        <v>9468</v>
      </c>
      <c r="BH20" s="6">
        <v>310</v>
      </c>
      <c r="BI20" s="6">
        <v>5769</v>
      </c>
      <c r="BJ20" s="6">
        <v>2835</v>
      </c>
      <c r="BK20" s="6">
        <v>5681</v>
      </c>
      <c r="BL20" s="6">
        <v>9594</v>
      </c>
      <c r="BM20" s="6">
        <v>7928</v>
      </c>
      <c r="BN20" s="6">
        <v>1733</v>
      </c>
      <c r="BO20" s="6">
        <v>832</v>
      </c>
      <c r="BP20" s="6">
        <v>7046</v>
      </c>
      <c r="BQ20" s="6">
        <v>7372</v>
      </c>
      <c r="BR20" s="6">
        <v>8816</v>
      </c>
      <c r="BS20" s="6">
        <v>8311</v>
      </c>
      <c r="BT20" s="6">
        <v>8787</v>
      </c>
      <c r="BU20" s="6">
        <v>7738</v>
      </c>
      <c r="BV20" s="6">
        <v>3685</v>
      </c>
      <c r="BW20" s="6">
        <v>9649</v>
      </c>
      <c r="BX20" s="6">
        <v>8027</v>
      </c>
      <c r="BY20" s="6">
        <v>8233</v>
      </c>
      <c r="BZ20" s="6">
        <v>8754</v>
      </c>
      <c r="CA20" s="6">
        <v>6631</v>
      </c>
      <c r="CB20" s="6">
        <v>324</v>
      </c>
      <c r="CC20" s="6">
        <v>4838</v>
      </c>
      <c r="CD20" s="6">
        <v>7241</v>
      </c>
      <c r="CE20" s="6">
        <v>4603</v>
      </c>
      <c r="CF20" s="6">
        <v>993</v>
      </c>
      <c r="CG20" s="6">
        <v>8375</v>
      </c>
      <c r="CH20" s="6">
        <v>1871</v>
      </c>
      <c r="CI20" s="6">
        <v>3825</v>
      </c>
      <c r="CJ20" s="6">
        <v>2017</v>
      </c>
      <c r="CK20" s="6">
        <v>58</v>
      </c>
      <c r="CL20" s="6">
        <v>1062</v>
      </c>
      <c r="CM20" s="6">
        <v>7727</v>
      </c>
      <c r="CN20" s="6">
        <v>7873</v>
      </c>
      <c r="CO20" s="6">
        <v>436</v>
      </c>
      <c r="CP20" s="6">
        <v>7112</v>
      </c>
      <c r="CQ20" s="6">
        <v>2905</v>
      </c>
      <c r="CR20" s="6">
        <v>9768</v>
      </c>
      <c r="CS20" s="6">
        <v>2075</v>
      </c>
      <c r="CT20" s="6">
        <v>6129</v>
      </c>
      <c r="CU20" s="6">
        <v>5327</v>
      </c>
      <c r="CV20" s="6">
        <v>8914</v>
      </c>
      <c r="CW20" s="6">
        <v>3471</v>
      </c>
      <c r="CX20" s="6">
        <v>1086</v>
      </c>
      <c r="CY20" s="6">
        <v>203</v>
      </c>
      <c r="CZ20" s="6">
        <v>5752</v>
      </c>
      <c r="DA20" s="6">
        <v>5746</v>
      </c>
      <c r="DB20" s="6">
        <v>1304</v>
      </c>
      <c r="DC20" s="6">
        <v>8758</v>
      </c>
      <c r="DD20" s="6">
        <v>8822</v>
      </c>
      <c r="DE20" s="6">
        <v>7825</v>
      </c>
      <c r="DF20" s="6">
        <v>5293</v>
      </c>
      <c r="DG20" s="6">
        <v>6332</v>
      </c>
      <c r="DH20" s="6">
        <v>9966</v>
      </c>
      <c r="DI20" s="6">
        <v>558</v>
      </c>
      <c r="DJ20" s="6">
        <v>435</v>
      </c>
      <c r="DK20" s="6">
        <v>3829</v>
      </c>
      <c r="DL20" s="6">
        <v>8006</v>
      </c>
      <c r="DM20" s="6">
        <v>2034</v>
      </c>
      <c r="DN20" s="6">
        <v>5244</v>
      </c>
      <c r="DO20" s="6">
        <v>3951</v>
      </c>
      <c r="DP20" s="6">
        <v>2046</v>
      </c>
      <c r="DQ20" s="6">
        <v>4182</v>
      </c>
      <c r="DR20" s="6">
        <v>9723</v>
      </c>
      <c r="DS20" s="6">
        <v>6662</v>
      </c>
      <c r="DT20" s="6">
        <v>9029</v>
      </c>
      <c r="DU20" s="6">
        <v>462</v>
      </c>
      <c r="DV20" s="6">
        <v>50</v>
      </c>
      <c r="DW20" s="6">
        <v>6084</v>
      </c>
      <c r="DX20" s="6">
        <v>4198</v>
      </c>
      <c r="DY20" s="6">
        <v>2140</v>
      </c>
      <c r="DZ20" s="6">
        <v>3014</v>
      </c>
      <c r="EA20" s="6">
        <v>7340</v>
      </c>
      <c r="EB20" s="6">
        <v>4258</v>
      </c>
      <c r="EC20" s="6">
        <v>6844</v>
      </c>
      <c r="ED20" s="6">
        <v>2202</v>
      </c>
      <c r="EE20" s="6">
        <v>594</v>
      </c>
      <c r="EF20" s="6">
        <v>6613</v>
      </c>
      <c r="EG20" s="6">
        <v>5018</v>
      </c>
      <c r="EH20" s="6">
        <v>3727</v>
      </c>
      <c r="EI20" s="6">
        <v>6205</v>
      </c>
      <c r="EJ20" s="6">
        <v>4427</v>
      </c>
      <c r="EK20" s="6">
        <v>6312</v>
      </c>
      <c r="EL20" s="6">
        <v>7171</v>
      </c>
      <c r="EM20" s="6">
        <v>9553</v>
      </c>
      <c r="EN20" s="6">
        <v>6268</v>
      </c>
      <c r="EO20" s="6">
        <v>3341</v>
      </c>
      <c r="EP20" s="6">
        <v>6775</v>
      </c>
      <c r="EQ20" s="6">
        <v>2708</v>
      </c>
      <c r="ER20" s="6">
        <v>6755</v>
      </c>
      <c r="ES20" s="6">
        <v>913</v>
      </c>
      <c r="ET20" s="6">
        <v>1028</v>
      </c>
      <c r="EU20" s="6">
        <v>5277</v>
      </c>
      <c r="EV20" s="6">
        <v>2362</v>
      </c>
      <c r="EW20" s="6">
        <v>1458</v>
      </c>
      <c r="EX20" s="6">
        <v>1665</v>
      </c>
      <c r="EY20" s="6">
        <v>3106</v>
      </c>
      <c r="EZ20" s="6">
        <v>4737</v>
      </c>
      <c r="FA20" s="6">
        <v>2524</v>
      </c>
      <c r="FB20" s="6">
        <v>8347</v>
      </c>
      <c r="FC20" s="6">
        <v>8114</v>
      </c>
      <c r="FD20" s="6">
        <v>1681</v>
      </c>
      <c r="FE20" s="6">
        <v>184</v>
      </c>
      <c r="FF20" s="6">
        <v>4426</v>
      </c>
      <c r="FG20" s="6">
        <v>2641</v>
      </c>
      <c r="FH20" s="6">
        <v>8599</v>
      </c>
      <c r="FI20" s="6">
        <v>9528</v>
      </c>
      <c r="FJ20" s="6">
        <v>1797</v>
      </c>
      <c r="FK20" s="6">
        <v>5022</v>
      </c>
      <c r="FL20" s="6">
        <v>9895</v>
      </c>
      <c r="FM20" s="6">
        <v>4660</v>
      </c>
      <c r="FN20" s="6">
        <v>4385</v>
      </c>
      <c r="FO20" s="6">
        <v>1042</v>
      </c>
      <c r="FP20" s="6">
        <v>6493</v>
      </c>
      <c r="FQ20" s="6">
        <v>4766</v>
      </c>
      <c r="FR20" s="6">
        <v>3392</v>
      </c>
      <c r="FS20" s="6">
        <v>6678</v>
      </c>
      <c r="FT20" s="6">
        <v>1243</v>
      </c>
      <c r="FU20" s="6">
        <v>5423</v>
      </c>
      <c r="FV20" s="6">
        <v>8618</v>
      </c>
      <c r="FW20" s="6">
        <v>2766</v>
      </c>
      <c r="FX20" s="6">
        <v>2214</v>
      </c>
      <c r="FY20" s="6">
        <v>1438</v>
      </c>
      <c r="FZ20" s="6">
        <v>3421</v>
      </c>
      <c r="GA20" s="6">
        <v>314</v>
      </c>
      <c r="GB20" s="6">
        <v>2307</v>
      </c>
      <c r="GC20" s="6">
        <v>832</v>
      </c>
      <c r="GD20" s="6">
        <v>9688</v>
      </c>
      <c r="GE20" s="6">
        <v>4212</v>
      </c>
      <c r="GF20" s="6">
        <v>7332</v>
      </c>
      <c r="GG20" s="6">
        <v>3707</v>
      </c>
      <c r="GH20" s="6">
        <v>8004</v>
      </c>
      <c r="GI20" s="6">
        <v>9565</v>
      </c>
      <c r="GJ20" s="6">
        <v>2380</v>
      </c>
      <c r="GK20" s="6">
        <v>2112</v>
      </c>
      <c r="GL20" s="6">
        <v>7578</v>
      </c>
      <c r="GM20" s="6">
        <v>6204</v>
      </c>
      <c r="GN20" s="6">
        <v>938</v>
      </c>
      <c r="GO20" s="6">
        <v>3087</v>
      </c>
      <c r="GP20" s="6">
        <v>6351</v>
      </c>
      <c r="GQ20" s="6">
        <v>5296</v>
      </c>
      <c r="GR20" s="6">
        <v>2093</v>
      </c>
      <c r="GS20" s="6">
        <v>9583</v>
      </c>
      <c r="GT20" s="6">
        <v>5757</v>
      </c>
      <c r="GU20" s="6">
        <v>3892</v>
      </c>
      <c r="GV20" s="6">
        <v>464</v>
      </c>
      <c r="GW20" s="6">
        <v>7370</v>
      </c>
      <c r="GX20" s="6">
        <v>602</v>
      </c>
      <c r="GY20" s="6">
        <v>5809</v>
      </c>
      <c r="GZ20" s="6">
        <v>9679</v>
      </c>
      <c r="HA20" s="6">
        <v>6843</v>
      </c>
      <c r="HB20" s="6">
        <v>8199</v>
      </c>
      <c r="HC20" s="6">
        <v>315</v>
      </c>
      <c r="HD20" s="6">
        <v>937</v>
      </c>
      <c r="HE20" s="6">
        <v>5989</v>
      </c>
      <c r="HF20" s="6">
        <v>834</v>
      </c>
      <c r="HG20" s="6">
        <v>6836</v>
      </c>
      <c r="HH20" s="6">
        <v>7251</v>
      </c>
      <c r="HI20" s="6">
        <v>8546</v>
      </c>
      <c r="HJ20" s="6">
        <v>5940</v>
      </c>
      <c r="HK20" s="6">
        <v>707</v>
      </c>
      <c r="HL20" s="6">
        <v>8978</v>
      </c>
      <c r="HM20" s="6">
        <v>5108</v>
      </c>
      <c r="HN20" s="6">
        <v>7890</v>
      </c>
      <c r="HO20" s="6">
        <v>9717</v>
      </c>
      <c r="HP20" s="6">
        <v>7221</v>
      </c>
      <c r="HQ20" s="6">
        <v>6319</v>
      </c>
      <c r="HR20" s="6">
        <v>7985</v>
      </c>
      <c r="HS20" s="6">
        <v>5823</v>
      </c>
      <c r="HT20" s="6">
        <v>9509</v>
      </c>
      <c r="HU20" s="6">
        <v>8975</v>
      </c>
      <c r="HV20" s="6">
        <v>3917</v>
      </c>
      <c r="HW20" s="6">
        <v>3081</v>
      </c>
      <c r="HX20" s="6">
        <v>6381</v>
      </c>
      <c r="HY20" s="6">
        <v>3296</v>
      </c>
      <c r="HZ20" s="6">
        <v>7426</v>
      </c>
      <c r="IA20" s="6">
        <v>3248</v>
      </c>
      <c r="IB20" s="6">
        <v>6828</v>
      </c>
      <c r="IC20" s="6">
        <v>6565</v>
      </c>
      <c r="ID20" s="6">
        <v>1077</v>
      </c>
      <c r="IE20" s="6">
        <v>3196</v>
      </c>
      <c r="IF20" s="6">
        <v>3168</v>
      </c>
      <c r="IG20" s="6">
        <v>857</v>
      </c>
      <c r="IH20" s="6">
        <v>3571</v>
      </c>
      <c r="II20" s="6">
        <v>9783</v>
      </c>
      <c r="IJ20" s="6">
        <v>6360</v>
      </c>
      <c r="IK20" s="6">
        <v>738</v>
      </c>
      <c r="IL20" s="6">
        <v>831</v>
      </c>
      <c r="IM20" s="6">
        <v>920</v>
      </c>
      <c r="IN20" s="6">
        <v>7297</v>
      </c>
      <c r="IO20" s="6">
        <v>1607</v>
      </c>
      <c r="IP20" s="6">
        <v>3423</v>
      </c>
      <c r="IQ20" s="6">
        <v>9965</v>
      </c>
      <c r="IR20" s="6">
        <v>4443</v>
      </c>
      <c r="IS20" s="6">
        <v>6183</v>
      </c>
      <c r="IT20" s="6">
        <v>2944</v>
      </c>
      <c r="IU20" s="6">
        <v>3465</v>
      </c>
      <c r="IV20" s="6">
        <v>1187</v>
      </c>
      <c r="IW20" s="6">
        <v>7121</v>
      </c>
      <c r="IX20" s="6">
        <v>471</v>
      </c>
      <c r="IY20" s="6">
        <v>6804</v>
      </c>
      <c r="IZ20" s="6">
        <v>8599</v>
      </c>
      <c r="JA20" s="6">
        <v>4207</v>
      </c>
      <c r="JB20" s="6">
        <v>1181</v>
      </c>
      <c r="JC20" s="6">
        <v>845</v>
      </c>
      <c r="JD20" s="6">
        <v>8234</v>
      </c>
      <c r="JE20" s="6">
        <v>1415</v>
      </c>
      <c r="JF20" s="6">
        <v>6736</v>
      </c>
      <c r="JG20" s="6">
        <v>2262</v>
      </c>
      <c r="JH20" s="6">
        <v>8902</v>
      </c>
      <c r="JI20" s="6">
        <v>8720</v>
      </c>
      <c r="JJ20" s="6">
        <v>7293</v>
      </c>
      <c r="JK20" s="6">
        <v>4179</v>
      </c>
      <c r="JL20" s="6">
        <v>9740</v>
      </c>
      <c r="JM20" s="6">
        <v>3126</v>
      </c>
      <c r="JN20" s="6">
        <v>6368</v>
      </c>
      <c r="JO20" s="6">
        <v>7328</v>
      </c>
      <c r="JP20" s="6">
        <v>79</v>
      </c>
      <c r="JQ20" s="6">
        <v>175</v>
      </c>
      <c r="JR20" s="6">
        <v>778</v>
      </c>
      <c r="JS20" s="6">
        <v>4033</v>
      </c>
      <c r="JT20" s="6">
        <v>1361</v>
      </c>
      <c r="JU20" s="6">
        <v>5531</v>
      </c>
      <c r="JV20" s="6">
        <v>5099</v>
      </c>
      <c r="JW20" s="6">
        <v>1818</v>
      </c>
      <c r="JX20" s="6">
        <v>3874</v>
      </c>
      <c r="JY20" s="6">
        <v>5024</v>
      </c>
      <c r="JZ20" s="6">
        <v>8950</v>
      </c>
      <c r="KA20" s="6">
        <v>180</v>
      </c>
      <c r="KB20" s="6">
        <v>4362</v>
      </c>
      <c r="KC20" s="6">
        <v>9130</v>
      </c>
      <c r="KD20" s="6">
        <v>8541</v>
      </c>
      <c r="KE20" s="6">
        <v>2815</v>
      </c>
      <c r="KF20" s="6">
        <v>8333</v>
      </c>
      <c r="KG20" s="6">
        <v>6539</v>
      </c>
      <c r="KH20" s="6">
        <v>6057</v>
      </c>
      <c r="KI20" s="6">
        <v>9404</v>
      </c>
      <c r="KJ20" s="6">
        <v>3102</v>
      </c>
      <c r="KK20" s="6">
        <v>8061</v>
      </c>
      <c r="KL20" s="6">
        <v>3403</v>
      </c>
      <c r="KM20" s="6">
        <v>5940</v>
      </c>
      <c r="KN20" s="6">
        <v>7673</v>
      </c>
      <c r="KO20" s="6">
        <v>3871</v>
      </c>
      <c r="KP20" s="6">
        <v>8665</v>
      </c>
      <c r="KQ20" s="6">
        <v>2074</v>
      </c>
      <c r="KR20" s="6">
        <v>4789</v>
      </c>
      <c r="KS20" s="6">
        <v>1630</v>
      </c>
      <c r="KT20" s="6">
        <v>517</v>
      </c>
      <c r="KU20" s="6">
        <v>1640</v>
      </c>
      <c r="KV20" s="6">
        <v>3798</v>
      </c>
      <c r="KW20" s="6">
        <v>9677</v>
      </c>
      <c r="KX20" s="6">
        <v>3439</v>
      </c>
      <c r="KY20" s="6">
        <v>5167</v>
      </c>
      <c r="KZ20" s="6">
        <v>1234</v>
      </c>
      <c r="LA20" s="6">
        <v>5802</v>
      </c>
      <c r="LB20" s="6">
        <v>6935</v>
      </c>
      <c r="LC20" s="6">
        <v>6918</v>
      </c>
      <c r="LD20" s="6">
        <v>295</v>
      </c>
      <c r="LE20" s="6">
        <v>2376</v>
      </c>
      <c r="LF20" s="6">
        <v>50</v>
      </c>
      <c r="LG20" s="6">
        <v>5871</v>
      </c>
      <c r="LH20" s="6">
        <v>3816</v>
      </c>
      <c r="LI20" s="6">
        <v>4051</v>
      </c>
      <c r="LJ20" s="6">
        <v>4824</v>
      </c>
      <c r="LK20" s="6">
        <v>8274</v>
      </c>
      <c r="LL20" s="6">
        <v>6963</v>
      </c>
      <c r="LM20" s="6">
        <v>3252</v>
      </c>
      <c r="LN20" s="6">
        <v>6633</v>
      </c>
      <c r="LO20" s="6">
        <v>2811</v>
      </c>
      <c r="LP20" s="6">
        <v>31</v>
      </c>
      <c r="LQ20" s="6">
        <v>3778</v>
      </c>
      <c r="LR20" s="6">
        <v>9354</v>
      </c>
      <c r="LS20" s="6">
        <v>9748</v>
      </c>
      <c r="LT20" s="6">
        <v>6311</v>
      </c>
      <c r="LU20" s="6">
        <v>746</v>
      </c>
      <c r="LV20" s="6">
        <v>3320</v>
      </c>
      <c r="LW20" s="6">
        <v>7799</v>
      </c>
      <c r="LX20" s="6">
        <v>6443</v>
      </c>
      <c r="LY20" s="6">
        <v>2389</v>
      </c>
      <c r="LZ20" s="6">
        <v>8888</v>
      </c>
      <c r="MA20" s="6">
        <v>8483</v>
      </c>
      <c r="MB20" s="6">
        <v>5278</v>
      </c>
      <c r="MC20" s="6">
        <v>9688</v>
      </c>
      <c r="MD20" s="6">
        <v>2480</v>
      </c>
      <c r="ME20" s="6">
        <v>5008</v>
      </c>
      <c r="MF20" s="6">
        <v>1</v>
      </c>
      <c r="MG20" s="6">
        <v>8093</v>
      </c>
      <c r="MH20" s="6">
        <v>4499</v>
      </c>
      <c r="MI20" s="6">
        <v>33</v>
      </c>
      <c r="MJ20" s="6">
        <v>6784</v>
      </c>
      <c r="MK20" s="6">
        <v>3814</v>
      </c>
      <c r="ML20" s="6">
        <v>3800</v>
      </c>
      <c r="MM20" s="6">
        <v>564</v>
      </c>
      <c r="MN20" s="6">
        <v>9072</v>
      </c>
      <c r="MO20" s="6">
        <v>9371</v>
      </c>
      <c r="MP20" s="6">
        <v>8428</v>
      </c>
      <c r="MQ20" s="6">
        <v>8720</v>
      </c>
      <c r="MR20" s="6">
        <v>7038</v>
      </c>
      <c r="MS20" s="6">
        <v>1434</v>
      </c>
      <c r="MT20" s="6">
        <v>1045</v>
      </c>
      <c r="MU20" s="6">
        <v>6727</v>
      </c>
      <c r="MV20" s="6">
        <v>5461</v>
      </c>
      <c r="MW20" s="6">
        <v>3270</v>
      </c>
      <c r="MX20" s="6">
        <v>4606</v>
      </c>
      <c r="MY20" s="6">
        <v>4906</v>
      </c>
      <c r="MZ20" s="6">
        <v>3891</v>
      </c>
      <c r="NA20" s="6">
        <v>4733</v>
      </c>
      <c r="NB20" s="6">
        <v>7501</v>
      </c>
      <c r="NC20" s="6">
        <v>8066</v>
      </c>
      <c r="ND20" s="6">
        <v>1547</v>
      </c>
      <c r="NE20" s="6">
        <v>4650</v>
      </c>
      <c r="NF20" s="6">
        <v>2388</v>
      </c>
      <c r="NG20" s="6">
        <v>1596</v>
      </c>
      <c r="NH20" s="6">
        <v>7775</v>
      </c>
      <c r="NI20" s="6">
        <v>5739</v>
      </c>
      <c r="NJ20" s="6">
        <v>364</v>
      </c>
      <c r="NK20" s="6">
        <v>1147</v>
      </c>
      <c r="NL20" s="6">
        <v>6159</v>
      </c>
      <c r="NM20" s="6">
        <v>7857</v>
      </c>
      <c r="NN20" s="6">
        <v>8367</v>
      </c>
      <c r="NO20" s="6">
        <v>5020</v>
      </c>
      <c r="NP20" s="6">
        <v>3972</v>
      </c>
      <c r="NQ20" s="6">
        <v>2852</v>
      </c>
      <c r="NR20" s="6">
        <v>8600</v>
      </c>
      <c r="NS20" s="6">
        <v>9855</v>
      </c>
      <c r="NT20" s="6">
        <v>1440</v>
      </c>
      <c r="NU20" s="6">
        <v>9837</v>
      </c>
      <c r="NV20" s="6">
        <v>8682</v>
      </c>
      <c r="NW20" s="6">
        <v>4251</v>
      </c>
      <c r="NX20" s="6">
        <v>8609</v>
      </c>
      <c r="NY20" s="6">
        <v>6128</v>
      </c>
      <c r="NZ20" s="6">
        <v>5704</v>
      </c>
      <c r="OA20" s="6">
        <v>2654</v>
      </c>
      <c r="OB20" s="6">
        <v>6719</v>
      </c>
      <c r="OC20" s="6">
        <v>7267</v>
      </c>
      <c r="OD20" s="6">
        <v>4636</v>
      </c>
      <c r="OE20" s="6">
        <v>6433</v>
      </c>
      <c r="OF20" s="6">
        <v>9054</v>
      </c>
      <c r="OG20" s="6">
        <v>3802</v>
      </c>
      <c r="OH20" s="6">
        <v>2373</v>
      </c>
      <c r="OI20" s="6">
        <v>8457</v>
      </c>
      <c r="OJ20" s="6">
        <v>3626</v>
      </c>
      <c r="OK20" s="6">
        <v>6863</v>
      </c>
      <c r="OL20" s="6">
        <v>8665</v>
      </c>
      <c r="OM20" s="6">
        <v>4311</v>
      </c>
      <c r="ON20" s="6">
        <v>5414</v>
      </c>
      <c r="OO20" s="6">
        <v>4297</v>
      </c>
      <c r="OP20" s="6">
        <v>8991</v>
      </c>
      <c r="OQ20" s="6">
        <v>9137</v>
      </c>
      <c r="OR20" s="6">
        <v>9918</v>
      </c>
      <c r="OS20" s="6">
        <v>4589</v>
      </c>
      <c r="OT20" s="6">
        <v>4043</v>
      </c>
      <c r="OU20" s="6">
        <v>9499</v>
      </c>
      <c r="OV20" s="6">
        <v>3526</v>
      </c>
      <c r="OW20" s="6">
        <v>402</v>
      </c>
      <c r="OX20" s="6">
        <v>7884</v>
      </c>
      <c r="OY20" s="6">
        <v>7976</v>
      </c>
      <c r="OZ20" s="6">
        <v>2557</v>
      </c>
      <c r="PA20" s="6">
        <v>1765</v>
      </c>
      <c r="PB20" s="6">
        <v>6354</v>
      </c>
      <c r="PC20" s="6">
        <v>7387</v>
      </c>
      <c r="PD20" s="6">
        <v>825</v>
      </c>
      <c r="PE20" s="6">
        <v>3600</v>
      </c>
      <c r="PF20" s="6">
        <v>9372</v>
      </c>
      <c r="PG20" s="8">
        <v>150</v>
      </c>
    </row>
    <row r="21" spans="1:423" s="19" customFormat="1" ht="19.149999999999999" customHeight="1" x14ac:dyDescent="0.6">
      <c r="A21" s="25" t="s">
        <v>24</v>
      </c>
      <c r="B21" s="20">
        <v>8474</v>
      </c>
      <c r="C21" s="21">
        <v>8233</v>
      </c>
      <c r="D21" s="21">
        <v>4113</v>
      </c>
      <c r="E21" s="21">
        <v>6588</v>
      </c>
      <c r="F21" s="21">
        <v>6985</v>
      </c>
      <c r="G21" s="21">
        <v>965</v>
      </c>
      <c r="H21" s="21">
        <v>6904</v>
      </c>
      <c r="I21" s="21">
        <v>1879</v>
      </c>
      <c r="J21" s="21">
        <v>1531</v>
      </c>
      <c r="K21" s="21">
        <v>3254</v>
      </c>
      <c r="L21" s="21">
        <v>7979</v>
      </c>
      <c r="M21" s="21">
        <v>8901</v>
      </c>
      <c r="N21" s="21">
        <v>3785</v>
      </c>
      <c r="O21" s="21">
        <v>940</v>
      </c>
      <c r="P21" s="21">
        <v>7641</v>
      </c>
      <c r="Q21" s="21">
        <v>4174</v>
      </c>
      <c r="R21" s="21">
        <v>8431</v>
      </c>
      <c r="S21" s="21">
        <v>4414</v>
      </c>
      <c r="T21" s="21">
        <v>7425</v>
      </c>
      <c r="U21" s="22">
        <v>7420</v>
      </c>
      <c r="V21" s="15"/>
      <c r="W21" s="1">
        <v>0</v>
      </c>
      <c r="X21" s="40" t="s">
        <v>423</v>
      </c>
      <c r="Y21" s="7">
        <v>1794</v>
      </c>
      <c r="Z21" s="6">
        <v>8668</v>
      </c>
      <c r="AA21" s="6">
        <v>5152</v>
      </c>
      <c r="AB21" s="6">
        <v>442</v>
      </c>
      <c r="AC21" s="8">
        <v>3189</v>
      </c>
      <c r="AD21" s="37">
        <v>7844</v>
      </c>
      <c r="AE21" s="6">
        <v>944</v>
      </c>
      <c r="AF21" s="6">
        <v>5752</v>
      </c>
      <c r="AG21" s="6">
        <v>3867</v>
      </c>
      <c r="AH21" s="6">
        <v>9921</v>
      </c>
      <c r="AI21" s="6">
        <v>21</v>
      </c>
      <c r="AJ21" s="6">
        <v>3899</v>
      </c>
      <c r="AK21" s="6">
        <v>2379</v>
      </c>
      <c r="AL21" s="6">
        <v>2958</v>
      </c>
      <c r="AM21" s="6">
        <v>4528</v>
      </c>
      <c r="AN21" s="6">
        <v>3403</v>
      </c>
      <c r="AO21" s="6">
        <v>9332</v>
      </c>
      <c r="AP21" s="6">
        <v>415</v>
      </c>
      <c r="AQ21" s="6">
        <v>457</v>
      </c>
      <c r="AR21" s="6">
        <v>6087</v>
      </c>
      <c r="AS21" s="6">
        <v>9457</v>
      </c>
      <c r="AT21" s="6">
        <v>3105</v>
      </c>
      <c r="AU21" s="6">
        <v>1993</v>
      </c>
      <c r="AV21" s="6">
        <v>9332</v>
      </c>
      <c r="AW21" s="6">
        <v>2022</v>
      </c>
      <c r="AX21" s="6">
        <v>6269</v>
      </c>
      <c r="AY21" s="6">
        <v>118</v>
      </c>
      <c r="AZ21" s="6">
        <v>5163</v>
      </c>
      <c r="BA21" s="6">
        <v>8349</v>
      </c>
      <c r="BB21" s="6">
        <v>580</v>
      </c>
      <c r="BC21" s="6">
        <v>8473</v>
      </c>
      <c r="BD21" s="6">
        <v>220</v>
      </c>
      <c r="BE21" s="6">
        <v>8945</v>
      </c>
      <c r="BF21" s="6">
        <v>3821</v>
      </c>
      <c r="BG21" s="6">
        <v>9474</v>
      </c>
      <c r="BH21" s="6">
        <v>9573</v>
      </c>
      <c r="BI21" s="6">
        <v>969</v>
      </c>
      <c r="BJ21" s="6">
        <v>4786</v>
      </c>
      <c r="BK21" s="6">
        <v>3279</v>
      </c>
      <c r="BL21" s="6">
        <v>6734</v>
      </c>
      <c r="BM21" s="6">
        <v>521</v>
      </c>
      <c r="BN21" s="6">
        <v>6478</v>
      </c>
      <c r="BO21" s="6">
        <v>1880</v>
      </c>
      <c r="BP21" s="6">
        <v>9257</v>
      </c>
      <c r="BQ21" s="6">
        <v>4855</v>
      </c>
      <c r="BR21" s="6">
        <v>4132</v>
      </c>
      <c r="BS21" s="6">
        <v>7167</v>
      </c>
      <c r="BT21" s="6">
        <v>9714</v>
      </c>
      <c r="BU21" s="6">
        <v>5280</v>
      </c>
      <c r="BV21" s="6">
        <v>3398</v>
      </c>
      <c r="BW21" s="6">
        <v>4445</v>
      </c>
      <c r="BX21" s="6">
        <v>4336</v>
      </c>
      <c r="BY21" s="6">
        <v>6825</v>
      </c>
      <c r="BZ21" s="6">
        <v>7580</v>
      </c>
      <c r="CA21" s="6">
        <v>5497</v>
      </c>
      <c r="CB21" s="6">
        <v>2780</v>
      </c>
      <c r="CC21" s="6">
        <v>9573</v>
      </c>
      <c r="CD21" s="6">
        <v>1355</v>
      </c>
      <c r="CE21" s="6">
        <v>254</v>
      </c>
      <c r="CF21" s="6">
        <v>3830</v>
      </c>
      <c r="CG21" s="6">
        <v>6879</v>
      </c>
      <c r="CH21" s="6">
        <v>9718</v>
      </c>
      <c r="CI21" s="6">
        <v>9880</v>
      </c>
      <c r="CJ21" s="6">
        <v>4848</v>
      </c>
      <c r="CK21" s="6">
        <v>7345</v>
      </c>
      <c r="CL21" s="6">
        <v>9240</v>
      </c>
      <c r="CM21" s="6">
        <v>4142</v>
      </c>
      <c r="CN21" s="6">
        <v>4174</v>
      </c>
      <c r="CO21" s="6">
        <v>3119</v>
      </c>
      <c r="CP21" s="6">
        <v>9727</v>
      </c>
      <c r="CQ21" s="6">
        <v>5933</v>
      </c>
      <c r="CR21" s="6">
        <v>4040</v>
      </c>
      <c r="CS21" s="6">
        <v>274</v>
      </c>
      <c r="CT21" s="6">
        <v>5735</v>
      </c>
      <c r="CU21" s="6">
        <v>4028</v>
      </c>
      <c r="CV21" s="6">
        <v>4457</v>
      </c>
      <c r="CW21" s="6">
        <v>9526</v>
      </c>
      <c r="CX21" s="6">
        <v>4662</v>
      </c>
      <c r="CY21" s="6">
        <v>4079</v>
      </c>
      <c r="CZ21" s="6">
        <v>8553</v>
      </c>
      <c r="DA21" s="6">
        <v>2458</v>
      </c>
      <c r="DB21" s="6">
        <v>9</v>
      </c>
      <c r="DC21" s="6">
        <v>2080</v>
      </c>
      <c r="DD21" s="6">
        <v>3439</v>
      </c>
      <c r="DE21" s="6">
        <v>980</v>
      </c>
      <c r="DF21" s="6">
        <v>7645</v>
      </c>
      <c r="DG21" s="6">
        <v>4563</v>
      </c>
      <c r="DH21" s="6">
        <v>8600</v>
      </c>
      <c r="DI21" s="6">
        <v>4870</v>
      </c>
      <c r="DJ21" s="6">
        <v>5372</v>
      </c>
      <c r="DK21" s="6">
        <v>405</v>
      </c>
      <c r="DL21" s="6">
        <v>2071</v>
      </c>
      <c r="DM21" s="6">
        <v>1202</v>
      </c>
      <c r="DN21" s="6">
        <v>9672</v>
      </c>
      <c r="DO21" s="6">
        <v>5268</v>
      </c>
      <c r="DP21" s="6">
        <v>3931</v>
      </c>
      <c r="DQ21" s="6">
        <v>3755</v>
      </c>
      <c r="DR21" s="6">
        <v>6136</v>
      </c>
      <c r="DS21" s="6">
        <v>2170</v>
      </c>
      <c r="DT21" s="6">
        <v>1218</v>
      </c>
      <c r="DU21" s="6">
        <v>139</v>
      </c>
      <c r="DV21" s="6">
        <v>6006</v>
      </c>
      <c r="DW21" s="6">
        <v>2309</v>
      </c>
      <c r="DX21" s="6">
        <v>475</v>
      </c>
      <c r="DY21" s="6">
        <v>828</v>
      </c>
      <c r="DZ21" s="6">
        <v>4729</v>
      </c>
      <c r="EA21" s="6">
        <v>3152</v>
      </c>
      <c r="EB21" s="6">
        <v>8569</v>
      </c>
      <c r="EC21" s="6">
        <v>113</v>
      </c>
      <c r="ED21" s="6">
        <v>1039</v>
      </c>
      <c r="EE21" s="6">
        <v>3889</v>
      </c>
      <c r="EF21" s="6">
        <v>658</v>
      </c>
      <c r="EG21" s="6">
        <v>7185</v>
      </c>
      <c r="EH21" s="6">
        <v>6983</v>
      </c>
      <c r="EI21" s="6">
        <v>5510</v>
      </c>
      <c r="EJ21" s="6">
        <v>200</v>
      </c>
      <c r="EK21" s="6">
        <v>7852</v>
      </c>
      <c r="EL21" s="6">
        <v>9800</v>
      </c>
      <c r="EM21" s="6">
        <v>1148</v>
      </c>
      <c r="EN21" s="6">
        <v>6360</v>
      </c>
      <c r="EO21" s="6">
        <v>9707</v>
      </c>
      <c r="EP21" s="6">
        <v>5735</v>
      </c>
      <c r="EQ21" s="6">
        <v>5534</v>
      </c>
      <c r="ER21" s="6">
        <v>5253</v>
      </c>
      <c r="ES21" s="6">
        <v>149</v>
      </c>
      <c r="ET21" s="6">
        <v>4998</v>
      </c>
      <c r="EU21" s="6">
        <v>7268</v>
      </c>
      <c r="EV21" s="6">
        <v>7301</v>
      </c>
      <c r="EW21" s="6">
        <v>7583</v>
      </c>
      <c r="EX21" s="6">
        <v>8804</v>
      </c>
      <c r="EY21" s="6">
        <v>5919</v>
      </c>
      <c r="EZ21" s="6">
        <v>1722</v>
      </c>
      <c r="FA21" s="6">
        <v>956</v>
      </c>
      <c r="FB21" s="6">
        <v>6772</v>
      </c>
      <c r="FC21" s="6">
        <v>5279</v>
      </c>
      <c r="FD21" s="6">
        <v>5862</v>
      </c>
      <c r="FE21" s="6">
        <v>2002</v>
      </c>
      <c r="FF21" s="6">
        <v>1742</v>
      </c>
      <c r="FG21" s="6">
        <v>9329</v>
      </c>
      <c r="FH21" s="6">
        <v>8863</v>
      </c>
      <c r="FI21" s="6">
        <v>6483</v>
      </c>
      <c r="FJ21" s="6">
        <v>8025</v>
      </c>
      <c r="FK21" s="6">
        <v>5931</v>
      </c>
      <c r="FL21" s="6">
        <v>7008</v>
      </c>
      <c r="FM21" s="6">
        <v>6412</v>
      </c>
      <c r="FN21" s="6">
        <v>5391</v>
      </c>
      <c r="FO21" s="6">
        <v>458</v>
      </c>
      <c r="FP21" s="6">
        <v>6977</v>
      </c>
      <c r="FQ21" s="6">
        <v>8798</v>
      </c>
      <c r="FR21" s="6">
        <v>5730</v>
      </c>
      <c r="FS21" s="6">
        <v>8922</v>
      </c>
      <c r="FT21" s="6">
        <v>400</v>
      </c>
      <c r="FU21" s="6">
        <v>7151</v>
      </c>
      <c r="FV21" s="6">
        <v>9887</v>
      </c>
      <c r="FW21" s="6">
        <v>5087</v>
      </c>
      <c r="FX21" s="6">
        <v>5631</v>
      </c>
      <c r="FY21" s="6">
        <v>366</v>
      </c>
      <c r="FZ21" s="6">
        <v>1545</v>
      </c>
      <c r="GA21" s="6">
        <v>4394</v>
      </c>
      <c r="GB21" s="6">
        <v>198</v>
      </c>
      <c r="GC21" s="6">
        <v>8279</v>
      </c>
      <c r="GD21" s="6">
        <v>1814</v>
      </c>
      <c r="GE21" s="6">
        <v>3263</v>
      </c>
      <c r="GF21" s="6">
        <v>2956</v>
      </c>
      <c r="GG21" s="6">
        <v>9538</v>
      </c>
      <c r="GH21" s="6">
        <v>5273</v>
      </c>
      <c r="GI21" s="6">
        <v>3649</v>
      </c>
      <c r="GJ21" s="6">
        <v>590</v>
      </c>
      <c r="GK21" s="6">
        <v>1742</v>
      </c>
      <c r="GL21" s="6">
        <v>5234</v>
      </c>
      <c r="GM21" s="6">
        <v>9402</v>
      </c>
      <c r="GN21" s="6">
        <v>7069</v>
      </c>
      <c r="GO21" s="6">
        <v>5484</v>
      </c>
      <c r="GP21" s="6">
        <v>4580</v>
      </c>
      <c r="GQ21" s="6">
        <v>6347</v>
      </c>
      <c r="GR21" s="6">
        <v>3883</v>
      </c>
      <c r="GS21" s="6">
        <v>5221</v>
      </c>
      <c r="GT21" s="6">
        <v>1967</v>
      </c>
      <c r="GU21" s="6">
        <v>8714</v>
      </c>
      <c r="GV21" s="6">
        <v>2427</v>
      </c>
      <c r="GW21" s="6">
        <v>820</v>
      </c>
      <c r="GX21" s="6">
        <v>9459</v>
      </c>
      <c r="GY21" s="6">
        <v>1239</v>
      </c>
      <c r="GZ21" s="6">
        <v>2548</v>
      </c>
      <c r="HA21" s="6">
        <v>3612</v>
      </c>
      <c r="HB21" s="6">
        <v>9640</v>
      </c>
      <c r="HC21" s="6">
        <v>5843</v>
      </c>
      <c r="HD21" s="6">
        <v>8417</v>
      </c>
      <c r="HE21" s="6">
        <v>3152</v>
      </c>
      <c r="HF21" s="6">
        <v>6464</v>
      </c>
      <c r="HG21" s="6">
        <v>692</v>
      </c>
      <c r="HH21" s="6">
        <v>808</v>
      </c>
      <c r="HI21" s="6">
        <v>2110</v>
      </c>
      <c r="HJ21" s="6">
        <v>3508</v>
      </c>
      <c r="HK21" s="6">
        <v>8551</v>
      </c>
      <c r="HL21" s="6">
        <v>859</v>
      </c>
      <c r="HM21" s="6">
        <v>9722</v>
      </c>
      <c r="HN21" s="6">
        <v>4289</v>
      </c>
      <c r="HO21" s="6">
        <v>7804</v>
      </c>
      <c r="HP21" s="6">
        <v>3713</v>
      </c>
      <c r="HQ21" s="6">
        <v>8764</v>
      </c>
      <c r="HR21" s="6">
        <v>7694</v>
      </c>
      <c r="HS21" s="6">
        <v>6566</v>
      </c>
      <c r="HT21" s="6">
        <v>9337</v>
      </c>
      <c r="HU21" s="6">
        <v>9884</v>
      </c>
      <c r="HV21" s="6">
        <v>1338</v>
      </c>
      <c r="HW21" s="6">
        <v>2830</v>
      </c>
      <c r="HX21" s="6">
        <v>1108</v>
      </c>
      <c r="HY21" s="6">
        <v>2791</v>
      </c>
      <c r="HZ21" s="6">
        <v>8094</v>
      </c>
      <c r="IA21" s="6">
        <v>1335</v>
      </c>
      <c r="IB21" s="6">
        <v>2830</v>
      </c>
      <c r="IC21" s="6">
        <v>2657</v>
      </c>
      <c r="ID21" s="6">
        <v>7544</v>
      </c>
      <c r="IE21" s="6">
        <v>6334</v>
      </c>
      <c r="IF21" s="6">
        <v>8784</v>
      </c>
      <c r="IG21" s="6">
        <v>4574</v>
      </c>
      <c r="IH21" s="6">
        <v>3402</v>
      </c>
      <c r="II21" s="6">
        <v>2933</v>
      </c>
      <c r="IJ21" s="6">
        <v>7943</v>
      </c>
      <c r="IK21" s="6">
        <v>6140</v>
      </c>
      <c r="IL21" s="6">
        <v>4109</v>
      </c>
      <c r="IM21" s="6">
        <v>3464</v>
      </c>
      <c r="IN21" s="6">
        <v>3917</v>
      </c>
      <c r="IO21" s="6">
        <v>4291</v>
      </c>
      <c r="IP21" s="6">
        <v>6488</v>
      </c>
      <c r="IQ21" s="6">
        <v>1096</v>
      </c>
      <c r="IR21" s="6">
        <v>5241</v>
      </c>
      <c r="IS21" s="6">
        <v>5314</v>
      </c>
      <c r="IT21" s="6">
        <v>6412</v>
      </c>
      <c r="IU21" s="6">
        <v>5932</v>
      </c>
      <c r="IV21" s="6">
        <v>6505</v>
      </c>
      <c r="IW21" s="6">
        <v>4793</v>
      </c>
      <c r="IX21" s="6">
        <v>9909</v>
      </c>
      <c r="IY21" s="6">
        <v>8266</v>
      </c>
      <c r="IZ21" s="6">
        <v>2855</v>
      </c>
      <c r="JA21" s="6">
        <v>7796</v>
      </c>
      <c r="JB21" s="6">
        <v>2265</v>
      </c>
      <c r="JC21" s="6">
        <v>8580</v>
      </c>
      <c r="JD21" s="6">
        <v>723</v>
      </c>
      <c r="JE21" s="6">
        <v>6159</v>
      </c>
      <c r="JF21" s="6">
        <v>8653</v>
      </c>
      <c r="JG21" s="6">
        <v>4693</v>
      </c>
      <c r="JH21" s="6">
        <v>9128</v>
      </c>
      <c r="JI21" s="6">
        <v>5204</v>
      </c>
      <c r="JJ21" s="6">
        <v>1717</v>
      </c>
      <c r="JK21" s="6">
        <v>9148</v>
      </c>
      <c r="JL21" s="6">
        <v>7649</v>
      </c>
      <c r="JM21" s="6">
        <v>9167</v>
      </c>
      <c r="JN21" s="6">
        <v>9960</v>
      </c>
      <c r="JO21" s="6">
        <v>4558</v>
      </c>
      <c r="JP21" s="6">
        <v>4057</v>
      </c>
      <c r="JQ21" s="6">
        <v>2318</v>
      </c>
      <c r="JR21" s="6">
        <v>4858</v>
      </c>
      <c r="JS21" s="6">
        <v>3756</v>
      </c>
      <c r="JT21" s="6">
        <v>5745</v>
      </c>
      <c r="JU21" s="6">
        <v>4157</v>
      </c>
      <c r="JV21" s="6">
        <v>6031</v>
      </c>
      <c r="JW21" s="6">
        <v>6305</v>
      </c>
      <c r="JX21" s="6">
        <v>7968</v>
      </c>
      <c r="JY21" s="6">
        <v>7486</v>
      </c>
      <c r="JZ21" s="6">
        <v>5073</v>
      </c>
      <c r="KA21" s="6">
        <v>3088</v>
      </c>
      <c r="KB21" s="6">
        <v>4583</v>
      </c>
      <c r="KC21" s="6">
        <v>1032</v>
      </c>
      <c r="KD21" s="6">
        <v>6599</v>
      </c>
      <c r="KE21" s="6">
        <v>3170</v>
      </c>
      <c r="KF21" s="6">
        <v>1225</v>
      </c>
      <c r="KG21" s="6">
        <v>504</v>
      </c>
      <c r="KH21" s="6">
        <v>6403</v>
      </c>
      <c r="KI21" s="6">
        <v>6700</v>
      </c>
      <c r="KJ21" s="6">
        <v>1218</v>
      </c>
      <c r="KK21" s="6">
        <v>474</v>
      </c>
      <c r="KL21" s="6">
        <v>6559</v>
      </c>
      <c r="KM21" s="6">
        <v>9513</v>
      </c>
      <c r="KN21" s="6">
        <v>483</v>
      </c>
      <c r="KO21" s="6">
        <v>1404</v>
      </c>
      <c r="KP21" s="6">
        <v>2811</v>
      </c>
      <c r="KQ21" s="6">
        <v>2122</v>
      </c>
      <c r="KR21" s="6">
        <v>8101</v>
      </c>
      <c r="KS21" s="6">
        <v>326</v>
      </c>
      <c r="KT21" s="6">
        <v>20</v>
      </c>
      <c r="KU21" s="6">
        <v>5768</v>
      </c>
      <c r="KV21" s="6">
        <v>9414</v>
      </c>
      <c r="KW21" s="6">
        <v>9509</v>
      </c>
      <c r="KX21" s="6">
        <v>9578</v>
      </c>
      <c r="KY21" s="6">
        <v>6914</v>
      </c>
      <c r="KZ21" s="6">
        <v>8798</v>
      </c>
      <c r="LA21" s="6">
        <v>6751</v>
      </c>
      <c r="LB21" s="6">
        <v>3017</v>
      </c>
      <c r="LC21" s="6">
        <v>5352</v>
      </c>
      <c r="LD21" s="6">
        <v>9869</v>
      </c>
      <c r="LE21" s="6">
        <v>143</v>
      </c>
      <c r="LF21" s="6">
        <v>9203</v>
      </c>
      <c r="LG21" s="6">
        <v>8842</v>
      </c>
      <c r="LH21" s="6">
        <v>7920</v>
      </c>
      <c r="LI21" s="6">
        <v>9439</v>
      </c>
      <c r="LJ21" s="6">
        <v>7441</v>
      </c>
      <c r="LK21" s="6">
        <v>8922</v>
      </c>
      <c r="LL21" s="6">
        <v>5365</v>
      </c>
      <c r="LM21" s="6">
        <v>2768</v>
      </c>
      <c r="LN21" s="6">
        <v>5821</v>
      </c>
      <c r="LO21" s="6">
        <v>7454</v>
      </c>
      <c r="LP21" s="6">
        <v>4597</v>
      </c>
      <c r="LQ21" s="6">
        <v>3842</v>
      </c>
      <c r="LR21" s="6">
        <v>5630</v>
      </c>
      <c r="LS21" s="6">
        <v>1096</v>
      </c>
      <c r="LT21" s="6">
        <v>4528</v>
      </c>
      <c r="LU21" s="6">
        <v>7070</v>
      </c>
      <c r="LV21" s="6">
        <v>8605</v>
      </c>
      <c r="LW21" s="6">
        <v>3289</v>
      </c>
      <c r="LX21" s="6">
        <v>1103</v>
      </c>
      <c r="LY21" s="6">
        <v>3659</v>
      </c>
      <c r="LZ21" s="6">
        <v>6932</v>
      </c>
      <c r="MA21" s="6">
        <v>4203</v>
      </c>
      <c r="MB21" s="6">
        <v>1057</v>
      </c>
      <c r="MC21" s="6">
        <v>7583</v>
      </c>
      <c r="MD21" s="6">
        <v>5464</v>
      </c>
      <c r="ME21" s="6">
        <v>5655</v>
      </c>
      <c r="MF21" s="6">
        <v>5859</v>
      </c>
      <c r="MG21" s="6">
        <v>9714</v>
      </c>
      <c r="MH21" s="6">
        <v>9276</v>
      </c>
      <c r="MI21" s="6">
        <v>2178</v>
      </c>
      <c r="MJ21" s="6">
        <v>2556</v>
      </c>
      <c r="MK21" s="6">
        <v>6626</v>
      </c>
      <c r="ML21" s="6">
        <v>1158</v>
      </c>
      <c r="MM21" s="6">
        <v>5875</v>
      </c>
      <c r="MN21" s="6">
        <v>850</v>
      </c>
      <c r="MO21" s="6">
        <v>1126</v>
      </c>
      <c r="MP21" s="6">
        <v>9308</v>
      </c>
      <c r="MQ21" s="6">
        <v>5604</v>
      </c>
      <c r="MR21" s="6">
        <v>5773</v>
      </c>
      <c r="MS21" s="6">
        <v>9232</v>
      </c>
      <c r="MT21" s="6">
        <v>1132</v>
      </c>
      <c r="MU21" s="6">
        <v>9818</v>
      </c>
      <c r="MV21" s="6">
        <v>8050</v>
      </c>
      <c r="MW21" s="6">
        <v>7641</v>
      </c>
      <c r="MX21" s="6">
        <v>934</v>
      </c>
      <c r="MY21" s="6">
        <v>6383</v>
      </c>
      <c r="MZ21" s="6">
        <v>3276</v>
      </c>
      <c r="NA21" s="6">
        <v>3208</v>
      </c>
      <c r="NB21" s="6">
        <v>1938</v>
      </c>
      <c r="NC21" s="6">
        <v>7760</v>
      </c>
      <c r="ND21" s="6">
        <v>878</v>
      </c>
      <c r="NE21" s="6">
        <v>92</v>
      </c>
      <c r="NF21" s="6">
        <v>6871</v>
      </c>
      <c r="NG21" s="6">
        <v>2172</v>
      </c>
      <c r="NH21" s="6">
        <v>9874</v>
      </c>
      <c r="NI21" s="6">
        <v>8378</v>
      </c>
      <c r="NJ21" s="6">
        <v>9470</v>
      </c>
      <c r="NK21" s="6">
        <v>1250</v>
      </c>
      <c r="NL21" s="6">
        <v>1869</v>
      </c>
      <c r="NM21" s="6">
        <v>2012</v>
      </c>
      <c r="NN21" s="6">
        <v>6986</v>
      </c>
      <c r="NO21" s="6">
        <v>8847</v>
      </c>
      <c r="NP21" s="6">
        <v>3399</v>
      </c>
      <c r="NQ21" s="6">
        <v>6257</v>
      </c>
      <c r="NR21" s="6">
        <v>2980</v>
      </c>
      <c r="NS21" s="6">
        <v>9772</v>
      </c>
      <c r="NT21" s="6">
        <v>2738</v>
      </c>
      <c r="NU21" s="6">
        <v>9691</v>
      </c>
      <c r="NV21" s="6">
        <v>8742</v>
      </c>
      <c r="NW21" s="6">
        <v>1108</v>
      </c>
      <c r="NX21" s="6">
        <v>699</v>
      </c>
      <c r="NY21" s="6">
        <v>9545</v>
      </c>
      <c r="NZ21" s="6">
        <v>2953</v>
      </c>
      <c r="OA21" s="6">
        <v>5849</v>
      </c>
      <c r="OB21" s="6">
        <v>1905</v>
      </c>
      <c r="OC21" s="6">
        <v>8600</v>
      </c>
      <c r="OD21" s="6">
        <v>9399</v>
      </c>
      <c r="OE21" s="6">
        <v>1851</v>
      </c>
      <c r="OF21" s="6">
        <v>2428</v>
      </c>
      <c r="OG21" s="6">
        <v>4478</v>
      </c>
      <c r="OH21" s="6">
        <v>883</v>
      </c>
      <c r="OI21" s="6">
        <v>2265</v>
      </c>
      <c r="OJ21" s="6">
        <v>3990</v>
      </c>
      <c r="OK21" s="6">
        <v>3871</v>
      </c>
      <c r="OL21" s="6">
        <v>7633</v>
      </c>
      <c r="OM21" s="6">
        <v>1696</v>
      </c>
      <c r="ON21" s="6">
        <v>9499</v>
      </c>
      <c r="OO21" s="6">
        <v>5486</v>
      </c>
      <c r="OP21" s="6">
        <v>3611</v>
      </c>
      <c r="OQ21" s="6">
        <v>6984</v>
      </c>
      <c r="OR21" s="6">
        <v>7101</v>
      </c>
      <c r="OS21" s="6">
        <v>7085</v>
      </c>
      <c r="OT21" s="6">
        <v>1732</v>
      </c>
      <c r="OU21" s="6">
        <v>8026</v>
      </c>
      <c r="OV21" s="6">
        <v>874</v>
      </c>
      <c r="OW21" s="6">
        <v>8159</v>
      </c>
      <c r="OX21" s="6">
        <v>2409</v>
      </c>
      <c r="OY21" s="6">
        <v>5810</v>
      </c>
      <c r="OZ21" s="6">
        <v>913</v>
      </c>
      <c r="PA21" s="6">
        <v>4713</v>
      </c>
      <c r="PB21" s="6">
        <v>4480</v>
      </c>
      <c r="PC21" s="6">
        <v>8284</v>
      </c>
      <c r="PD21" s="6">
        <v>1189</v>
      </c>
      <c r="PE21" s="6">
        <v>7214</v>
      </c>
      <c r="PF21" s="6">
        <v>3750</v>
      </c>
      <c r="PG21" s="8">
        <v>4913</v>
      </c>
    </row>
    <row r="22" spans="1:423" s="19" customFormat="1" ht="19.149999999999999" customHeight="1" thickBot="1" x14ac:dyDescent="0.65">
      <c r="A22" s="25" t="s">
        <v>25</v>
      </c>
      <c r="B22" s="20">
        <v>6584</v>
      </c>
      <c r="C22" s="21">
        <v>5425</v>
      </c>
      <c r="D22" s="21">
        <v>625</v>
      </c>
      <c r="E22" s="21">
        <v>6003</v>
      </c>
      <c r="F22" s="21">
        <v>4166</v>
      </c>
      <c r="G22" s="21">
        <v>4033</v>
      </c>
      <c r="H22" s="21">
        <v>4413</v>
      </c>
      <c r="I22" s="21">
        <v>3673</v>
      </c>
      <c r="J22" s="21">
        <v>8249</v>
      </c>
      <c r="K22" s="21">
        <v>610</v>
      </c>
      <c r="L22" s="21">
        <v>6903</v>
      </c>
      <c r="M22" s="21">
        <v>740</v>
      </c>
      <c r="N22" s="21">
        <v>8123</v>
      </c>
      <c r="O22" s="21">
        <v>8356</v>
      </c>
      <c r="P22" s="21">
        <v>5383</v>
      </c>
      <c r="Q22" s="21">
        <v>5984</v>
      </c>
      <c r="R22" s="21">
        <v>522</v>
      </c>
      <c r="S22" s="21">
        <v>4616</v>
      </c>
      <c r="T22" s="21">
        <v>1365</v>
      </c>
      <c r="U22" s="22">
        <v>2734</v>
      </c>
      <c r="V22" s="15"/>
      <c r="W22" s="1">
        <v>0</v>
      </c>
      <c r="X22" s="41" t="s">
        <v>424</v>
      </c>
      <c r="Y22" s="9">
        <v>5712</v>
      </c>
      <c r="Z22" s="10">
        <v>6566</v>
      </c>
      <c r="AA22" s="10">
        <v>4827</v>
      </c>
      <c r="AB22" s="10">
        <v>89</v>
      </c>
      <c r="AC22" s="11">
        <v>4134</v>
      </c>
      <c r="AD22" s="38">
        <v>1050</v>
      </c>
      <c r="AE22" s="10">
        <v>7778</v>
      </c>
      <c r="AF22" s="10">
        <v>649</v>
      </c>
      <c r="AG22" s="10">
        <v>7068</v>
      </c>
      <c r="AH22" s="10">
        <v>6519</v>
      </c>
      <c r="AI22" s="10">
        <v>7009</v>
      </c>
      <c r="AJ22" s="10">
        <v>9898</v>
      </c>
      <c r="AK22" s="10">
        <v>5453</v>
      </c>
      <c r="AL22" s="10">
        <v>3991</v>
      </c>
      <c r="AM22" s="10">
        <v>3377</v>
      </c>
      <c r="AN22" s="10">
        <v>5425</v>
      </c>
      <c r="AO22" s="10">
        <v>2527</v>
      </c>
      <c r="AP22" s="10">
        <v>818</v>
      </c>
      <c r="AQ22" s="10">
        <v>7186</v>
      </c>
      <c r="AR22" s="10">
        <v>9355</v>
      </c>
      <c r="AS22" s="10">
        <v>4760</v>
      </c>
      <c r="AT22" s="10">
        <v>6594</v>
      </c>
      <c r="AU22" s="10">
        <v>8519</v>
      </c>
      <c r="AV22" s="10">
        <v>3725</v>
      </c>
      <c r="AW22" s="10">
        <v>1894</v>
      </c>
      <c r="AX22" s="10">
        <v>3619</v>
      </c>
      <c r="AY22" s="10">
        <v>3245</v>
      </c>
      <c r="AZ22" s="10">
        <v>2809</v>
      </c>
      <c r="BA22" s="10">
        <v>5710</v>
      </c>
      <c r="BB22" s="10">
        <v>9942</v>
      </c>
      <c r="BC22" s="10">
        <v>9795</v>
      </c>
      <c r="BD22" s="10">
        <v>7253</v>
      </c>
      <c r="BE22" s="10">
        <v>3007</v>
      </c>
      <c r="BF22" s="10">
        <v>1797</v>
      </c>
      <c r="BG22" s="10">
        <v>4117</v>
      </c>
      <c r="BH22" s="10">
        <v>6585</v>
      </c>
      <c r="BI22" s="10">
        <v>4118</v>
      </c>
      <c r="BJ22" s="10">
        <v>3241</v>
      </c>
      <c r="BK22" s="10">
        <v>2328</v>
      </c>
      <c r="BL22" s="10">
        <v>8697</v>
      </c>
      <c r="BM22" s="10">
        <v>1730</v>
      </c>
      <c r="BN22" s="10">
        <v>5394</v>
      </c>
      <c r="BO22" s="10">
        <v>7769</v>
      </c>
      <c r="BP22" s="10">
        <v>8041</v>
      </c>
      <c r="BQ22" s="10">
        <v>3337</v>
      </c>
      <c r="BR22" s="10">
        <v>9644</v>
      </c>
      <c r="BS22" s="10">
        <v>1235</v>
      </c>
      <c r="BT22" s="10">
        <v>5069</v>
      </c>
      <c r="BU22" s="10">
        <v>5949</v>
      </c>
      <c r="BV22" s="10">
        <v>345</v>
      </c>
      <c r="BW22" s="10">
        <v>4012</v>
      </c>
      <c r="BX22" s="10">
        <v>4832</v>
      </c>
      <c r="BY22" s="10">
        <v>1911</v>
      </c>
      <c r="BZ22" s="10">
        <v>3264</v>
      </c>
      <c r="CA22" s="10">
        <v>7859</v>
      </c>
      <c r="CB22" s="10">
        <v>3086</v>
      </c>
      <c r="CC22" s="10">
        <v>3112</v>
      </c>
      <c r="CD22" s="10">
        <v>7948</v>
      </c>
      <c r="CE22" s="10">
        <v>7275</v>
      </c>
      <c r="CF22" s="10">
        <v>1087</v>
      </c>
      <c r="CG22" s="10">
        <v>757</v>
      </c>
      <c r="CH22" s="10">
        <v>8807</v>
      </c>
      <c r="CI22" s="10">
        <v>3021</v>
      </c>
      <c r="CJ22" s="10">
        <v>1170</v>
      </c>
      <c r="CK22" s="10">
        <v>3839</v>
      </c>
      <c r="CL22" s="10">
        <v>5062</v>
      </c>
      <c r="CM22" s="10">
        <v>7969</v>
      </c>
      <c r="CN22" s="10">
        <v>1303</v>
      </c>
      <c r="CO22" s="10">
        <v>4708</v>
      </c>
      <c r="CP22" s="10">
        <v>2465</v>
      </c>
      <c r="CQ22" s="10">
        <v>3382</v>
      </c>
      <c r="CR22" s="10">
        <v>5976</v>
      </c>
      <c r="CS22" s="10">
        <v>3256</v>
      </c>
      <c r="CT22" s="10">
        <v>2632</v>
      </c>
      <c r="CU22" s="10">
        <v>8435</v>
      </c>
      <c r="CV22" s="10">
        <v>1219</v>
      </c>
      <c r="CW22" s="10">
        <v>5531</v>
      </c>
      <c r="CX22" s="10">
        <v>7602</v>
      </c>
      <c r="CY22" s="10">
        <v>7663</v>
      </c>
      <c r="CZ22" s="10">
        <v>3627</v>
      </c>
      <c r="DA22" s="10">
        <v>3509</v>
      </c>
      <c r="DB22" s="10">
        <v>3217</v>
      </c>
      <c r="DC22" s="10">
        <v>1874</v>
      </c>
      <c r="DD22" s="10">
        <v>950</v>
      </c>
      <c r="DE22" s="10">
        <v>4654</v>
      </c>
      <c r="DF22" s="10">
        <v>732</v>
      </c>
      <c r="DG22" s="10">
        <v>7857</v>
      </c>
      <c r="DH22" s="10">
        <v>5052</v>
      </c>
      <c r="DI22" s="10">
        <v>85</v>
      </c>
      <c r="DJ22" s="10">
        <v>1444</v>
      </c>
      <c r="DK22" s="10">
        <v>936</v>
      </c>
      <c r="DL22" s="10">
        <v>5877</v>
      </c>
      <c r="DM22" s="10">
        <v>5511</v>
      </c>
      <c r="DN22" s="10">
        <v>2815</v>
      </c>
      <c r="DO22" s="10">
        <v>2231</v>
      </c>
      <c r="DP22" s="10">
        <v>1815</v>
      </c>
      <c r="DQ22" s="10">
        <v>2605</v>
      </c>
      <c r="DR22" s="10">
        <v>5393</v>
      </c>
      <c r="DS22" s="10">
        <v>9389</v>
      </c>
      <c r="DT22" s="10">
        <v>2111</v>
      </c>
      <c r="DU22" s="10">
        <v>5322</v>
      </c>
      <c r="DV22" s="10">
        <v>6215</v>
      </c>
      <c r="DW22" s="10">
        <v>7773</v>
      </c>
      <c r="DX22" s="10">
        <v>1672</v>
      </c>
      <c r="DY22" s="10">
        <v>9814</v>
      </c>
      <c r="DZ22" s="10">
        <v>5225</v>
      </c>
      <c r="EA22" s="10">
        <v>6176</v>
      </c>
      <c r="EB22" s="10">
        <v>4271</v>
      </c>
      <c r="EC22" s="10">
        <v>5044</v>
      </c>
      <c r="ED22" s="10">
        <v>4837</v>
      </c>
      <c r="EE22" s="10">
        <v>7232</v>
      </c>
      <c r="EF22" s="10">
        <v>8643</v>
      </c>
      <c r="EG22" s="10">
        <v>5806</v>
      </c>
      <c r="EH22" s="10">
        <v>1578</v>
      </c>
      <c r="EI22" s="10">
        <v>4417</v>
      </c>
      <c r="EJ22" s="10">
        <v>9554</v>
      </c>
      <c r="EK22" s="10">
        <v>9395</v>
      </c>
      <c r="EL22" s="10">
        <v>4462</v>
      </c>
      <c r="EM22" s="10">
        <v>8514</v>
      </c>
      <c r="EN22" s="10">
        <v>9654</v>
      </c>
      <c r="EO22" s="10">
        <v>8934</v>
      </c>
      <c r="EP22" s="10">
        <v>5849</v>
      </c>
      <c r="EQ22" s="10">
        <v>1270</v>
      </c>
      <c r="ER22" s="10">
        <v>2401</v>
      </c>
      <c r="ES22" s="10">
        <v>7780</v>
      </c>
      <c r="ET22" s="10">
        <v>9564</v>
      </c>
      <c r="EU22" s="10">
        <v>6461</v>
      </c>
      <c r="EV22" s="10">
        <v>1946</v>
      </c>
      <c r="EW22" s="10">
        <v>123</v>
      </c>
      <c r="EX22" s="10">
        <v>7862</v>
      </c>
      <c r="EY22" s="10">
        <v>6616</v>
      </c>
      <c r="EZ22" s="10">
        <v>9643</v>
      </c>
      <c r="FA22" s="10">
        <v>1553</v>
      </c>
      <c r="FB22" s="10">
        <v>4759</v>
      </c>
      <c r="FC22" s="10">
        <v>7606</v>
      </c>
      <c r="FD22" s="10">
        <v>3162</v>
      </c>
      <c r="FE22" s="10">
        <v>3476</v>
      </c>
      <c r="FF22" s="10">
        <v>7922</v>
      </c>
      <c r="FG22" s="10">
        <v>9067</v>
      </c>
      <c r="FH22" s="10">
        <v>7201</v>
      </c>
      <c r="FI22" s="10">
        <v>2949</v>
      </c>
      <c r="FJ22" s="10">
        <v>3118</v>
      </c>
      <c r="FK22" s="10">
        <v>9622</v>
      </c>
      <c r="FL22" s="10">
        <v>9132</v>
      </c>
      <c r="FM22" s="10">
        <v>6496</v>
      </c>
      <c r="FN22" s="10">
        <v>4119</v>
      </c>
      <c r="FO22" s="10">
        <v>5181</v>
      </c>
      <c r="FP22" s="10">
        <v>2593</v>
      </c>
      <c r="FQ22" s="10">
        <v>2817</v>
      </c>
      <c r="FR22" s="10">
        <v>9845</v>
      </c>
      <c r="FS22" s="10">
        <v>5224</v>
      </c>
      <c r="FT22" s="10">
        <v>3258</v>
      </c>
      <c r="FU22" s="10">
        <v>6653</v>
      </c>
      <c r="FV22" s="10">
        <v>7458</v>
      </c>
      <c r="FW22" s="10">
        <v>7374</v>
      </c>
      <c r="FX22" s="10">
        <v>3618</v>
      </c>
      <c r="FY22" s="10">
        <v>6753</v>
      </c>
      <c r="FZ22" s="10">
        <v>887</v>
      </c>
      <c r="GA22" s="10">
        <v>8951</v>
      </c>
      <c r="GB22" s="10">
        <v>2776</v>
      </c>
      <c r="GC22" s="10">
        <v>8425</v>
      </c>
      <c r="GD22" s="10">
        <v>8249</v>
      </c>
      <c r="GE22" s="10">
        <v>5169</v>
      </c>
      <c r="GF22" s="10">
        <v>5029</v>
      </c>
      <c r="GG22" s="10">
        <v>8582</v>
      </c>
      <c r="GH22" s="10">
        <v>6370</v>
      </c>
      <c r="GI22" s="10">
        <v>1342</v>
      </c>
      <c r="GJ22" s="10">
        <v>980</v>
      </c>
      <c r="GK22" s="10">
        <v>3754</v>
      </c>
      <c r="GL22" s="10">
        <v>399</v>
      </c>
      <c r="GM22" s="10">
        <v>9305</v>
      </c>
      <c r="GN22" s="10">
        <v>1764</v>
      </c>
      <c r="GO22" s="10">
        <v>2089</v>
      </c>
      <c r="GP22" s="10">
        <v>7159</v>
      </c>
      <c r="GQ22" s="10">
        <v>3384</v>
      </c>
      <c r="GR22" s="10">
        <v>4677</v>
      </c>
      <c r="GS22" s="10">
        <v>5103</v>
      </c>
      <c r="GT22" s="10">
        <v>2313</v>
      </c>
      <c r="GU22" s="10">
        <v>5501</v>
      </c>
      <c r="GV22" s="10">
        <v>6026</v>
      </c>
      <c r="GW22" s="10">
        <v>4137</v>
      </c>
      <c r="GX22" s="10">
        <v>6954</v>
      </c>
      <c r="GY22" s="10">
        <v>1732</v>
      </c>
      <c r="GZ22" s="10">
        <v>8397</v>
      </c>
      <c r="HA22" s="10">
        <v>1033</v>
      </c>
      <c r="HB22" s="10">
        <v>6965</v>
      </c>
      <c r="HC22" s="10">
        <v>2385</v>
      </c>
      <c r="HD22" s="10">
        <v>317</v>
      </c>
      <c r="HE22" s="10">
        <v>6026</v>
      </c>
      <c r="HF22" s="10">
        <v>6932</v>
      </c>
      <c r="HG22" s="10">
        <v>8277</v>
      </c>
      <c r="HH22" s="10">
        <v>928</v>
      </c>
      <c r="HI22" s="10">
        <v>6355</v>
      </c>
      <c r="HJ22" s="10">
        <v>7326</v>
      </c>
      <c r="HK22" s="10">
        <v>8185</v>
      </c>
      <c r="HL22" s="10">
        <v>1546</v>
      </c>
      <c r="HM22" s="10">
        <v>9713</v>
      </c>
      <c r="HN22" s="10">
        <v>4574</v>
      </c>
      <c r="HO22" s="10">
        <v>7282</v>
      </c>
      <c r="HP22" s="10">
        <v>9225</v>
      </c>
      <c r="HQ22" s="10">
        <v>1348</v>
      </c>
      <c r="HR22" s="10">
        <v>5864</v>
      </c>
      <c r="HS22" s="10">
        <v>3992</v>
      </c>
      <c r="HT22" s="10">
        <v>3358</v>
      </c>
      <c r="HU22" s="10">
        <v>6639</v>
      </c>
      <c r="HV22" s="10">
        <v>9452</v>
      </c>
      <c r="HW22" s="10">
        <v>9113</v>
      </c>
      <c r="HX22" s="10">
        <v>6501</v>
      </c>
      <c r="HY22" s="10">
        <v>2937</v>
      </c>
      <c r="HZ22" s="10">
        <v>7325</v>
      </c>
      <c r="IA22" s="10">
        <v>5877</v>
      </c>
      <c r="IB22" s="10">
        <v>7852</v>
      </c>
      <c r="IC22" s="10">
        <v>9159</v>
      </c>
      <c r="ID22" s="10">
        <v>8607</v>
      </c>
      <c r="IE22" s="10">
        <v>4823</v>
      </c>
      <c r="IF22" s="10">
        <v>4590</v>
      </c>
      <c r="IG22" s="10">
        <v>5011</v>
      </c>
      <c r="IH22" s="10">
        <v>4092</v>
      </c>
      <c r="II22" s="10">
        <v>3014</v>
      </c>
      <c r="IJ22" s="10">
        <v>6723</v>
      </c>
      <c r="IK22" s="10">
        <v>2824</v>
      </c>
      <c r="IL22" s="10">
        <v>7342</v>
      </c>
      <c r="IM22" s="10">
        <v>4640</v>
      </c>
      <c r="IN22" s="10">
        <v>6085</v>
      </c>
      <c r="IO22" s="10">
        <v>3019</v>
      </c>
      <c r="IP22" s="10">
        <v>5867</v>
      </c>
      <c r="IQ22" s="10">
        <v>7897</v>
      </c>
      <c r="IR22" s="10">
        <v>385</v>
      </c>
      <c r="IS22" s="10">
        <v>5041</v>
      </c>
      <c r="IT22" s="10">
        <v>8493</v>
      </c>
      <c r="IU22" s="10">
        <v>8567</v>
      </c>
      <c r="IV22" s="10">
        <v>3170</v>
      </c>
      <c r="IW22" s="10">
        <v>8853</v>
      </c>
      <c r="IX22" s="10">
        <v>2781</v>
      </c>
      <c r="IY22" s="10">
        <v>8072</v>
      </c>
      <c r="IZ22" s="10">
        <v>9054</v>
      </c>
      <c r="JA22" s="10">
        <v>6442</v>
      </c>
      <c r="JB22" s="10">
        <v>7214</v>
      </c>
      <c r="JC22" s="10">
        <v>6136</v>
      </c>
      <c r="JD22" s="10">
        <v>4145</v>
      </c>
      <c r="JE22" s="10">
        <v>2420</v>
      </c>
      <c r="JF22" s="10">
        <v>8877</v>
      </c>
      <c r="JG22" s="10">
        <v>9178</v>
      </c>
      <c r="JH22" s="10">
        <v>7089</v>
      </c>
      <c r="JI22" s="10">
        <v>9808</v>
      </c>
      <c r="JJ22" s="10">
        <v>6580</v>
      </c>
      <c r="JK22" s="10">
        <v>9015</v>
      </c>
      <c r="JL22" s="10">
        <v>1875</v>
      </c>
      <c r="JM22" s="10">
        <v>2414</v>
      </c>
      <c r="JN22" s="10">
        <v>4343</v>
      </c>
      <c r="JO22" s="10">
        <v>4134</v>
      </c>
      <c r="JP22" s="10">
        <v>3000</v>
      </c>
      <c r="JQ22" s="10">
        <v>650</v>
      </c>
      <c r="JR22" s="10">
        <v>1441</v>
      </c>
      <c r="JS22" s="10">
        <v>5663</v>
      </c>
      <c r="JT22" s="10">
        <v>2471</v>
      </c>
      <c r="JU22" s="10">
        <v>1970</v>
      </c>
      <c r="JV22" s="10">
        <v>5194</v>
      </c>
      <c r="JW22" s="10">
        <v>591</v>
      </c>
      <c r="JX22" s="10">
        <v>4281</v>
      </c>
      <c r="JY22" s="10">
        <v>2527</v>
      </c>
      <c r="JZ22" s="10">
        <v>4491</v>
      </c>
      <c r="KA22" s="10">
        <v>9484</v>
      </c>
      <c r="KB22" s="10">
        <v>8159</v>
      </c>
      <c r="KC22" s="10">
        <v>8481</v>
      </c>
      <c r="KD22" s="10">
        <v>139</v>
      </c>
      <c r="KE22" s="10">
        <v>9970</v>
      </c>
      <c r="KF22" s="10">
        <v>8100</v>
      </c>
      <c r="KG22" s="10">
        <v>2894</v>
      </c>
      <c r="KH22" s="10">
        <v>9521</v>
      </c>
      <c r="KI22" s="10">
        <v>1888</v>
      </c>
      <c r="KJ22" s="10">
        <v>5995</v>
      </c>
      <c r="KK22" s="10">
        <v>5750</v>
      </c>
      <c r="KL22" s="10">
        <v>4623</v>
      </c>
      <c r="KM22" s="10">
        <v>722</v>
      </c>
      <c r="KN22" s="10">
        <v>7945</v>
      </c>
      <c r="KO22" s="10">
        <v>913</v>
      </c>
      <c r="KP22" s="10">
        <v>9957</v>
      </c>
      <c r="KQ22" s="10">
        <v>937</v>
      </c>
      <c r="KR22" s="10">
        <v>1124</v>
      </c>
      <c r="KS22" s="10">
        <v>7172</v>
      </c>
      <c r="KT22" s="10">
        <v>2455</v>
      </c>
      <c r="KU22" s="10">
        <v>2329</v>
      </c>
      <c r="KV22" s="10">
        <v>4503</v>
      </c>
      <c r="KW22" s="10">
        <v>2270</v>
      </c>
      <c r="KX22" s="10">
        <v>1874</v>
      </c>
      <c r="KY22" s="10">
        <v>4592</v>
      </c>
      <c r="KZ22" s="10">
        <v>5582</v>
      </c>
      <c r="LA22" s="10">
        <v>3154</v>
      </c>
      <c r="LB22" s="10">
        <v>8067</v>
      </c>
      <c r="LC22" s="10">
        <v>8422</v>
      </c>
      <c r="LD22" s="10">
        <v>3807</v>
      </c>
      <c r="LE22" s="10">
        <v>9427</v>
      </c>
      <c r="LF22" s="10">
        <v>8145</v>
      </c>
      <c r="LG22" s="10">
        <v>2802</v>
      </c>
      <c r="LH22" s="10">
        <v>7630</v>
      </c>
      <c r="LI22" s="10">
        <v>5745</v>
      </c>
      <c r="LJ22" s="10">
        <v>4323</v>
      </c>
      <c r="LK22" s="10">
        <v>4346</v>
      </c>
      <c r="LL22" s="10">
        <v>8121</v>
      </c>
      <c r="LM22" s="10">
        <v>7805</v>
      </c>
      <c r="LN22" s="10">
        <v>1757</v>
      </c>
      <c r="LO22" s="10">
        <v>3551</v>
      </c>
      <c r="LP22" s="10">
        <v>8900</v>
      </c>
      <c r="LQ22" s="10">
        <v>6181</v>
      </c>
      <c r="LR22" s="10">
        <v>7279</v>
      </c>
      <c r="LS22" s="10">
        <v>6030</v>
      </c>
      <c r="LT22" s="10">
        <v>5638</v>
      </c>
      <c r="LU22" s="10">
        <v>1670</v>
      </c>
      <c r="LV22" s="10">
        <v>2066</v>
      </c>
      <c r="LW22" s="10">
        <v>2838</v>
      </c>
      <c r="LX22" s="10">
        <v>4621</v>
      </c>
      <c r="LY22" s="10">
        <v>888</v>
      </c>
      <c r="LZ22" s="10">
        <v>7720</v>
      </c>
      <c r="MA22" s="10">
        <v>3157</v>
      </c>
      <c r="MB22" s="10">
        <v>2520</v>
      </c>
      <c r="MC22" s="10">
        <v>9980</v>
      </c>
      <c r="MD22" s="10">
        <v>5144</v>
      </c>
      <c r="ME22" s="10">
        <v>3483</v>
      </c>
      <c r="MF22" s="10">
        <v>3593</v>
      </c>
      <c r="MG22" s="10">
        <v>1953</v>
      </c>
      <c r="MH22" s="10">
        <v>4117</v>
      </c>
      <c r="MI22" s="10">
        <v>95</v>
      </c>
      <c r="MJ22" s="10">
        <v>3544</v>
      </c>
      <c r="MK22" s="10">
        <v>4231</v>
      </c>
      <c r="ML22" s="10">
        <v>9901</v>
      </c>
      <c r="MM22" s="10">
        <v>3489</v>
      </c>
      <c r="MN22" s="10">
        <v>6198</v>
      </c>
      <c r="MO22" s="10">
        <v>459</v>
      </c>
      <c r="MP22" s="10">
        <v>1955</v>
      </c>
      <c r="MQ22" s="10">
        <v>8695</v>
      </c>
      <c r="MR22" s="10">
        <v>1797</v>
      </c>
      <c r="MS22" s="10">
        <v>4903</v>
      </c>
      <c r="MT22" s="10">
        <v>1463</v>
      </c>
      <c r="MU22" s="10">
        <v>4131</v>
      </c>
      <c r="MV22" s="10">
        <v>4244</v>
      </c>
      <c r="MW22" s="10">
        <v>4315</v>
      </c>
      <c r="MX22" s="10">
        <v>9960</v>
      </c>
      <c r="MY22" s="10">
        <v>9807</v>
      </c>
      <c r="MZ22" s="10">
        <v>8724</v>
      </c>
      <c r="NA22" s="10">
        <v>7034</v>
      </c>
      <c r="NB22" s="10">
        <v>6028</v>
      </c>
      <c r="NC22" s="10">
        <v>4767</v>
      </c>
      <c r="ND22" s="10">
        <v>7748</v>
      </c>
      <c r="NE22" s="10">
        <v>7158</v>
      </c>
      <c r="NF22" s="10">
        <v>7882</v>
      </c>
      <c r="NG22" s="10">
        <v>9184</v>
      </c>
      <c r="NH22" s="10">
        <v>2818</v>
      </c>
      <c r="NI22" s="10">
        <v>3887</v>
      </c>
      <c r="NJ22" s="10">
        <v>1527</v>
      </c>
      <c r="NK22" s="10">
        <v>8936</v>
      </c>
      <c r="NL22" s="10">
        <v>3806</v>
      </c>
      <c r="NM22" s="10">
        <v>9082</v>
      </c>
      <c r="NN22" s="10">
        <v>1218</v>
      </c>
      <c r="NO22" s="10">
        <v>6073</v>
      </c>
      <c r="NP22" s="10">
        <v>8158</v>
      </c>
      <c r="NQ22" s="10">
        <v>4295</v>
      </c>
      <c r="NR22" s="10">
        <v>9495</v>
      </c>
      <c r="NS22" s="10">
        <v>9485</v>
      </c>
      <c r="NT22" s="10">
        <v>9797</v>
      </c>
      <c r="NU22" s="10">
        <v>5091</v>
      </c>
      <c r="NV22" s="10">
        <v>9244</v>
      </c>
      <c r="NW22" s="10">
        <v>7433</v>
      </c>
      <c r="NX22" s="10">
        <v>5012</v>
      </c>
      <c r="NY22" s="10">
        <v>8257</v>
      </c>
      <c r="NZ22" s="10">
        <v>4876</v>
      </c>
      <c r="OA22" s="10">
        <v>7730</v>
      </c>
      <c r="OB22" s="10">
        <v>2633</v>
      </c>
      <c r="OC22" s="10">
        <v>9992</v>
      </c>
      <c r="OD22" s="10">
        <v>9355</v>
      </c>
      <c r="OE22" s="10">
        <v>7829</v>
      </c>
      <c r="OF22" s="10">
        <v>9253</v>
      </c>
      <c r="OG22" s="10">
        <v>1690</v>
      </c>
      <c r="OH22" s="10">
        <v>9746</v>
      </c>
      <c r="OI22" s="10">
        <v>7150</v>
      </c>
      <c r="OJ22" s="10">
        <v>5917</v>
      </c>
      <c r="OK22" s="10">
        <v>1497</v>
      </c>
      <c r="OL22" s="10">
        <v>3610</v>
      </c>
      <c r="OM22" s="10">
        <v>4130</v>
      </c>
      <c r="ON22" s="10">
        <v>4742</v>
      </c>
      <c r="OO22" s="10">
        <v>5108</v>
      </c>
      <c r="OP22" s="10">
        <v>2660</v>
      </c>
      <c r="OQ22" s="10">
        <v>6994</v>
      </c>
      <c r="OR22" s="10">
        <v>9994</v>
      </c>
      <c r="OS22" s="10">
        <v>1584</v>
      </c>
      <c r="OT22" s="10">
        <v>3337</v>
      </c>
      <c r="OU22" s="10">
        <v>3817</v>
      </c>
      <c r="OV22" s="10">
        <v>3533</v>
      </c>
      <c r="OW22" s="10">
        <v>924</v>
      </c>
      <c r="OX22" s="10">
        <v>198</v>
      </c>
      <c r="OY22" s="10">
        <v>2166</v>
      </c>
      <c r="OZ22" s="10">
        <v>2625</v>
      </c>
      <c r="PA22" s="10">
        <v>2490</v>
      </c>
      <c r="PB22" s="10">
        <v>7904</v>
      </c>
      <c r="PC22" s="10">
        <v>471</v>
      </c>
      <c r="PD22" s="10">
        <v>2226</v>
      </c>
      <c r="PE22" s="10">
        <v>8875</v>
      </c>
      <c r="PF22" s="10">
        <v>8402</v>
      </c>
      <c r="PG22" s="11">
        <v>1779</v>
      </c>
    </row>
    <row r="23" spans="1:423" s="19" customFormat="1" ht="19.149999999999999" customHeight="1" x14ac:dyDescent="0.3">
      <c r="A23" s="25" t="s">
        <v>26</v>
      </c>
      <c r="B23" s="20">
        <v>2812</v>
      </c>
      <c r="C23" s="21">
        <v>9274</v>
      </c>
      <c r="D23" s="21">
        <v>8105</v>
      </c>
      <c r="E23" s="21">
        <v>5954</v>
      </c>
      <c r="F23" s="21">
        <v>859</v>
      </c>
      <c r="G23" s="21">
        <v>7081</v>
      </c>
      <c r="H23" s="21">
        <v>2632</v>
      </c>
      <c r="I23" s="21">
        <v>5522</v>
      </c>
      <c r="J23" s="21">
        <v>5564</v>
      </c>
      <c r="K23" s="21">
        <v>6181</v>
      </c>
      <c r="L23" s="21">
        <v>9132</v>
      </c>
      <c r="M23" s="21">
        <v>3134</v>
      </c>
      <c r="N23" s="21">
        <v>2522</v>
      </c>
      <c r="O23" s="21">
        <v>5124</v>
      </c>
      <c r="P23" s="21">
        <v>4843</v>
      </c>
      <c r="Q23" s="21">
        <v>8894</v>
      </c>
      <c r="R23" s="21">
        <v>7875</v>
      </c>
      <c r="S23" s="21">
        <v>977</v>
      </c>
      <c r="T23" s="21">
        <v>8722</v>
      </c>
      <c r="U23" s="22">
        <v>7796</v>
      </c>
      <c r="V23" s="15"/>
      <c r="W23" s="15"/>
      <c r="X23" s="15"/>
      <c r="Z23" s="15"/>
    </row>
    <row r="24" spans="1:423" s="19" customFormat="1" ht="19.149999999999999" customHeight="1" x14ac:dyDescent="0.3">
      <c r="A24" s="25" t="s">
        <v>27</v>
      </c>
      <c r="B24" s="20">
        <v>1900</v>
      </c>
      <c r="C24" s="21">
        <v>5716</v>
      </c>
      <c r="D24" s="21">
        <v>4792</v>
      </c>
      <c r="E24" s="21">
        <v>2819</v>
      </c>
      <c r="F24" s="21">
        <v>6484</v>
      </c>
      <c r="G24" s="21">
        <v>6327</v>
      </c>
      <c r="H24" s="21">
        <v>3736</v>
      </c>
      <c r="I24" s="21">
        <v>7190</v>
      </c>
      <c r="J24" s="21">
        <v>254</v>
      </c>
      <c r="K24" s="21">
        <v>303</v>
      </c>
      <c r="L24" s="21">
        <v>8863</v>
      </c>
      <c r="M24" s="21">
        <v>5024</v>
      </c>
      <c r="N24" s="21">
        <v>9583</v>
      </c>
      <c r="O24" s="21">
        <v>4845</v>
      </c>
      <c r="P24" s="21">
        <v>5846</v>
      </c>
      <c r="Q24" s="21">
        <v>4879</v>
      </c>
      <c r="R24" s="21">
        <v>2114</v>
      </c>
      <c r="S24" s="21">
        <v>230</v>
      </c>
      <c r="T24" s="21">
        <v>8292</v>
      </c>
      <c r="U24" s="22">
        <v>9866</v>
      </c>
      <c r="V24" s="15"/>
      <c r="W24" s="15"/>
      <c r="X24" s="15"/>
      <c r="Z24" s="15"/>
    </row>
    <row r="25" spans="1:423" s="19" customFormat="1" ht="19.149999999999999" customHeight="1" x14ac:dyDescent="0.3">
      <c r="A25" s="25" t="s">
        <v>28</v>
      </c>
      <c r="B25" s="20">
        <v>4417</v>
      </c>
      <c r="C25" s="21">
        <v>7705</v>
      </c>
      <c r="D25" s="21">
        <v>6322</v>
      </c>
      <c r="E25" s="21">
        <v>7599</v>
      </c>
      <c r="F25" s="21">
        <v>7094</v>
      </c>
      <c r="G25" s="21">
        <v>1825</v>
      </c>
      <c r="H25" s="21">
        <v>9194</v>
      </c>
      <c r="I25" s="21">
        <v>5243</v>
      </c>
      <c r="J25" s="21">
        <v>8831</v>
      </c>
      <c r="K25" s="21">
        <v>4848</v>
      </c>
      <c r="L25" s="21">
        <v>524</v>
      </c>
      <c r="M25" s="21">
        <v>9210</v>
      </c>
      <c r="N25" s="21">
        <v>4121</v>
      </c>
      <c r="O25" s="21">
        <v>7181</v>
      </c>
      <c r="P25" s="21">
        <v>979</v>
      </c>
      <c r="Q25" s="21">
        <v>6163</v>
      </c>
      <c r="R25" s="21">
        <v>5560</v>
      </c>
      <c r="S25" s="21">
        <v>7458</v>
      </c>
      <c r="T25" s="21">
        <v>8640</v>
      </c>
      <c r="U25" s="22">
        <v>3129</v>
      </c>
      <c r="V25" s="15"/>
      <c r="W25" s="15"/>
      <c r="X25" s="15"/>
      <c r="Z25" s="15"/>
    </row>
    <row r="26" spans="1:423" s="19" customFormat="1" ht="19.149999999999999" customHeight="1" x14ac:dyDescent="0.3">
      <c r="A26" s="25" t="s">
        <v>29</v>
      </c>
      <c r="B26" s="20">
        <v>6440</v>
      </c>
      <c r="C26" s="21">
        <v>4820</v>
      </c>
      <c r="D26" s="21">
        <v>4608</v>
      </c>
      <c r="E26" s="21">
        <v>3064</v>
      </c>
      <c r="F26" s="21">
        <v>1845</v>
      </c>
      <c r="G26" s="21">
        <v>6753</v>
      </c>
      <c r="H26" s="21">
        <v>6387</v>
      </c>
      <c r="I26" s="21">
        <v>7387</v>
      </c>
      <c r="J26" s="21">
        <v>3377</v>
      </c>
      <c r="K26" s="21">
        <v>1450</v>
      </c>
      <c r="L26" s="21">
        <v>1992</v>
      </c>
      <c r="M26" s="21">
        <v>1241</v>
      </c>
      <c r="N26" s="21">
        <v>9822</v>
      </c>
      <c r="O26" s="21">
        <v>5212</v>
      </c>
      <c r="P26" s="21">
        <v>4913</v>
      </c>
      <c r="Q26" s="21">
        <v>6188</v>
      </c>
      <c r="R26" s="21">
        <v>8684</v>
      </c>
      <c r="S26" s="21">
        <v>6362</v>
      </c>
      <c r="T26" s="21">
        <v>4721</v>
      </c>
      <c r="U26" s="22">
        <v>8489</v>
      </c>
      <c r="V26" s="15"/>
      <c r="W26" s="15"/>
      <c r="X26" s="15"/>
      <c r="Z26" s="15"/>
    </row>
    <row r="27" spans="1:423" s="19" customFormat="1" ht="19.149999999999999" customHeight="1" x14ac:dyDescent="0.3">
      <c r="A27" s="25" t="s">
        <v>30</v>
      </c>
      <c r="B27" s="20">
        <v>8356</v>
      </c>
      <c r="C27" s="21">
        <v>1478</v>
      </c>
      <c r="D27" s="21">
        <v>2502</v>
      </c>
      <c r="E27" s="21">
        <v>7925</v>
      </c>
      <c r="F27" s="21">
        <v>2709</v>
      </c>
      <c r="G27" s="21">
        <v>1406</v>
      </c>
      <c r="H27" s="21">
        <v>2016</v>
      </c>
      <c r="I27" s="21">
        <v>7413</v>
      </c>
      <c r="J27" s="21">
        <v>136</v>
      </c>
      <c r="K27" s="21">
        <v>3915</v>
      </c>
      <c r="L27" s="21">
        <v>4701</v>
      </c>
      <c r="M27" s="21">
        <v>518</v>
      </c>
      <c r="N27" s="21">
        <v>1384</v>
      </c>
      <c r="O27" s="21">
        <v>10000</v>
      </c>
      <c r="P27" s="21">
        <v>3173</v>
      </c>
      <c r="Q27" s="21">
        <v>6178</v>
      </c>
      <c r="R27" s="21">
        <v>302</v>
      </c>
      <c r="S27" s="21">
        <v>3898</v>
      </c>
      <c r="T27" s="21">
        <v>6811</v>
      </c>
      <c r="U27" s="22">
        <v>4896</v>
      </c>
      <c r="V27" s="15"/>
      <c r="W27" s="15"/>
      <c r="X27" s="15"/>
      <c r="Z27" s="15"/>
    </row>
    <row r="28" spans="1:423" s="19" customFormat="1" ht="19.149999999999999" customHeight="1" x14ac:dyDescent="0.3">
      <c r="A28" s="25" t="s">
        <v>31</v>
      </c>
      <c r="B28" s="20">
        <v>876</v>
      </c>
      <c r="C28" s="21">
        <v>8971</v>
      </c>
      <c r="D28" s="21">
        <v>746</v>
      </c>
      <c r="E28" s="21">
        <v>7535</v>
      </c>
      <c r="F28" s="21">
        <v>412</v>
      </c>
      <c r="G28" s="21">
        <v>9067</v>
      </c>
      <c r="H28" s="21">
        <v>259</v>
      </c>
      <c r="I28" s="21">
        <v>5385</v>
      </c>
      <c r="J28" s="21">
        <v>9406</v>
      </c>
      <c r="K28" s="21">
        <v>9799</v>
      </c>
      <c r="L28" s="21">
        <v>9521</v>
      </c>
      <c r="M28" s="21">
        <v>6668</v>
      </c>
      <c r="N28" s="21">
        <v>9611</v>
      </c>
      <c r="O28" s="21">
        <v>4307</v>
      </c>
      <c r="P28" s="21">
        <v>7526</v>
      </c>
      <c r="Q28" s="21">
        <v>3494</v>
      </c>
      <c r="R28" s="21">
        <v>9419</v>
      </c>
      <c r="S28" s="21">
        <v>6858</v>
      </c>
      <c r="T28" s="21">
        <v>8267</v>
      </c>
      <c r="U28" s="22">
        <v>9495</v>
      </c>
      <c r="V28" s="15"/>
      <c r="W28" s="15"/>
      <c r="X28" s="15"/>
      <c r="Z28" s="15"/>
    </row>
    <row r="29" spans="1:423" s="19" customFormat="1" ht="19.149999999999999" customHeight="1" x14ac:dyDescent="0.3">
      <c r="A29" s="25" t="s">
        <v>32</v>
      </c>
      <c r="B29" s="20">
        <v>8060</v>
      </c>
      <c r="C29" s="21">
        <v>2678</v>
      </c>
      <c r="D29" s="21">
        <v>3120</v>
      </c>
      <c r="E29" s="21">
        <v>5583</v>
      </c>
      <c r="F29" s="21">
        <v>9291</v>
      </c>
      <c r="G29" s="21">
        <v>5009</v>
      </c>
      <c r="H29" s="21">
        <v>7414</v>
      </c>
      <c r="I29" s="21">
        <v>9736</v>
      </c>
      <c r="J29" s="21">
        <v>8204</v>
      </c>
      <c r="K29" s="21">
        <v>4018</v>
      </c>
      <c r="L29" s="21">
        <v>1774</v>
      </c>
      <c r="M29" s="21">
        <v>8055</v>
      </c>
      <c r="N29" s="21">
        <v>6174</v>
      </c>
      <c r="O29" s="21">
        <v>5192</v>
      </c>
      <c r="P29" s="21">
        <v>6051</v>
      </c>
      <c r="Q29" s="21">
        <v>894</v>
      </c>
      <c r="R29" s="21">
        <v>2083</v>
      </c>
      <c r="S29" s="21">
        <v>5499</v>
      </c>
      <c r="T29" s="21">
        <v>5933</v>
      </c>
      <c r="U29" s="22">
        <v>5437</v>
      </c>
      <c r="W29" s="15"/>
      <c r="Z29" s="15"/>
    </row>
    <row r="30" spans="1:423" s="19" customFormat="1" ht="19.149999999999999" customHeight="1" thickBot="1" x14ac:dyDescent="0.35">
      <c r="A30" s="25" t="s">
        <v>33</v>
      </c>
      <c r="B30" s="20">
        <v>6091</v>
      </c>
      <c r="C30" s="21">
        <v>8352</v>
      </c>
      <c r="D30" s="21">
        <v>6246</v>
      </c>
      <c r="E30" s="21">
        <v>6484</v>
      </c>
      <c r="F30" s="21">
        <v>35</v>
      </c>
      <c r="G30" s="21">
        <v>1599</v>
      </c>
      <c r="H30" s="21">
        <v>6283</v>
      </c>
      <c r="I30" s="21">
        <v>5512</v>
      </c>
      <c r="J30" s="21">
        <v>745</v>
      </c>
      <c r="K30" s="21">
        <v>6417</v>
      </c>
      <c r="L30" s="21">
        <v>1431</v>
      </c>
      <c r="M30" s="21">
        <v>8080</v>
      </c>
      <c r="N30" s="21">
        <v>3755</v>
      </c>
      <c r="O30" s="21">
        <v>335</v>
      </c>
      <c r="P30" s="21">
        <v>3720</v>
      </c>
      <c r="Q30" s="21">
        <v>4643</v>
      </c>
      <c r="R30" s="21">
        <v>6020</v>
      </c>
      <c r="S30" s="21">
        <v>1107</v>
      </c>
      <c r="T30" s="21">
        <v>7336</v>
      </c>
      <c r="U30" s="22">
        <v>7534</v>
      </c>
      <c r="W30" s="15"/>
      <c r="Y30" s="15" t="s">
        <v>1</v>
      </c>
      <c r="AA30" s="15">
        <v>5</v>
      </c>
      <c r="AE30" s="23" t="s">
        <v>0</v>
      </c>
      <c r="AF30" s="24">
        <f>AVERAGE(Z32:AR50)</f>
        <v>9022.9151534368266</v>
      </c>
      <c r="AJ30" s="19">
        <f>_xlfn.STDEV.S(Z32:AR50)</f>
        <v>2464.0903847534801</v>
      </c>
      <c r="AS30"/>
    </row>
    <row r="31" spans="1:423" s="19" customFormat="1" ht="25.15" customHeight="1" thickBot="1" x14ac:dyDescent="0.65">
      <c r="A31" s="25" t="s">
        <v>34</v>
      </c>
      <c r="B31" s="20">
        <v>2779</v>
      </c>
      <c r="C31" s="21">
        <v>8620</v>
      </c>
      <c r="D31" s="21">
        <v>9444</v>
      </c>
      <c r="E31" s="21">
        <v>9487</v>
      </c>
      <c r="F31" s="21">
        <v>3022</v>
      </c>
      <c r="G31" s="21">
        <v>3992</v>
      </c>
      <c r="H31" s="21">
        <v>3574</v>
      </c>
      <c r="I31" s="21">
        <v>526</v>
      </c>
      <c r="J31" s="21">
        <v>963</v>
      </c>
      <c r="K31" s="21">
        <v>8627</v>
      </c>
      <c r="L31" s="21">
        <v>9388</v>
      </c>
      <c r="M31" s="21">
        <v>7593</v>
      </c>
      <c r="N31" s="21">
        <v>4496</v>
      </c>
      <c r="O31" s="21">
        <v>478</v>
      </c>
      <c r="P31" s="21">
        <v>8208</v>
      </c>
      <c r="Q31" s="21">
        <v>6888</v>
      </c>
      <c r="R31" s="21">
        <v>1777</v>
      </c>
      <c r="S31" s="21">
        <v>3004</v>
      </c>
      <c r="T31" s="21">
        <v>5057</v>
      </c>
      <c r="U31" s="22">
        <v>220</v>
      </c>
      <c r="W31" s="15"/>
      <c r="X31" s="65"/>
      <c r="Y31" s="33" t="s">
        <v>405</v>
      </c>
      <c r="Z31" s="66" t="s">
        <v>406</v>
      </c>
      <c r="AA31" s="66" t="s">
        <v>407</v>
      </c>
      <c r="AB31" s="66" t="s">
        <v>408</v>
      </c>
      <c r="AC31" s="66" t="s">
        <v>409</v>
      </c>
      <c r="AD31" s="66" t="s">
        <v>410</v>
      </c>
      <c r="AE31" s="66" t="s">
        <v>411</v>
      </c>
      <c r="AF31" s="66" t="s">
        <v>412</v>
      </c>
      <c r="AG31" s="66" t="s">
        <v>413</v>
      </c>
      <c r="AH31" s="66" t="s">
        <v>414</v>
      </c>
      <c r="AI31" s="66" t="s">
        <v>415</v>
      </c>
      <c r="AJ31" s="66" t="s">
        <v>416</v>
      </c>
      <c r="AK31" s="66" t="s">
        <v>417</v>
      </c>
      <c r="AL31" s="66" t="s">
        <v>418</v>
      </c>
      <c r="AM31" s="66" t="s">
        <v>419</v>
      </c>
      <c r="AN31" s="66" t="s">
        <v>420</v>
      </c>
      <c r="AO31" s="66" t="s">
        <v>421</v>
      </c>
      <c r="AP31" s="66" t="s">
        <v>422</v>
      </c>
      <c r="AQ31" s="43" t="s">
        <v>423</v>
      </c>
      <c r="AS31"/>
    </row>
    <row r="32" spans="1:423" s="19" customFormat="1" ht="25.15" hidden="1" customHeight="1" thickBot="1" x14ac:dyDescent="0.65">
      <c r="A32" s="25" t="s">
        <v>35</v>
      </c>
      <c r="B32" s="20">
        <v>9557</v>
      </c>
      <c r="C32" s="21">
        <v>81</v>
      </c>
      <c r="D32" s="21">
        <v>108</v>
      </c>
      <c r="E32" s="21">
        <v>4022</v>
      </c>
      <c r="F32" s="21">
        <v>7902</v>
      </c>
      <c r="G32" s="21">
        <v>3547</v>
      </c>
      <c r="H32" s="21">
        <v>8948</v>
      </c>
      <c r="I32" s="21">
        <v>442</v>
      </c>
      <c r="J32" s="21">
        <v>5161</v>
      </c>
      <c r="K32" s="21">
        <v>1482</v>
      </c>
      <c r="L32" s="21">
        <v>5193</v>
      </c>
      <c r="M32" s="21">
        <v>437</v>
      </c>
      <c r="N32" s="21">
        <v>3099</v>
      </c>
      <c r="O32" s="21">
        <v>9282</v>
      </c>
      <c r="P32" s="21">
        <v>714</v>
      </c>
      <c r="Q32" s="21">
        <v>7764</v>
      </c>
      <c r="R32" s="21">
        <v>4204</v>
      </c>
      <c r="S32" s="21">
        <v>8012</v>
      </c>
      <c r="T32" s="21">
        <v>5516</v>
      </c>
      <c r="U32" s="22">
        <v>6516</v>
      </c>
      <c r="W32" s="15"/>
      <c r="X32" s="64" t="s">
        <v>405</v>
      </c>
      <c r="Y32" s="59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0"/>
      <c r="AS32"/>
    </row>
    <row r="33" spans="1:45" s="19" customFormat="1" ht="25.15" customHeight="1" x14ac:dyDescent="0.6">
      <c r="A33" s="25" t="s">
        <v>36</v>
      </c>
      <c r="B33" s="20">
        <v>774</v>
      </c>
      <c r="C33" s="21">
        <v>6863</v>
      </c>
      <c r="D33" s="21">
        <v>9806</v>
      </c>
      <c r="E33" s="21">
        <v>822</v>
      </c>
      <c r="F33" s="21">
        <v>7669</v>
      </c>
      <c r="G33" s="21">
        <v>6870</v>
      </c>
      <c r="H33" s="21">
        <v>2493</v>
      </c>
      <c r="I33" s="21">
        <v>331</v>
      </c>
      <c r="J33" s="21">
        <v>9144</v>
      </c>
      <c r="K33" s="21">
        <v>3126</v>
      </c>
      <c r="L33" s="21">
        <v>1798</v>
      </c>
      <c r="M33" s="21">
        <v>7318</v>
      </c>
      <c r="N33" s="21">
        <v>5687</v>
      </c>
      <c r="O33" s="21">
        <v>5831</v>
      </c>
      <c r="P33" s="21">
        <v>4339</v>
      </c>
      <c r="Q33" s="21">
        <v>2239</v>
      </c>
      <c r="R33" s="21">
        <v>2743</v>
      </c>
      <c r="S33" s="21">
        <v>6352</v>
      </c>
      <c r="T33" s="21">
        <v>2930</v>
      </c>
      <c r="U33" s="22">
        <v>824</v>
      </c>
      <c r="W33" s="15"/>
      <c r="X33" s="39" t="s">
        <v>406</v>
      </c>
      <c r="Y33" s="61">
        <f t="shared" ref="Y33:Y51" si="0">euclidianDistance($Y$3:$PG$3,$Y4:$PG4,numDimensions)</f>
        <v>10456.042607028723</v>
      </c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/>
      <c r="AN33" s="68"/>
      <c r="AO33" s="68"/>
      <c r="AP33" s="68"/>
      <c r="AQ33" s="62"/>
      <c r="AS33"/>
    </row>
    <row r="34" spans="1:45" s="19" customFormat="1" ht="25.15" customHeight="1" x14ac:dyDescent="0.6">
      <c r="A34" s="25" t="s">
        <v>37</v>
      </c>
      <c r="B34" s="20">
        <v>5599</v>
      </c>
      <c r="C34" s="21">
        <v>2855</v>
      </c>
      <c r="D34" s="21">
        <v>6336</v>
      </c>
      <c r="E34" s="21">
        <v>4071</v>
      </c>
      <c r="F34" s="21">
        <v>4741</v>
      </c>
      <c r="G34" s="21">
        <v>2601</v>
      </c>
      <c r="H34" s="21">
        <v>2051</v>
      </c>
      <c r="I34" s="21">
        <v>4533</v>
      </c>
      <c r="J34" s="21">
        <v>9326</v>
      </c>
      <c r="K34" s="21">
        <v>6734</v>
      </c>
      <c r="L34" s="21">
        <v>2550</v>
      </c>
      <c r="M34" s="21">
        <v>7591</v>
      </c>
      <c r="N34" s="21">
        <v>3679</v>
      </c>
      <c r="O34" s="21">
        <v>2182</v>
      </c>
      <c r="P34" s="21">
        <v>708</v>
      </c>
      <c r="Q34" s="21">
        <v>1082</v>
      </c>
      <c r="R34" s="21">
        <v>3878</v>
      </c>
      <c r="S34" s="21">
        <v>5934</v>
      </c>
      <c r="T34" s="21">
        <v>1272</v>
      </c>
      <c r="U34" s="22">
        <v>989</v>
      </c>
      <c r="W34" s="15"/>
      <c r="X34" s="40" t="s">
        <v>407</v>
      </c>
      <c r="Y34" s="56">
        <f t="shared" si="0"/>
        <v>13128.134901805359</v>
      </c>
      <c r="Z34" s="42">
        <f t="shared" ref="Z34:Z51" si="1">euclidianDistance($Y$4:$PG$4,$Y5:$PG5,numDimensions)</f>
        <v>10124.610362873231</v>
      </c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7"/>
      <c r="AS34"/>
    </row>
    <row r="35" spans="1:45" s="19" customFormat="1" ht="25.15" customHeight="1" x14ac:dyDescent="0.6">
      <c r="A35" s="25" t="s">
        <v>38</v>
      </c>
      <c r="B35" s="20">
        <v>6144</v>
      </c>
      <c r="C35" s="21">
        <v>3390</v>
      </c>
      <c r="D35" s="21">
        <v>5467</v>
      </c>
      <c r="E35" s="21">
        <v>2240</v>
      </c>
      <c r="F35" s="21">
        <v>8025</v>
      </c>
      <c r="G35" s="21">
        <v>8802</v>
      </c>
      <c r="H35" s="21">
        <v>3626</v>
      </c>
      <c r="I35" s="21">
        <v>3106</v>
      </c>
      <c r="J35" s="21">
        <v>3903</v>
      </c>
      <c r="K35" s="21">
        <v>8673</v>
      </c>
      <c r="L35" s="21">
        <v>2965</v>
      </c>
      <c r="M35" s="21">
        <v>3114</v>
      </c>
      <c r="N35" s="21">
        <v>164</v>
      </c>
      <c r="O35" s="21">
        <v>8043</v>
      </c>
      <c r="P35" s="21">
        <v>3189</v>
      </c>
      <c r="Q35" s="21">
        <v>2617</v>
      </c>
      <c r="R35" s="21">
        <v>8830</v>
      </c>
      <c r="S35" s="21">
        <v>5917</v>
      </c>
      <c r="T35" s="21">
        <v>6102</v>
      </c>
      <c r="U35" s="22">
        <v>2945</v>
      </c>
      <c r="W35" s="15"/>
      <c r="X35" s="40" t="s">
        <v>408</v>
      </c>
      <c r="Y35" s="56">
        <f t="shared" si="0"/>
        <v>7207.7450010388129</v>
      </c>
      <c r="Z35" s="42">
        <f t="shared" si="1"/>
        <v>13652.186528171962</v>
      </c>
      <c r="AA35" s="42">
        <f t="shared" ref="AA35:AA51" si="2">euclidianDistance($Y$5:$PG$5,$Y6:$PG6,numDimensions)</f>
        <v>10576.653251383445</v>
      </c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7"/>
      <c r="AS35"/>
    </row>
    <row r="36" spans="1:45" s="19" customFormat="1" ht="25.15" customHeight="1" x14ac:dyDescent="0.6">
      <c r="A36" s="25" t="s">
        <v>39</v>
      </c>
      <c r="B36" s="20">
        <v>5322</v>
      </c>
      <c r="C36" s="21">
        <v>8605</v>
      </c>
      <c r="D36" s="21">
        <v>1777</v>
      </c>
      <c r="E36" s="21">
        <v>8383</v>
      </c>
      <c r="F36" s="21">
        <v>4182</v>
      </c>
      <c r="G36" s="21">
        <v>7459</v>
      </c>
      <c r="H36" s="21">
        <v>3222</v>
      </c>
      <c r="I36" s="21">
        <v>2536</v>
      </c>
      <c r="J36" s="21">
        <v>2993</v>
      </c>
      <c r="K36" s="21">
        <v>8049</v>
      </c>
      <c r="L36" s="21">
        <v>2234</v>
      </c>
      <c r="M36" s="21">
        <v>8951</v>
      </c>
      <c r="N36" s="21">
        <v>7937</v>
      </c>
      <c r="O36" s="21">
        <v>1846</v>
      </c>
      <c r="P36" s="21">
        <v>9066</v>
      </c>
      <c r="Q36" s="21">
        <v>3888</v>
      </c>
      <c r="R36" s="21">
        <v>7024</v>
      </c>
      <c r="S36" s="21">
        <v>6899</v>
      </c>
      <c r="T36" s="21">
        <v>4081</v>
      </c>
      <c r="U36" s="22">
        <v>6357</v>
      </c>
      <c r="W36" s="15"/>
      <c r="X36" s="40" t="s">
        <v>409</v>
      </c>
      <c r="Y36" s="56">
        <f t="shared" si="0"/>
        <v>8547.6757074657435</v>
      </c>
      <c r="Z36" s="42">
        <f t="shared" si="1"/>
        <v>13068.158056895394</v>
      </c>
      <c r="AA36" s="42">
        <f t="shared" si="2"/>
        <v>10562.742920283537</v>
      </c>
      <c r="AB36" s="42">
        <f t="shared" ref="AB36:AB51" si="3">euclidianDistance($Y$6:$PG$6,$Y7:$PG7,numDimensions)</f>
        <v>6527.7265567730392</v>
      </c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7"/>
      <c r="AS36"/>
    </row>
    <row r="37" spans="1:45" s="19" customFormat="1" ht="25.15" customHeight="1" x14ac:dyDescent="0.6">
      <c r="A37" s="25" t="s">
        <v>40</v>
      </c>
      <c r="B37" s="20">
        <v>0</v>
      </c>
      <c r="C37" s="21">
        <v>6666</v>
      </c>
      <c r="D37" s="21">
        <v>9717</v>
      </c>
      <c r="E37" s="21">
        <v>1865</v>
      </c>
      <c r="F37" s="21">
        <v>2248</v>
      </c>
      <c r="G37" s="21">
        <v>409</v>
      </c>
      <c r="H37" s="21">
        <v>1668</v>
      </c>
      <c r="I37" s="21">
        <v>2689</v>
      </c>
      <c r="J37" s="21">
        <v>7485</v>
      </c>
      <c r="K37" s="21">
        <v>2479</v>
      </c>
      <c r="L37" s="21">
        <v>5513</v>
      </c>
      <c r="M37" s="21">
        <v>3306</v>
      </c>
      <c r="N37" s="21">
        <v>9524</v>
      </c>
      <c r="O37" s="21">
        <v>1527</v>
      </c>
      <c r="P37" s="21">
        <v>7632</v>
      </c>
      <c r="Q37" s="21">
        <v>8209</v>
      </c>
      <c r="R37" s="21">
        <v>60</v>
      </c>
      <c r="S37" s="21">
        <v>1977</v>
      </c>
      <c r="T37" s="21">
        <v>3438</v>
      </c>
      <c r="U37" s="22">
        <v>9605</v>
      </c>
      <c r="W37" s="15"/>
      <c r="X37" s="40" t="s">
        <v>410</v>
      </c>
      <c r="Y37" s="56">
        <f t="shared" si="0"/>
        <v>10966.687056718632</v>
      </c>
      <c r="Z37" s="42">
        <f t="shared" si="1"/>
        <v>9492.4243478681456</v>
      </c>
      <c r="AA37" s="42">
        <f t="shared" si="2"/>
        <v>6646.2387107295508</v>
      </c>
      <c r="AB37" s="42">
        <f t="shared" si="3"/>
        <v>10481.18194670811</v>
      </c>
      <c r="AC37" s="42">
        <f t="shared" ref="AC37:AC51" si="4">euclidianDistance($Y$7:$PG$7,$Y8:$PG8,numDimensions)</f>
        <v>10644.226745048229</v>
      </c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7"/>
      <c r="AS37"/>
    </row>
    <row r="38" spans="1:45" s="19" customFormat="1" ht="25.15" customHeight="1" x14ac:dyDescent="0.6">
      <c r="A38" s="25" t="s">
        <v>41</v>
      </c>
      <c r="B38" s="20">
        <v>7351</v>
      </c>
      <c r="C38" s="21">
        <v>1588</v>
      </c>
      <c r="D38" s="21">
        <v>4333</v>
      </c>
      <c r="E38" s="21">
        <v>8114</v>
      </c>
      <c r="F38" s="21">
        <v>1786</v>
      </c>
      <c r="G38" s="21">
        <v>3658</v>
      </c>
      <c r="H38" s="21">
        <v>9318</v>
      </c>
      <c r="I38" s="21">
        <v>4882</v>
      </c>
      <c r="J38" s="21">
        <v>140</v>
      </c>
      <c r="K38" s="21">
        <v>5613</v>
      </c>
      <c r="L38" s="21">
        <v>7406</v>
      </c>
      <c r="M38" s="21">
        <v>9745</v>
      </c>
      <c r="N38" s="21">
        <v>238</v>
      </c>
      <c r="O38" s="21">
        <v>3355</v>
      </c>
      <c r="P38" s="21">
        <v>7788</v>
      </c>
      <c r="Q38" s="21">
        <v>197</v>
      </c>
      <c r="R38" s="21">
        <v>8253</v>
      </c>
      <c r="S38" s="21">
        <v>8983</v>
      </c>
      <c r="T38" s="21">
        <v>6532</v>
      </c>
      <c r="U38" s="22">
        <v>4166</v>
      </c>
      <c r="W38" s="15"/>
      <c r="X38" s="40" t="s">
        <v>411</v>
      </c>
      <c r="Y38" s="56">
        <f t="shared" si="0"/>
        <v>6100.5103065235453</v>
      </c>
      <c r="Z38" s="42">
        <f t="shared" si="1"/>
        <v>11541.180312255761</v>
      </c>
      <c r="AA38" s="42">
        <f t="shared" si="2"/>
        <v>13147.104091776257</v>
      </c>
      <c r="AB38" s="42">
        <f t="shared" si="3"/>
        <v>9261.940401449363</v>
      </c>
      <c r="AC38" s="42">
        <f t="shared" si="4"/>
        <v>11676.02714967724</v>
      </c>
      <c r="AD38" s="42">
        <f t="shared" ref="AD38:AD51" si="5">euclidianDistance($Y$8:$PG$8,$Y9:$PG9,numDimensions)</f>
        <v>8618.3529168861496</v>
      </c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7"/>
      <c r="AS38"/>
    </row>
    <row r="39" spans="1:45" s="19" customFormat="1" ht="25.15" customHeight="1" x14ac:dyDescent="0.6">
      <c r="A39" s="25" t="s">
        <v>42</v>
      </c>
      <c r="B39" s="20">
        <v>1193</v>
      </c>
      <c r="C39" s="21">
        <v>5096</v>
      </c>
      <c r="D39" s="21">
        <v>8370</v>
      </c>
      <c r="E39" s="21">
        <v>2305</v>
      </c>
      <c r="F39" s="21">
        <v>8694</v>
      </c>
      <c r="G39" s="21">
        <v>4192</v>
      </c>
      <c r="H39" s="21">
        <v>8622</v>
      </c>
      <c r="I39" s="21">
        <v>2997</v>
      </c>
      <c r="J39" s="21">
        <v>8724</v>
      </c>
      <c r="K39" s="21">
        <v>7531</v>
      </c>
      <c r="L39" s="21">
        <v>1514</v>
      </c>
      <c r="M39" s="21">
        <v>5128</v>
      </c>
      <c r="N39" s="21">
        <v>4090</v>
      </c>
      <c r="O39" s="21">
        <v>5819</v>
      </c>
      <c r="P39" s="21">
        <v>8439</v>
      </c>
      <c r="Q39" s="21">
        <v>3270</v>
      </c>
      <c r="R39" s="21">
        <v>3451</v>
      </c>
      <c r="S39" s="21">
        <v>5460</v>
      </c>
      <c r="T39" s="21">
        <v>453</v>
      </c>
      <c r="U39" s="22">
        <v>5102</v>
      </c>
      <c r="W39" s="15"/>
      <c r="X39" s="40" t="s">
        <v>412</v>
      </c>
      <c r="Y39" s="56">
        <f t="shared" si="0"/>
        <v>11090.403689676945</v>
      </c>
      <c r="Z39" s="42">
        <f t="shared" si="1"/>
        <v>12063.868160751757</v>
      </c>
      <c r="AA39" s="42">
        <f t="shared" si="2"/>
        <v>9185.7379670878927</v>
      </c>
      <c r="AB39" s="42">
        <f t="shared" si="3"/>
        <v>8186.2285577670018</v>
      </c>
      <c r="AC39" s="42">
        <f t="shared" si="4"/>
        <v>10782.439612629416</v>
      </c>
      <c r="AD39" s="42">
        <f t="shared" si="5"/>
        <v>7853.9386934200093</v>
      </c>
      <c r="AE39" s="42">
        <f t="shared" ref="AE39:AE51" si="6">euclidianDistance($Y$9:$PG$9,$Y10:$PG10,numDimensions)</f>
        <v>10546.451725580504</v>
      </c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7"/>
      <c r="AS39"/>
    </row>
    <row r="40" spans="1:45" s="19" customFormat="1" ht="25.15" customHeight="1" x14ac:dyDescent="0.6">
      <c r="A40" s="25" t="s">
        <v>43</v>
      </c>
      <c r="B40" s="20">
        <v>1819</v>
      </c>
      <c r="C40" s="21">
        <v>3712</v>
      </c>
      <c r="D40" s="21">
        <v>2479</v>
      </c>
      <c r="E40" s="21">
        <v>4854</v>
      </c>
      <c r="F40" s="21">
        <v>1489</v>
      </c>
      <c r="G40" s="21">
        <v>8669</v>
      </c>
      <c r="H40" s="21">
        <v>7297</v>
      </c>
      <c r="I40" s="21">
        <v>8639</v>
      </c>
      <c r="J40" s="21">
        <v>8764</v>
      </c>
      <c r="K40" s="21">
        <v>8623</v>
      </c>
      <c r="L40" s="21">
        <v>6618</v>
      </c>
      <c r="M40" s="21">
        <v>2664</v>
      </c>
      <c r="N40" s="21">
        <v>1239</v>
      </c>
      <c r="O40" s="21">
        <v>7763</v>
      </c>
      <c r="P40" s="21">
        <v>5535</v>
      </c>
      <c r="Q40" s="21">
        <v>6420</v>
      </c>
      <c r="R40" s="21">
        <v>9357</v>
      </c>
      <c r="S40" s="21">
        <v>318</v>
      </c>
      <c r="T40" s="21">
        <v>9043</v>
      </c>
      <c r="U40" s="22">
        <v>5915</v>
      </c>
      <c r="W40" s="15"/>
      <c r="X40" s="40" t="s">
        <v>413</v>
      </c>
      <c r="Y40" s="56">
        <f t="shared" si="0"/>
        <v>9732.301218108696</v>
      </c>
      <c r="Z40" s="42">
        <f t="shared" si="1"/>
        <v>10200.140293152836</v>
      </c>
      <c r="AA40" s="42">
        <f t="shared" si="2"/>
        <v>9071.4676320868839</v>
      </c>
      <c r="AB40" s="42">
        <f t="shared" si="3"/>
        <v>8172.9067656495381</v>
      </c>
      <c r="AC40" s="42">
        <f t="shared" si="4"/>
        <v>9185.3214968230695</v>
      </c>
      <c r="AD40" s="42">
        <f t="shared" si="5"/>
        <v>7766.837837884862</v>
      </c>
      <c r="AE40" s="42">
        <f t="shared" si="6"/>
        <v>10382.233237603556</v>
      </c>
      <c r="AF40" s="42">
        <f t="shared" ref="AF40:AF51" si="7">euclidianDistance($Y$10:$PG$10,$Y11:$PG11,numDimensions)</f>
        <v>3109.5313151663227</v>
      </c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7"/>
      <c r="AS40"/>
    </row>
    <row r="41" spans="1:45" s="19" customFormat="1" ht="25.15" customHeight="1" x14ac:dyDescent="0.6">
      <c r="A41" s="25" t="s">
        <v>44</v>
      </c>
      <c r="B41" s="20">
        <v>1996</v>
      </c>
      <c r="C41" s="21">
        <v>7567</v>
      </c>
      <c r="D41" s="21">
        <v>5653</v>
      </c>
      <c r="E41" s="21">
        <v>9260</v>
      </c>
      <c r="F41" s="21">
        <v>412</v>
      </c>
      <c r="G41" s="21">
        <v>746</v>
      </c>
      <c r="H41" s="21">
        <v>5485</v>
      </c>
      <c r="I41" s="21">
        <v>9203</v>
      </c>
      <c r="J41" s="21">
        <v>9268</v>
      </c>
      <c r="K41" s="21">
        <v>499</v>
      </c>
      <c r="L41" s="21">
        <v>4092</v>
      </c>
      <c r="M41" s="21">
        <v>3224</v>
      </c>
      <c r="N41" s="21">
        <v>8120</v>
      </c>
      <c r="O41" s="21">
        <v>4826</v>
      </c>
      <c r="P41" s="21">
        <v>8718</v>
      </c>
      <c r="Q41" s="21">
        <v>3016</v>
      </c>
      <c r="R41" s="21">
        <v>2369</v>
      </c>
      <c r="S41" s="21">
        <v>2331</v>
      </c>
      <c r="T41" s="21">
        <v>4423</v>
      </c>
      <c r="U41" s="22">
        <v>9211</v>
      </c>
      <c r="W41" s="15"/>
      <c r="X41" s="40" t="s">
        <v>414</v>
      </c>
      <c r="Y41" s="56">
        <f t="shared" si="0"/>
        <v>7661.3141170428462</v>
      </c>
      <c r="Z41" s="42">
        <f t="shared" si="1"/>
        <v>9612.3567869695726</v>
      </c>
      <c r="AA41" s="42">
        <f t="shared" si="2"/>
        <v>10847.879608476487</v>
      </c>
      <c r="AB41" s="42">
        <f t="shared" si="3"/>
        <v>8753.8981031309704</v>
      </c>
      <c r="AC41" s="42">
        <f t="shared" si="4"/>
        <v>8906.6445982760542</v>
      </c>
      <c r="AD41" s="42">
        <f t="shared" si="5"/>
        <v>7095.3984384247233</v>
      </c>
      <c r="AE41" s="42">
        <f t="shared" si="6"/>
        <v>7632.9819860916741</v>
      </c>
      <c r="AF41" s="42">
        <f t="shared" si="7"/>
        <v>6088.9240428831099</v>
      </c>
      <c r="AG41" s="42">
        <f t="shared" ref="AG41:AG51" si="8">euclidianDistance($Y$11:$PG$11,$Y12:$PG12,numDimensions)</f>
        <v>4222.9265918317833</v>
      </c>
      <c r="AH41" s="55"/>
      <c r="AI41" s="55"/>
      <c r="AJ41" s="55"/>
      <c r="AK41" s="55"/>
      <c r="AL41" s="55"/>
      <c r="AM41" s="55"/>
      <c r="AN41" s="55"/>
      <c r="AO41" s="55"/>
      <c r="AP41" s="55"/>
      <c r="AQ41" s="57"/>
      <c r="AS41"/>
    </row>
    <row r="42" spans="1:45" s="19" customFormat="1" ht="25.15" customHeight="1" x14ac:dyDescent="0.6">
      <c r="A42" s="25" t="s">
        <v>45</v>
      </c>
      <c r="B42" s="20">
        <v>7931</v>
      </c>
      <c r="C42" s="21">
        <v>7478</v>
      </c>
      <c r="D42" s="21">
        <v>6217</v>
      </c>
      <c r="E42" s="21">
        <v>3019</v>
      </c>
      <c r="F42" s="21">
        <v>8574</v>
      </c>
      <c r="G42" s="21">
        <v>7613</v>
      </c>
      <c r="H42" s="21">
        <v>5487</v>
      </c>
      <c r="I42" s="21">
        <v>9368</v>
      </c>
      <c r="J42" s="21">
        <v>6084</v>
      </c>
      <c r="K42" s="21">
        <v>6947</v>
      </c>
      <c r="L42" s="21">
        <v>5912</v>
      </c>
      <c r="M42" s="21">
        <v>2332</v>
      </c>
      <c r="N42" s="21">
        <v>8071</v>
      </c>
      <c r="O42" s="21">
        <v>7045</v>
      </c>
      <c r="P42" s="21">
        <v>4350</v>
      </c>
      <c r="Q42" s="21">
        <v>7289</v>
      </c>
      <c r="R42" s="21">
        <v>9171</v>
      </c>
      <c r="S42" s="21">
        <v>6560</v>
      </c>
      <c r="T42" s="21">
        <v>4306</v>
      </c>
      <c r="U42" s="22">
        <v>5901</v>
      </c>
      <c r="W42" s="15"/>
      <c r="X42" s="40" t="s">
        <v>415</v>
      </c>
      <c r="Y42" s="56">
        <f t="shared" si="0"/>
        <v>6678.2005809948532</v>
      </c>
      <c r="Z42" s="42">
        <f t="shared" si="1"/>
        <v>7403.8612898946185</v>
      </c>
      <c r="AA42" s="42">
        <f t="shared" si="2"/>
        <v>9970.6840788383215</v>
      </c>
      <c r="AB42" s="42">
        <f t="shared" si="3"/>
        <v>8035.7576494068062</v>
      </c>
      <c r="AC42" s="42">
        <f t="shared" si="4"/>
        <v>10111.878213269778</v>
      </c>
      <c r="AD42" s="42">
        <f t="shared" si="5"/>
        <v>8939.122440150375</v>
      </c>
      <c r="AE42" s="42">
        <f t="shared" si="6"/>
        <v>8470.8461796918491</v>
      </c>
      <c r="AF42" s="42">
        <f t="shared" si="7"/>
        <v>6710.0964970706646</v>
      </c>
      <c r="AG42" s="42">
        <f t="shared" si="8"/>
        <v>5248.944846347692</v>
      </c>
      <c r="AH42" s="42">
        <f t="shared" ref="AH42:AH51" si="9">euclidianDistance($Y$12:$PG$12,$Y13:$PG13,numDimensions)</f>
        <v>5684.8823206817569</v>
      </c>
      <c r="AI42" s="55"/>
      <c r="AJ42" s="55"/>
      <c r="AK42" s="55"/>
      <c r="AL42" s="55"/>
      <c r="AM42" s="55"/>
      <c r="AN42" s="55"/>
      <c r="AO42" s="55"/>
      <c r="AP42" s="55"/>
      <c r="AQ42" s="57"/>
      <c r="AS42"/>
    </row>
    <row r="43" spans="1:45" s="19" customFormat="1" ht="25.15" customHeight="1" x14ac:dyDescent="0.6">
      <c r="A43" s="25" t="s">
        <v>46</v>
      </c>
      <c r="B43" s="20">
        <v>9471</v>
      </c>
      <c r="C43" s="21">
        <v>6781</v>
      </c>
      <c r="D43" s="21">
        <v>1138</v>
      </c>
      <c r="E43" s="21">
        <v>8934</v>
      </c>
      <c r="F43" s="21">
        <v>7904</v>
      </c>
      <c r="G43" s="21">
        <v>1868</v>
      </c>
      <c r="H43" s="21">
        <v>1593</v>
      </c>
      <c r="I43" s="21">
        <v>8648</v>
      </c>
      <c r="J43" s="21">
        <v>2431</v>
      </c>
      <c r="K43" s="21">
        <v>745</v>
      </c>
      <c r="L43" s="21">
        <v>5288</v>
      </c>
      <c r="M43" s="21">
        <v>7876</v>
      </c>
      <c r="N43" s="21">
        <v>2486</v>
      </c>
      <c r="O43" s="21">
        <v>5760</v>
      </c>
      <c r="P43" s="21">
        <v>4894</v>
      </c>
      <c r="Q43" s="21">
        <v>7773</v>
      </c>
      <c r="R43" s="21">
        <v>9910</v>
      </c>
      <c r="S43" s="21">
        <v>9947</v>
      </c>
      <c r="T43" s="21">
        <v>5862</v>
      </c>
      <c r="U43" s="22">
        <v>526</v>
      </c>
      <c r="W43" s="15"/>
      <c r="X43" s="40" t="s">
        <v>416</v>
      </c>
      <c r="Y43" s="56">
        <f t="shared" si="0"/>
        <v>9694.8135103260247</v>
      </c>
      <c r="Z43" s="42">
        <f t="shared" si="1"/>
        <v>4044.8636565402298</v>
      </c>
      <c r="AA43" s="42">
        <f t="shared" si="2"/>
        <v>9225.2689391691983</v>
      </c>
      <c r="AB43" s="42">
        <f t="shared" si="3"/>
        <v>12519.982388166527</v>
      </c>
      <c r="AC43" s="42">
        <f t="shared" si="4"/>
        <v>10262.383495075595</v>
      </c>
      <c r="AD43" s="42">
        <f t="shared" si="5"/>
        <v>8947.2978043652929</v>
      </c>
      <c r="AE43" s="42">
        <f t="shared" si="6"/>
        <v>11592.774430652915</v>
      </c>
      <c r="AF43" s="42">
        <f t="shared" si="7"/>
        <v>12405.825687958057</v>
      </c>
      <c r="AG43" s="42">
        <f t="shared" si="8"/>
        <v>10199.054858171909</v>
      </c>
      <c r="AH43" s="42">
        <f t="shared" si="9"/>
        <v>9286.44135285417</v>
      </c>
      <c r="AI43" s="42">
        <f t="shared" ref="AI43:AI51" si="10">euclidianDistance($Y$13:$PG$13,$Y14:$PG14,numDimensions)</f>
        <v>8403.2156940066707</v>
      </c>
      <c r="AJ43" s="55"/>
      <c r="AK43" s="55"/>
      <c r="AL43" s="55"/>
      <c r="AM43" s="55"/>
      <c r="AN43" s="55"/>
      <c r="AO43" s="55"/>
      <c r="AP43" s="55"/>
      <c r="AQ43" s="57"/>
      <c r="AS43"/>
    </row>
    <row r="44" spans="1:45" s="19" customFormat="1" ht="25.15" customHeight="1" x14ac:dyDescent="0.6">
      <c r="A44" s="25" t="s">
        <v>47</v>
      </c>
      <c r="B44" s="20">
        <v>9748</v>
      </c>
      <c r="C44" s="21">
        <v>7546</v>
      </c>
      <c r="D44" s="21">
        <v>7214</v>
      </c>
      <c r="E44" s="21">
        <v>5144</v>
      </c>
      <c r="F44" s="21">
        <v>7414</v>
      </c>
      <c r="G44" s="21">
        <v>4717</v>
      </c>
      <c r="H44" s="21">
        <v>4706</v>
      </c>
      <c r="I44" s="21">
        <v>7238</v>
      </c>
      <c r="J44" s="21">
        <v>7344</v>
      </c>
      <c r="K44" s="21">
        <v>5083</v>
      </c>
      <c r="L44" s="21">
        <v>7788</v>
      </c>
      <c r="M44" s="21">
        <v>2882</v>
      </c>
      <c r="N44" s="21">
        <v>940</v>
      </c>
      <c r="O44" s="21">
        <v>8446</v>
      </c>
      <c r="P44" s="21">
        <v>7095</v>
      </c>
      <c r="Q44" s="21">
        <v>4386</v>
      </c>
      <c r="R44" s="21">
        <v>5408</v>
      </c>
      <c r="S44" s="21">
        <v>9645</v>
      </c>
      <c r="T44" s="21">
        <v>2014</v>
      </c>
      <c r="U44" s="22">
        <v>9797</v>
      </c>
      <c r="W44" s="15"/>
      <c r="X44" s="40" t="s">
        <v>417</v>
      </c>
      <c r="Y44" s="56">
        <f t="shared" si="0"/>
        <v>9182.3961469760161</v>
      </c>
      <c r="Z44" s="42">
        <f t="shared" si="1"/>
        <v>10977.56202442054</v>
      </c>
      <c r="AA44" s="42">
        <f t="shared" si="2"/>
        <v>9375.989067826391</v>
      </c>
      <c r="AB44" s="42">
        <f t="shared" si="3"/>
        <v>7729.7171358336263</v>
      </c>
      <c r="AC44" s="42">
        <f t="shared" si="4"/>
        <v>8567.548482500697</v>
      </c>
      <c r="AD44" s="42">
        <f t="shared" si="5"/>
        <v>6378.7686899589016</v>
      </c>
      <c r="AE44" s="42">
        <f t="shared" si="6"/>
        <v>8770.0704102076634</v>
      </c>
      <c r="AF44" s="42">
        <f t="shared" si="7"/>
        <v>3719.2274735487745</v>
      </c>
      <c r="AG44" s="42">
        <f t="shared" si="8"/>
        <v>2805.1406381855436</v>
      </c>
      <c r="AH44" s="42">
        <f t="shared" si="9"/>
        <v>3010.838255370089</v>
      </c>
      <c r="AI44" s="42">
        <f t="shared" si="10"/>
        <v>6443.5347442223047</v>
      </c>
      <c r="AJ44" s="42">
        <f t="shared" ref="AJ44:AJ51" si="11">euclidianDistance($Y$14:$PG$14,$Y15:$PG15,numDimensions)</f>
        <v>10525.478611445656</v>
      </c>
      <c r="AK44" s="55"/>
      <c r="AL44" s="55"/>
      <c r="AM44" s="55"/>
      <c r="AN44" s="55"/>
      <c r="AO44" s="55"/>
      <c r="AP44" s="55"/>
      <c r="AQ44" s="57"/>
      <c r="AS44"/>
    </row>
    <row r="45" spans="1:45" s="19" customFormat="1" ht="25.15" customHeight="1" x14ac:dyDescent="0.6">
      <c r="A45" s="25" t="s">
        <v>48</v>
      </c>
      <c r="B45" s="20">
        <v>4926</v>
      </c>
      <c r="C45" s="21">
        <v>4872</v>
      </c>
      <c r="D45" s="21">
        <v>9343</v>
      </c>
      <c r="E45" s="21">
        <v>9217</v>
      </c>
      <c r="F45" s="21">
        <v>4687</v>
      </c>
      <c r="G45" s="21">
        <v>9804</v>
      </c>
      <c r="H45" s="21">
        <v>3858</v>
      </c>
      <c r="I45" s="21">
        <v>1159</v>
      </c>
      <c r="J45" s="21">
        <v>1677</v>
      </c>
      <c r="K45" s="21">
        <v>7607</v>
      </c>
      <c r="L45" s="21">
        <v>1183</v>
      </c>
      <c r="M45" s="21">
        <v>3711</v>
      </c>
      <c r="N45" s="21">
        <v>9452</v>
      </c>
      <c r="O45" s="21">
        <v>1898</v>
      </c>
      <c r="P45" s="21">
        <v>8775</v>
      </c>
      <c r="Q45" s="21">
        <v>4016</v>
      </c>
      <c r="R45" s="21">
        <v>7419</v>
      </c>
      <c r="S45" s="21">
        <v>8382</v>
      </c>
      <c r="T45" s="21">
        <v>5920</v>
      </c>
      <c r="U45" s="22">
        <v>1371</v>
      </c>
      <c r="W45" s="15"/>
      <c r="X45" s="40" t="s">
        <v>418</v>
      </c>
      <c r="Y45" s="56">
        <f t="shared" si="0"/>
        <v>7726.5784147965524</v>
      </c>
      <c r="Z45" s="42">
        <f t="shared" si="1"/>
        <v>10383.097755487039</v>
      </c>
      <c r="AA45" s="42">
        <f t="shared" si="2"/>
        <v>11872.037988483697</v>
      </c>
      <c r="AB45" s="42">
        <f t="shared" si="3"/>
        <v>10801.201507239832</v>
      </c>
      <c r="AC45" s="42">
        <f t="shared" si="4"/>
        <v>11531.531381390765</v>
      </c>
      <c r="AD45" s="42">
        <f t="shared" si="5"/>
        <v>6918.2839635273713</v>
      </c>
      <c r="AE45" s="42">
        <f t="shared" si="6"/>
        <v>3836.8836312820331</v>
      </c>
      <c r="AF45" s="42">
        <f t="shared" si="7"/>
        <v>11696.695430761631</v>
      </c>
      <c r="AG45" s="42">
        <f t="shared" si="8"/>
        <v>11205.766417340672</v>
      </c>
      <c r="AH45" s="42">
        <f t="shared" si="9"/>
        <v>8337.0575144951472</v>
      </c>
      <c r="AI45" s="42">
        <f t="shared" si="10"/>
        <v>9727.0465712877103</v>
      </c>
      <c r="AJ45" s="42">
        <f t="shared" si="11"/>
        <v>9852.3491107451118</v>
      </c>
      <c r="AK45" s="42">
        <f t="shared" ref="AK45:AK51" si="12">euclidianDistance($Y$15:$PG$15,$Y16:$PG16,numDimensions)</f>
        <v>9452.6676129016614</v>
      </c>
      <c r="AL45" s="55"/>
      <c r="AM45" s="55"/>
      <c r="AN45" s="55"/>
      <c r="AO45" s="55"/>
      <c r="AP45" s="55"/>
      <c r="AQ45" s="57"/>
      <c r="AS45"/>
    </row>
    <row r="46" spans="1:45" s="19" customFormat="1" ht="25.15" customHeight="1" x14ac:dyDescent="0.6">
      <c r="A46" s="25" t="s">
        <v>49</v>
      </c>
      <c r="B46" s="20">
        <v>4942</v>
      </c>
      <c r="C46" s="21">
        <v>8422</v>
      </c>
      <c r="D46" s="21">
        <v>1363</v>
      </c>
      <c r="E46" s="21">
        <v>5666</v>
      </c>
      <c r="F46" s="21">
        <v>4185</v>
      </c>
      <c r="G46" s="21">
        <v>2532</v>
      </c>
      <c r="H46" s="21">
        <v>4072</v>
      </c>
      <c r="I46" s="21">
        <v>9110</v>
      </c>
      <c r="J46" s="21">
        <v>996</v>
      </c>
      <c r="K46" s="21">
        <v>6075</v>
      </c>
      <c r="L46" s="21">
        <v>6120</v>
      </c>
      <c r="M46" s="21">
        <v>3264</v>
      </c>
      <c r="N46" s="21">
        <v>1266</v>
      </c>
      <c r="O46" s="21">
        <v>1339</v>
      </c>
      <c r="P46" s="21">
        <v>7728</v>
      </c>
      <c r="Q46" s="21">
        <v>6333</v>
      </c>
      <c r="R46" s="21">
        <v>4331</v>
      </c>
      <c r="S46" s="21">
        <v>4588</v>
      </c>
      <c r="T46" s="21">
        <v>1950</v>
      </c>
      <c r="U46" s="22">
        <v>7697</v>
      </c>
      <c r="W46" s="15"/>
      <c r="X46" s="40" t="s">
        <v>419</v>
      </c>
      <c r="Y46" s="56">
        <f t="shared" si="0"/>
        <v>7721.081919005911</v>
      </c>
      <c r="Z46" s="42">
        <f t="shared" si="1"/>
        <v>9579.8136203164195</v>
      </c>
      <c r="AA46" s="42">
        <f t="shared" si="2"/>
        <v>7012.4852941022273</v>
      </c>
      <c r="AB46" s="42">
        <f t="shared" si="3"/>
        <v>7399.4753868095268</v>
      </c>
      <c r="AC46" s="42">
        <f t="shared" si="4"/>
        <v>7917.6032989788018</v>
      </c>
      <c r="AD46" s="42">
        <f t="shared" si="5"/>
        <v>5664.249729664115</v>
      </c>
      <c r="AE46" s="42">
        <f t="shared" si="6"/>
        <v>7366.9940952874394</v>
      </c>
      <c r="AF46" s="42">
        <f t="shared" si="7"/>
        <v>9728.8660181955438</v>
      </c>
      <c r="AG46" s="42">
        <f t="shared" si="8"/>
        <v>9254.8002139430318</v>
      </c>
      <c r="AH46" s="42">
        <f t="shared" si="9"/>
        <v>8464.5312923988895</v>
      </c>
      <c r="AI46" s="42">
        <f t="shared" si="10"/>
        <v>8315.1591085198124</v>
      </c>
      <c r="AJ46" s="42">
        <f t="shared" si="11"/>
        <v>8066.9319446738855</v>
      </c>
      <c r="AK46" s="42">
        <f t="shared" si="12"/>
        <v>8210.1423251975357</v>
      </c>
      <c r="AL46" s="42">
        <f t="shared" ref="AL46:AL51" si="13">euclidianDistance($Y$16:$PG$16,$Y17:$PG17,numDimensions)</f>
        <v>6008.924862236172</v>
      </c>
      <c r="AM46" s="55"/>
      <c r="AN46" s="55"/>
      <c r="AO46" s="55"/>
      <c r="AP46" s="55"/>
      <c r="AQ46" s="57"/>
      <c r="AS46"/>
    </row>
    <row r="47" spans="1:45" s="19" customFormat="1" ht="25.15" customHeight="1" x14ac:dyDescent="0.6">
      <c r="A47" s="25" t="s">
        <v>50</v>
      </c>
      <c r="B47" s="20">
        <v>9729</v>
      </c>
      <c r="C47" s="21">
        <v>516</v>
      </c>
      <c r="D47" s="21">
        <v>1817</v>
      </c>
      <c r="E47" s="21">
        <v>9866</v>
      </c>
      <c r="F47" s="21">
        <v>4900</v>
      </c>
      <c r="G47" s="21">
        <v>402</v>
      </c>
      <c r="H47" s="21">
        <v>1428</v>
      </c>
      <c r="I47" s="21">
        <v>2057</v>
      </c>
      <c r="J47" s="21">
        <v>8158</v>
      </c>
      <c r="K47" s="21">
        <v>6777</v>
      </c>
      <c r="L47" s="21">
        <v>9312</v>
      </c>
      <c r="M47" s="21">
        <v>4144</v>
      </c>
      <c r="N47" s="21">
        <v>432</v>
      </c>
      <c r="O47" s="21">
        <v>7215</v>
      </c>
      <c r="P47" s="21">
        <v>1913</v>
      </c>
      <c r="Q47" s="21">
        <v>8721</v>
      </c>
      <c r="R47" s="21">
        <v>944</v>
      </c>
      <c r="S47" s="21">
        <v>7676</v>
      </c>
      <c r="T47" s="21">
        <v>1602</v>
      </c>
      <c r="U47" s="22">
        <v>5145</v>
      </c>
      <c r="W47" s="15"/>
      <c r="X47" s="40" t="s">
        <v>420</v>
      </c>
      <c r="Y47" s="56">
        <f t="shared" si="0"/>
        <v>10291.428229356701</v>
      </c>
      <c r="Z47" s="42">
        <f t="shared" si="1"/>
        <v>3874.0668553859523</v>
      </c>
      <c r="AA47" s="42">
        <f t="shared" si="2"/>
        <v>10403.838474332442</v>
      </c>
      <c r="AB47" s="42">
        <f t="shared" si="3"/>
        <v>13262.823945148333</v>
      </c>
      <c r="AC47" s="42">
        <f t="shared" si="4"/>
        <v>12155.042287051083</v>
      </c>
      <c r="AD47" s="42">
        <f t="shared" si="5"/>
        <v>11477.232419011127</v>
      </c>
      <c r="AE47" s="42">
        <f t="shared" si="6"/>
        <v>12984.983673459124</v>
      </c>
      <c r="AF47" s="42">
        <f t="shared" si="7"/>
        <v>13594.619707810882</v>
      </c>
      <c r="AG47" s="42">
        <f t="shared" si="8"/>
        <v>11566.230846736546</v>
      </c>
      <c r="AH47" s="42">
        <f t="shared" si="9"/>
        <v>11386.462707970373</v>
      </c>
      <c r="AI47" s="42">
        <f t="shared" si="10"/>
        <v>8393.8347612995094</v>
      </c>
      <c r="AJ47" s="42">
        <f t="shared" si="11"/>
        <v>3907.692157783159</v>
      </c>
      <c r="AK47" s="42">
        <f t="shared" si="12"/>
        <v>12539.815628628676</v>
      </c>
      <c r="AL47" s="42">
        <f t="shared" si="13"/>
        <v>11931.748111655726</v>
      </c>
      <c r="AM47" s="42">
        <f>euclidianDistance($Y$17:$PG$17,$Y18:$PG18,numDimensions)</f>
        <v>9773.0880994698909</v>
      </c>
      <c r="AN47" s="55"/>
      <c r="AO47" s="55"/>
      <c r="AP47" s="55"/>
      <c r="AQ47" s="57"/>
      <c r="AS47"/>
    </row>
    <row r="48" spans="1:45" s="19" customFormat="1" ht="25.15" customHeight="1" x14ac:dyDescent="0.6">
      <c r="A48" s="25" t="s">
        <v>51</v>
      </c>
      <c r="B48" s="20">
        <v>2809</v>
      </c>
      <c r="C48" s="21">
        <v>5980</v>
      </c>
      <c r="D48" s="21">
        <v>2491</v>
      </c>
      <c r="E48" s="21">
        <v>167</v>
      </c>
      <c r="F48" s="21">
        <v>5070</v>
      </c>
      <c r="G48" s="21">
        <v>1672</v>
      </c>
      <c r="H48" s="21">
        <v>8886</v>
      </c>
      <c r="I48" s="21">
        <v>9073</v>
      </c>
      <c r="J48" s="21">
        <v>239</v>
      </c>
      <c r="K48" s="21">
        <v>3136</v>
      </c>
      <c r="L48" s="21">
        <v>4079</v>
      </c>
      <c r="M48" s="21">
        <v>2953</v>
      </c>
      <c r="N48" s="21">
        <v>2692</v>
      </c>
      <c r="O48" s="21">
        <v>765</v>
      </c>
      <c r="P48" s="21">
        <v>6839</v>
      </c>
      <c r="Q48" s="21">
        <v>9117</v>
      </c>
      <c r="R48" s="21">
        <v>7264</v>
      </c>
      <c r="S48" s="21">
        <v>6591</v>
      </c>
      <c r="T48" s="21">
        <v>7418</v>
      </c>
      <c r="U48" s="22">
        <v>6621</v>
      </c>
      <c r="W48" s="15"/>
      <c r="X48" s="40" t="s">
        <v>421</v>
      </c>
      <c r="Y48" s="56">
        <f t="shared" si="0"/>
        <v>10359.740537291462</v>
      </c>
      <c r="Z48" s="42">
        <f t="shared" si="1"/>
        <v>12221.126666555747</v>
      </c>
      <c r="AA48" s="42">
        <f t="shared" si="2"/>
        <v>6302.4241367905415</v>
      </c>
      <c r="AB48" s="42">
        <f t="shared" si="3"/>
        <v>6167.1799065699388</v>
      </c>
      <c r="AC48" s="42">
        <f t="shared" si="4"/>
        <v>9760.4373877403668</v>
      </c>
      <c r="AD48" s="42">
        <f t="shared" si="5"/>
        <v>7046.5431950708999</v>
      </c>
      <c r="AE48" s="42">
        <f t="shared" si="6"/>
        <v>9619.6779571875486</v>
      </c>
      <c r="AF48" s="42">
        <f t="shared" si="7"/>
        <v>6829.5717288860797</v>
      </c>
      <c r="AG48" s="42">
        <f t="shared" si="8"/>
        <v>8024.5950053569686</v>
      </c>
      <c r="AH48" s="42">
        <f t="shared" si="9"/>
        <v>9442.9135334387138</v>
      </c>
      <c r="AI48" s="42">
        <f t="shared" si="10"/>
        <v>8395.5317282468768</v>
      </c>
      <c r="AJ48" s="42">
        <f t="shared" si="11"/>
        <v>11822.746846651162</v>
      </c>
      <c r="AK48" s="42">
        <f t="shared" si="12"/>
        <v>7615.6047035018828</v>
      </c>
      <c r="AL48" s="42">
        <f t="shared" si="13"/>
        <v>9959.0153127706362</v>
      </c>
      <c r="AM48" s="42">
        <f>euclidianDistance($Y$17:$PG$17,$Y19:$PG19,numDimensions)</f>
        <v>5719.005158242122</v>
      </c>
      <c r="AN48" s="42">
        <f>euclidianDistance($Y$18:$PG$18,$Y19:$PG19,numDimensions)</f>
        <v>12669.5991649302</v>
      </c>
      <c r="AO48" s="55"/>
      <c r="AP48" s="55"/>
      <c r="AQ48" s="57"/>
      <c r="AS48"/>
    </row>
    <row r="49" spans="1:48" s="19" customFormat="1" ht="25.15" customHeight="1" x14ac:dyDescent="0.6">
      <c r="A49" s="25" t="s">
        <v>52</v>
      </c>
      <c r="B49" s="20">
        <v>1650</v>
      </c>
      <c r="C49" s="21">
        <v>3760</v>
      </c>
      <c r="D49" s="21">
        <v>9594</v>
      </c>
      <c r="E49" s="21">
        <v>9597</v>
      </c>
      <c r="F49" s="21">
        <v>1794</v>
      </c>
      <c r="G49" s="21">
        <v>3019</v>
      </c>
      <c r="H49" s="21">
        <v>1393</v>
      </c>
      <c r="I49" s="21">
        <v>8266</v>
      </c>
      <c r="J49" s="21">
        <v>6270</v>
      </c>
      <c r="K49" s="21">
        <v>6293</v>
      </c>
      <c r="L49" s="21">
        <v>6943</v>
      </c>
      <c r="M49" s="21">
        <v>3378</v>
      </c>
      <c r="N49" s="21">
        <v>7733</v>
      </c>
      <c r="O49" s="21">
        <v>8823</v>
      </c>
      <c r="P49" s="21">
        <v>7028</v>
      </c>
      <c r="Q49" s="21">
        <v>5592</v>
      </c>
      <c r="R49" s="21">
        <v>9999</v>
      </c>
      <c r="S49" s="21">
        <v>7241</v>
      </c>
      <c r="T49" s="21">
        <v>9027</v>
      </c>
      <c r="U49" s="22">
        <v>5907</v>
      </c>
      <c r="W49" s="15"/>
      <c r="X49" s="40" t="s">
        <v>422</v>
      </c>
      <c r="Y49" s="56">
        <f t="shared" si="0"/>
        <v>12124.464070630091</v>
      </c>
      <c r="Z49" s="42">
        <f t="shared" si="1"/>
        <v>12306.976151760431</v>
      </c>
      <c r="AA49" s="42">
        <f t="shared" si="2"/>
        <v>8219.3242422963212</v>
      </c>
      <c r="AB49" s="42">
        <f t="shared" si="3"/>
        <v>9877.7614366818962</v>
      </c>
      <c r="AC49" s="42">
        <f t="shared" si="4"/>
        <v>12443.913813587749</v>
      </c>
      <c r="AD49" s="42">
        <f t="shared" si="5"/>
        <v>4813.5772560539626</v>
      </c>
      <c r="AE49" s="42">
        <f t="shared" si="6"/>
        <v>9093.9394653802265</v>
      </c>
      <c r="AF49" s="42">
        <f t="shared" si="7"/>
        <v>5561.0142060598982</v>
      </c>
      <c r="AG49" s="42">
        <f t="shared" si="8"/>
        <v>7376.2432172481949</v>
      </c>
      <c r="AH49" s="42">
        <f t="shared" si="9"/>
        <v>8001.5554112934815</v>
      </c>
      <c r="AI49" s="42">
        <f t="shared" si="10"/>
        <v>9167.077287772805</v>
      </c>
      <c r="AJ49" s="42">
        <f t="shared" si="11"/>
        <v>12655.478971575907</v>
      </c>
      <c r="AK49" s="42">
        <f t="shared" si="12"/>
        <v>6171.2527091345073</v>
      </c>
      <c r="AL49" s="42">
        <f t="shared" si="13"/>
        <v>9192.3628627246871</v>
      </c>
      <c r="AM49" s="42">
        <f>euclidianDistance($Y$17:$PG$17,$Y20:$PG20,numDimensions)</f>
        <v>8030.4883413152402</v>
      </c>
      <c r="AN49" s="42">
        <f>euclidianDistance($Y$18:$PG$18,$Y20:$PG20,numDimensions)</f>
        <v>14327.122739754832</v>
      </c>
      <c r="AO49" s="42">
        <f>euclidianDistance($Y$19:$PG$19,$Y20:$PG20,numDimensions)</f>
        <v>5700.4521750471686</v>
      </c>
      <c r="AP49" s="55"/>
      <c r="AQ49" s="57"/>
      <c r="AS49"/>
    </row>
    <row r="50" spans="1:48" s="19" customFormat="1" ht="25.15" customHeight="1" x14ac:dyDescent="0.6">
      <c r="A50" s="25" t="s">
        <v>53</v>
      </c>
      <c r="B50" s="20">
        <v>6786</v>
      </c>
      <c r="C50" s="21">
        <v>1446</v>
      </c>
      <c r="D50" s="21">
        <v>685</v>
      </c>
      <c r="E50" s="21">
        <v>4578</v>
      </c>
      <c r="F50" s="21">
        <v>4895</v>
      </c>
      <c r="G50" s="21">
        <v>7531</v>
      </c>
      <c r="H50" s="21">
        <v>7336</v>
      </c>
      <c r="I50" s="21">
        <v>2235</v>
      </c>
      <c r="J50" s="21">
        <v>4006</v>
      </c>
      <c r="K50" s="21">
        <v>8397</v>
      </c>
      <c r="L50" s="21">
        <v>136</v>
      </c>
      <c r="M50" s="21">
        <v>7799</v>
      </c>
      <c r="N50" s="21">
        <v>8491</v>
      </c>
      <c r="O50" s="21">
        <v>8021</v>
      </c>
      <c r="P50" s="21">
        <v>9026</v>
      </c>
      <c r="Q50" s="21">
        <v>7654</v>
      </c>
      <c r="R50" s="21">
        <v>6481</v>
      </c>
      <c r="S50" s="21">
        <v>155</v>
      </c>
      <c r="T50" s="21">
        <v>8922</v>
      </c>
      <c r="U50" s="22">
        <v>9048</v>
      </c>
      <c r="W50" s="15"/>
      <c r="X50" s="40" t="s">
        <v>423</v>
      </c>
      <c r="Y50" s="56">
        <f t="shared" si="0"/>
        <v>3585.9065799320538</v>
      </c>
      <c r="Z50" s="42">
        <f t="shared" si="1"/>
        <v>7781.354959131475</v>
      </c>
      <c r="AA50" s="42">
        <f t="shared" si="2"/>
        <v>12472.442343021674</v>
      </c>
      <c r="AB50" s="42">
        <f t="shared" si="3"/>
        <v>8982.5220289181598</v>
      </c>
      <c r="AC50" s="42">
        <f t="shared" si="4"/>
        <v>9394.3735288735461</v>
      </c>
      <c r="AD50" s="42">
        <f t="shared" si="5"/>
        <v>11238.46693281606</v>
      </c>
      <c r="AE50" s="42">
        <f t="shared" si="6"/>
        <v>8291.518437536035</v>
      </c>
      <c r="AF50" s="42">
        <f t="shared" si="7"/>
        <v>11416.029957914441</v>
      </c>
      <c r="AG50" s="42">
        <f t="shared" si="8"/>
        <v>9507.4965684979343</v>
      </c>
      <c r="AH50" s="42">
        <f t="shared" si="9"/>
        <v>8031.5852731574732</v>
      </c>
      <c r="AI50" s="42">
        <f t="shared" si="10"/>
        <v>5461.5357730220903</v>
      </c>
      <c r="AJ50" s="42">
        <f t="shared" si="11"/>
        <v>7440.029905853874</v>
      </c>
      <c r="AK50" s="42">
        <f t="shared" si="12"/>
        <v>9795.9708554078497</v>
      </c>
      <c r="AL50" s="42">
        <f t="shared" si="13"/>
        <v>9108.6859645066252</v>
      </c>
      <c r="AM50" s="42">
        <f>euclidianDistance($Y$17:$PG$17,$Y21:$PG21,numDimensions)</f>
        <v>8437.377791707564</v>
      </c>
      <c r="AN50" s="42">
        <f>euclidianDistance($Y$18:$PG$18,$Y21:$PG21,numDimensions)</f>
        <v>7226.0736918467692</v>
      </c>
      <c r="AO50" s="42">
        <f>euclidianDistance($Y$19:$PG$19,$Y21:$PG21,numDimensions)</f>
        <v>11160.531797365213</v>
      </c>
      <c r="AP50" s="42">
        <f>euclidianDistance($Y$20:$PG$20,$Y21:$PG21,numDimensions)</f>
        <v>12913.509089321926</v>
      </c>
      <c r="AQ50" s="57"/>
      <c r="AS50"/>
    </row>
    <row r="51" spans="1:48" s="19" customFormat="1" ht="25.15" customHeight="1" thickBot="1" x14ac:dyDescent="0.65">
      <c r="A51" s="25" t="s">
        <v>54</v>
      </c>
      <c r="B51" s="20">
        <v>3075</v>
      </c>
      <c r="C51" s="21">
        <v>2848</v>
      </c>
      <c r="D51" s="21">
        <v>2833</v>
      </c>
      <c r="E51" s="21">
        <v>2958</v>
      </c>
      <c r="F51" s="21">
        <v>7208</v>
      </c>
      <c r="G51" s="21">
        <v>6117</v>
      </c>
      <c r="H51" s="21">
        <v>461</v>
      </c>
      <c r="I51" s="21">
        <v>2412</v>
      </c>
      <c r="J51" s="21">
        <v>4643</v>
      </c>
      <c r="K51" s="21">
        <v>3211</v>
      </c>
      <c r="L51" s="21">
        <v>8090</v>
      </c>
      <c r="M51" s="21">
        <v>1551</v>
      </c>
      <c r="N51" s="21">
        <v>7</v>
      </c>
      <c r="O51" s="21">
        <v>2469</v>
      </c>
      <c r="P51" s="21">
        <v>8656</v>
      </c>
      <c r="Q51" s="21">
        <v>151</v>
      </c>
      <c r="R51" s="21">
        <v>7622</v>
      </c>
      <c r="S51" s="21">
        <v>4581</v>
      </c>
      <c r="T51" s="21">
        <v>7574</v>
      </c>
      <c r="U51" s="22">
        <v>2962</v>
      </c>
      <c r="W51" s="15"/>
      <c r="X51" s="41" t="s">
        <v>424</v>
      </c>
      <c r="Y51" s="58">
        <f t="shared" si="0"/>
        <v>6268.9398625285921</v>
      </c>
      <c r="Z51" s="67">
        <f t="shared" si="1"/>
        <v>5008.0065894525342</v>
      </c>
      <c r="AA51" s="67">
        <f t="shared" si="2"/>
        <v>10501.896352564141</v>
      </c>
      <c r="AB51" s="67">
        <f t="shared" si="3"/>
        <v>10709.262579655053</v>
      </c>
      <c r="AC51" s="67">
        <f t="shared" si="4"/>
        <v>10607.837432766397</v>
      </c>
      <c r="AD51" s="67">
        <f t="shared" si="5"/>
        <v>8690.6790298572178</v>
      </c>
      <c r="AE51" s="67">
        <f t="shared" si="6"/>
        <v>7689.4538817786015</v>
      </c>
      <c r="AF51" s="67">
        <f t="shared" si="7"/>
        <v>11717.852917663713</v>
      </c>
      <c r="AG51" s="67">
        <f t="shared" si="8"/>
        <v>10097.851355610263</v>
      </c>
      <c r="AH51" s="67">
        <f t="shared" si="9"/>
        <v>8364.0271998601256</v>
      </c>
      <c r="AI51" s="67">
        <f t="shared" si="10"/>
        <v>6591.6187693160773</v>
      </c>
      <c r="AJ51" s="67">
        <f t="shared" si="11"/>
        <v>4866.9475033125227</v>
      </c>
      <c r="AK51" s="67">
        <f t="shared" si="12"/>
        <v>9975.5834917061366</v>
      </c>
      <c r="AL51" s="67">
        <f t="shared" si="13"/>
        <v>6715.3103427913147</v>
      </c>
      <c r="AM51" s="67">
        <f>euclidianDistance($Y$17:$PG$17,$Y22:$PG22,numDimensions)</f>
        <v>6533.8092258651077</v>
      </c>
      <c r="AN51" s="67">
        <f>euclidianDistance($Y$18:$PG$18,$Y22:$PG22,numDimensions)</f>
        <v>5530.8267013169016</v>
      </c>
      <c r="AO51" s="67">
        <f>euclidianDistance($Y$19:$PG$19,$Y22:$PG22,numDimensions)</f>
        <v>10482.778496181249</v>
      </c>
      <c r="AP51" s="67">
        <f>euclidianDistance($Y$20:$PG$20,$Y22:$PG22,numDimensions)</f>
        <v>11445.653236054288</v>
      </c>
      <c r="AQ51" s="44">
        <f>euclidianDistance($Y$21:$PG$21,$Y22:$PG22,numDimensions)</f>
        <v>4570.8190732077765</v>
      </c>
      <c r="AS51"/>
    </row>
    <row r="52" spans="1:48" s="19" customFormat="1" ht="19.149999999999999" customHeight="1" thickBot="1" x14ac:dyDescent="0.35">
      <c r="A52" s="25" t="s">
        <v>55</v>
      </c>
      <c r="B52" s="20">
        <v>232</v>
      </c>
      <c r="C52" s="21">
        <v>6348</v>
      </c>
      <c r="D52" s="21">
        <v>7737</v>
      </c>
      <c r="E52" s="21">
        <v>2319</v>
      </c>
      <c r="F52" s="21">
        <v>3475</v>
      </c>
      <c r="G52" s="21">
        <v>1003</v>
      </c>
      <c r="H52" s="21">
        <v>8938</v>
      </c>
      <c r="I52" s="21">
        <v>3491</v>
      </c>
      <c r="J52" s="21">
        <v>1515</v>
      </c>
      <c r="K52" s="21">
        <v>712</v>
      </c>
      <c r="L52" s="21">
        <v>4859</v>
      </c>
      <c r="M52" s="21">
        <v>3380</v>
      </c>
      <c r="N52" s="21">
        <v>3793</v>
      </c>
      <c r="O52" s="21">
        <v>5896</v>
      </c>
      <c r="P52" s="21">
        <v>205</v>
      </c>
      <c r="Q52" s="21">
        <v>930</v>
      </c>
      <c r="R52" s="21">
        <v>2634</v>
      </c>
      <c r="S52" s="21">
        <v>88</v>
      </c>
      <c r="T52" s="21">
        <v>31</v>
      </c>
      <c r="U52" s="22">
        <v>9564</v>
      </c>
      <c r="W52" s="15"/>
      <c r="Z52" s="15"/>
    </row>
    <row r="53" spans="1:48" s="19" customFormat="1" ht="20.45" customHeight="1" x14ac:dyDescent="0.3">
      <c r="A53" s="25" t="s">
        <v>56</v>
      </c>
      <c r="B53" s="20">
        <v>2729</v>
      </c>
      <c r="C53" s="21">
        <v>235</v>
      </c>
      <c r="D53" s="21">
        <v>3189</v>
      </c>
      <c r="E53" s="21">
        <v>3622</v>
      </c>
      <c r="F53" s="21">
        <v>120</v>
      </c>
      <c r="G53" s="21">
        <v>2262</v>
      </c>
      <c r="H53" s="21">
        <v>6525</v>
      </c>
      <c r="I53" s="21">
        <v>9015</v>
      </c>
      <c r="J53" s="21">
        <v>4426</v>
      </c>
      <c r="K53" s="21">
        <v>1016</v>
      </c>
      <c r="L53" s="21">
        <v>7620</v>
      </c>
      <c r="M53" s="21">
        <v>8759</v>
      </c>
      <c r="N53" s="21">
        <v>8647</v>
      </c>
      <c r="O53" s="21">
        <v>2689</v>
      </c>
      <c r="P53" s="21">
        <v>3418</v>
      </c>
      <c r="Q53" s="21">
        <v>5079</v>
      </c>
      <c r="R53" s="21">
        <v>4436</v>
      </c>
      <c r="S53" s="21">
        <v>5329</v>
      </c>
      <c r="T53" s="21">
        <v>5850</v>
      </c>
      <c r="U53" s="22">
        <v>5888</v>
      </c>
      <c r="W53" s="15"/>
      <c r="X53" s="45" t="s">
        <v>2</v>
      </c>
      <c r="Y53" s="46">
        <f>MAX(Y33:AQ51)</f>
        <v>14327.122739754832</v>
      </c>
      <c r="Z53" s="15"/>
    </row>
    <row r="54" spans="1:48" s="19" customFormat="1" ht="20.45" customHeight="1" x14ac:dyDescent="0.3">
      <c r="A54" s="25" t="s">
        <v>57</v>
      </c>
      <c r="B54" s="20">
        <v>8018</v>
      </c>
      <c r="C54" s="21">
        <v>3820</v>
      </c>
      <c r="D54" s="21">
        <v>9151</v>
      </c>
      <c r="E54" s="21">
        <v>1170</v>
      </c>
      <c r="F54" s="21">
        <v>5676</v>
      </c>
      <c r="G54" s="21">
        <v>2184</v>
      </c>
      <c r="H54" s="21">
        <v>2071</v>
      </c>
      <c r="I54" s="21">
        <v>5243</v>
      </c>
      <c r="J54" s="21">
        <v>5827</v>
      </c>
      <c r="K54" s="21">
        <v>9425</v>
      </c>
      <c r="L54" s="21">
        <v>4906</v>
      </c>
      <c r="M54" s="21">
        <v>984</v>
      </c>
      <c r="N54" s="21">
        <v>4188</v>
      </c>
      <c r="O54" s="21">
        <v>3087</v>
      </c>
      <c r="P54" s="21">
        <v>8674</v>
      </c>
      <c r="Q54" s="21">
        <v>8532</v>
      </c>
      <c r="R54" s="21">
        <v>2449</v>
      </c>
      <c r="S54" s="21">
        <v>5225</v>
      </c>
      <c r="T54" s="21">
        <v>4992</v>
      </c>
      <c r="U54" s="22">
        <v>5383</v>
      </c>
      <c r="W54" s="15"/>
      <c r="X54" s="47" t="s">
        <v>4</v>
      </c>
      <c r="Y54" s="48">
        <f>MIN(Y33:AQ51)</f>
        <v>2805.1406381855436</v>
      </c>
    </row>
    <row r="55" spans="1:48" s="19" customFormat="1" ht="20.45" customHeight="1" thickBot="1" x14ac:dyDescent="0.35">
      <c r="A55" s="25" t="s">
        <v>58</v>
      </c>
      <c r="B55" s="20">
        <v>6237</v>
      </c>
      <c r="C55" s="21">
        <v>6699</v>
      </c>
      <c r="D55" s="21">
        <v>6181</v>
      </c>
      <c r="E55" s="21">
        <v>4233</v>
      </c>
      <c r="F55" s="21">
        <v>3692</v>
      </c>
      <c r="G55" s="21">
        <v>2309</v>
      </c>
      <c r="H55" s="21">
        <v>651</v>
      </c>
      <c r="I55" s="21">
        <v>1718</v>
      </c>
      <c r="J55" s="21">
        <v>9309</v>
      </c>
      <c r="K55" s="21">
        <v>9598</v>
      </c>
      <c r="L55" s="21">
        <v>4220</v>
      </c>
      <c r="M55" s="21">
        <v>7690</v>
      </c>
      <c r="N55" s="21">
        <v>1597</v>
      </c>
      <c r="O55" s="21">
        <v>7466</v>
      </c>
      <c r="P55" s="21">
        <v>8081</v>
      </c>
      <c r="Q55" s="21">
        <v>4567</v>
      </c>
      <c r="R55" s="21">
        <v>5562</v>
      </c>
      <c r="S55" s="21">
        <v>7069</v>
      </c>
      <c r="T55" s="21">
        <v>3815</v>
      </c>
      <c r="U55" s="22">
        <v>2674</v>
      </c>
      <c r="W55" s="15"/>
      <c r="X55" s="49" t="s">
        <v>3</v>
      </c>
      <c r="Y55" s="50">
        <f>Y53/Y54</f>
        <v>5.1074525621724556</v>
      </c>
    </row>
    <row r="56" spans="1:48" s="19" customFormat="1" ht="52.15" customHeight="1" x14ac:dyDescent="0.3">
      <c r="A56" s="25" t="s">
        <v>59</v>
      </c>
      <c r="B56" s="20">
        <v>9169.3333333333303</v>
      </c>
      <c r="C56" s="21">
        <v>10048.666666666701</v>
      </c>
      <c r="D56" s="21">
        <v>9165.6666666666697</v>
      </c>
      <c r="E56" s="21">
        <v>3619.3333333333298</v>
      </c>
      <c r="F56" s="21">
        <v>6734.6666666666697</v>
      </c>
      <c r="G56" s="21">
        <v>2298.6666666666702</v>
      </c>
      <c r="H56" s="21">
        <v>-2791.6666666666702</v>
      </c>
      <c r="I56" s="21">
        <v>-1971.6666666666699</v>
      </c>
      <c r="J56" s="21">
        <v>11403.666666666701</v>
      </c>
      <c r="K56" s="21">
        <v>15261.666666666701</v>
      </c>
      <c r="L56" s="21">
        <v>2182</v>
      </c>
      <c r="M56" s="21">
        <v>4742</v>
      </c>
      <c r="N56" s="21">
        <v>-2239.3333333333298</v>
      </c>
      <c r="O56" s="21">
        <v>9191</v>
      </c>
      <c r="P56" s="21">
        <v>11387.333333333299</v>
      </c>
      <c r="Q56" s="21">
        <v>5547.3333333333303</v>
      </c>
      <c r="R56" s="21">
        <v>5275</v>
      </c>
      <c r="S56" s="21">
        <v>7614.3333333333303</v>
      </c>
      <c r="T56" s="21">
        <v>2850.6666666666702</v>
      </c>
      <c r="U56" s="22">
        <v>1434.3333333333301</v>
      </c>
      <c r="W56" s="15"/>
      <c r="Y56" s="26"/>
      <c r="Z56" s="15"/>
      <c r="AB56" s="72" t="s">
        <v>824</v>
      </c>
      <c r="AC56" s="72" t="s">
        <v>881</v>
      </c>
    </row>
    <row r="57" spans="1:48" s="19" customFormat="1" ht="9.6" customHeight="1" thickBot="1" x14ac:dyDescent="0.35">
      <c r="A57" s="25" t="s">
        <v>60</v>
      </c>
      <c r="B57" s="20">
        <v>6087</v>
      </c>
      <c r="C57" s="21">
        <v>9761</v>
      </c>
      <c r="D57" s="21">
        <v>7495</v>
      </c>
      <c r="E57" s="21">
        <v>7568</v>
      </c>
      <c r="F57" s="21">
        <v>9092</v>
      </c>
      <c r="G57" s="21">
        <v>2167</v>
      </c>
      <c r="H57" s="21">
        <v>732</v>
      </c>
      <c r="I57" s="21">
        <v>9875</v>
      </c>
      <c r="J57" s="21">
        <v>231</v>
      </c>
      <c r="K57" s="21">
        <v>3290</v>
      </c>
      <c r="L57" s="21">
        <v>1355</v>
      </c>
      <c r="M57" s="21">
        <v>4266</v>
      </c>
      <c r="N57" s="21">
        <v>2956</v>
      </c>
      <c r="O57" s="21">
        <v>6046</v>
      </c>
      <c r="P57" s="21">
        <v>62</v>
      </c>
      <c r="Q57" s="21">
        <v>6878</v>
      </c>
      <c r="R57" s="21">
        <v>8934</v>
      </c>
      <c r="S57" s="21">
        <v>7464</v>
      </c>
      <c r="T57" s="21">
        <v>4378</v>
      </c>
      <c r="U57" s="22">
        <v>2353</v>
      </c>
      <c r="W57" s="15"/>
      <c r="AB57" s="73"/>
      <c r="AC57" s="74">
        <f>Y55</f>
        <v>5.1074525621724556</v>
      </c>
      <c r="AT57" s="27">
        <f>MAX(Z32:AR50)</f>
        <v>14327.122739754832</v>
      </c>
      <c r="AU57" s="27">
        <f>MIN(Z32:AR50)</f>
        <v>2805.1406381855436</v>
      </c>
      <c r="AV57" s="28">
        <f>AT57/AU57</f>
        <v>5.1074525621724556</v>
      </c>
    </row>
    <row r="58" spans="1:48" s="19" customFormat="1" ht="27" customHeight="1" x14ac:dyDescent="0.3">
      <c r="A58" s="25" t="s">
        <v>61</v>
      </c>
      <c r="B58" s="20">
        <v>336</v>
      </c>
      <c r="C58" s="21">
        <v>5314</v>
      </c>
      <c r="D58" s="21">
        <v>7008</v>
      </c>
      <c r="E58" s="21">
        <v>475</v>
      </c>
      <c r="F58" s="21">
        <v>967</v>
      </c>
      <c r="G58" s="21">
        <v>7133</v>
      </c>
      <c r="H58" s="21">
        <v>7169</v>
      </c>
      <c r="I58" s="21">
        <v>4908</v>
      </c>
      <c r="J58" s="21">
        <v>8892</v>
      </c>
      <c r="K58" s="21">
        <v>4860</v>
      </c>
      <c r="L58" s="21">
        <v>9997</v>
      </c>
      <c r="M58" s="21">
        <v>1212</v>
      </c>
      <c r="N58" s="21">
        <v>3357</v>
      </c>
      <c r="O58" s="21">
        <v>8170</v>
      </c>
      <c r="P58" s="21">
        <v>3151</v>
      </c>
      <c r="Q58" s="21">
        <v>2339</v>
      </c>
      <c r="R58" s="21">
        <v>2004</v>
      </c>
      <c r="S58" s="21">
        <v>2733</v>
      </c>
      <c r="T58" s="21">
        <v>9231</v>
      </c>
      <c r="U58" s="22">
        <v>8485</v>
      </c>
      <c r="W58" s="15"/>
      <c r="AB58" s="145">
        <v>1</v>
      </c>
      <c r="AC58" s="146">
        <f t="dataTable" ref="AC58:AC117" dt2D="0" dtr="0" r1="AA30"/>
        <v>815.81818181818187</v>
      </c>
    </row>
    <row r="59" spans="1:48" s="19" customFormat="1" ht="27" customHeight="1" x14ac:dyDescent="0.3">
      <c r="A59" s="25" t="s">
        <v>62</v>
      </c>
      <c r="B59" s="20">
        <v>8647</v>
      </c>
      <c r="C59" s="21">
        <v>642</v>
      </c>
      <c r="D59" s="21">
        <v>3212</v>
      </c>
      <c r="E59" s="21">
        <v>1111</v>
      </c>
      <c r="F59" s="21">
        <v>5030</v>
      </c>
      <c r="G59" s="21">
        <v>123</v>
      </c>
      <c r="H59" s="21">
        <v>4877</v>
      </c>
      <c r="I59" s="21">
        <v>873</v>
      </c>
      <c r="J59" s="21">
        <v>2246</v>
      </c>
      <c r="K59" s="21">
        <v>2430</v>
      </c>
      <c r="L59" s="21">
        <v>6050</v>
      </c>
      <c r="M59" s="21">
        <v>359</v>
      </c>
      <c r="N59" s="21">
        <v>955</v>
      </c>
      <c r="O59" s="21">
        <v>5704</v>
      </c>
      <c r="P59" s="21">
        <v>933</v>
      </c>
      <c r="Q59" s="21">
        <v>6547</v>
      </c>
      <c r="R59" s="21">
        <v>3877</v>
      </c>
      <c r="S59" s="21">
        <v>6183</v>
      </c>
      <c r="T59" s="21">
        <v>2253</v>
      </c>
      <c r="U59" s="22">
        <v>6967</v>
      </c>
      <c r="W59" s="15"/>
      <c r="AB59" s="147">
        <v>2</v>
      </c>
      <c r="AC59" s="148">
        <v>21.015532492491474</v>
      </c>
    </row>
    <row r="60" spans="1:48" s="19" customFormat="1" ht="27" customHeight="1" x14ac:dyDescent="0.3">
      <c r="A60" s="25" t="s">
        <v>63</v>
      </c>
      <c r="B60" s="20">
        <v>1032</v>
      </c>
      <c r="C60" s="21">
        <v>3849</v>
      </c>
      <c r="D60" s="21">
        <v>5316</v>
      </c>
      <c r="E60" s="21">
        <v>5581</v>
      </c>
      <c r="F60" s="21">
        <v>7887</v>
      </c>
      <c r="G60" s="21">
        <v>2300</v>
      </c>
      <c r="H60" s="21">
        <v>3447</v>
      </c>
      <c r="I60" s="21">
        <v>3873</v>
      </c>
      <c r="J60" s="21">
        <v>3724</v>
      </c>
      <c r="K60" s="21">
        <v>2419</v>
      </c>
      <c r="L60" s="21">
        <v>7143</v>
      </c>
      <c r="M60" s="21">
        <v>9679</v>
      </c>
      <c r="N60" s="21">
        <v>1896</v>
      </c>
      <c r="O60" s="21">
        <v>127</v>
      </c>
      <c r="P60" s="21">
        <v>8701</v>
      </c>
      <c r="Q60" s="21">
        <v>4255</v>
      </c>
      <c r="R60" s="21">
        <v>9556</v>
      </c>
      <c r="S60" s="21">
        <v>1306</v>
      </c>
      <c r="T60" s="21">
        <v>4463</v>
      </c>
      <c r="U60" s="22">
        <v>5883</v>
      </c>
      <c r="W60" s="15"/>
      <c r="AB60" s="147">
        <v>3</v>
      </c>
      <c r="AC60" s="148">
        <v>21.222462155674453</v>
      </c>
    </row>
    <row r="61" spans="1:48" s="19" customFormat="1" ht="27" customHeight="1" x14ac:dyDescent="0.3">
      <c r="A61" s="25" t="s">
        <v>64</v>
      </c>
      <c r="B61" s="20">
        <v>1511</v>
      </c>
      <c r="C61" s="21">
        <v>5408</v>
      </c>
      <c r="D61" s="21">
        <v>3381</v>
      </c>
      <c r="E61" s="21">
        <v>2439</v>
      </c>
      <c r="F61" s="21">
        <v>1290</v>
      </c>
      <c r="G61" s="21">
        <v>7820</v>
      </c>
      <c r="H61" s="21">
        <v>3592</v>
      </c>
      <c r="I61" s="21">
        <v>6799</v>
      </c>
      <c r="J61" s="21">
        <v>1549</v>
      </c>
      <c r="K61" s="21">
        <v>5217</v>
      </c>
      <c r="L61" s="21">
        <v>7209</v>
      </c>
      <c r="M61" s="21">
        <v>2668</v>
      </c>
      <c r="N61" s="21">
        <v>2275</v>
      </c>
      <c r="O61" s="21">
        <v>2018</v>
      </c>
      <c r="P61" s="21">
        <v>1093</v>
      </c>
      <c r="Q61" s="21">
        <v>6624</v>
      </c>
      <c r="R61" s="21">
        <v>1427</v>
      </c>
      <c r="S61" s="21">
        <v>6879</v>
      </c>
      <c r="T61" s="21">
        <v>7385</v>
      </c>
      <c r="U61" s="22">
        <v>4379</v>
      </c>
      <c r="W61" s="15"/>
      <c r="AB61" s="147">
        <v>4</v>
      </c>
      <c r="AC61" s="148">
        <v>8.926122570730934</v>
      </c>
    </row>
    <row r="62" spans="1:48" s="19" customFormat="1" ht="27" customHeight="1" x14ac:dyDescent="0.3">
      <c r="A62" s="25" t="s">
        <v>65</v>
      </c>
      <c r="B62" s="20">
        <v>7715</v>
      </c>
      <c r="C62" s="21">
        <v>861</v>
      </c>
      <c r="D62" s="21">
        <v>9956</v>
      </c>
      <c r="E62" s="21">
        <v>7578</v>
      </c>
      <c r="F62" s="21">
        <v>2045</v>
      </c>
      <c r="G62" s="21">
        <v>6947</v>
      </c>
      <c r="H62" s="21">
        <v>1453</v>
      </c>
      <c r="I62" s="21">
        <v>7369</v>
      </c>
      <c r="J62" s="21">
        <v>8206</v>
      </c>
      <c r="K62" s="21">
        <v>1952</v>
      </c>
      <c r="L62" s="21">
        <v>8078</v>
      </c>
      <c r="M62" s="21">
        <v>143</v>
      </c>
      <c r="N62" s="21">
        <v>6576</v>
      </c>
      <c r="O62" s="21">
        <v>9490</v>
      </c>
      <c r="P62" s="21">
        <v>2977</v>
      </c>
      <c r="Q62" s="21">
        <v>4034</v>
      </c>
      <c r="R62" s="21">
        <v>5598</v>
      </c>
      <c r="S62" s="21">
        <v>385</v>
      </c>
      <c r="T62" s="21">
        <v>6856</v>
      </c>
      <c r="U62" s="22">
        <v>7776</v>
      </c>
      <c r="W62" s="15"/>
      <c r="AB62" s="147">
        <v>5</v>
      </c>
      <c r="AC62" s="148">
        <v>5.1074525621724556</v>
      </c>
    </row>
    <row r="63" spans="1:48" s="19" customFormat="1" ht="27" customHeight="1" x14ac:dyDescent="0.3">
      <c r="A63" s="25" t="s">
        <v>66</v>
      </c>
      <c r="B63" s="20">
        <v>1120</v>
      </c>
      <c r="C63" s="21">
        <v>4151</v>
      </c>
      <c r="D63" s="21">
        <v>2349</v>
      </c>
      <c r="E63" s="21">
        <v>3726</v>
      </c>
      <c r="F63" s="21">
        <v>4133</v>
      </c>
      <c r="G63" s="21">
        <v>2875</v>
      </c>
      <c r="H63" s="21">
        <v>7107</v>
      </c>
      <c r="I63" s="21">
        <v>8388</v>
      </c>
      <c r="J63" s="21">
        <v>7130</v>
      </c>
      <c r="K63" s="21">
        <v>1796</v>
      </c>
      <c r="L63" s="21">
        <v>9909</v>
      </c>
      <c r="M63" s="21">
        <v>896</v>
      </c>
      <c r="N63" s="21">
        <v>335</v>
      </c>
      <c r="O63" s="21">
        <v>6856</v>
      </c>
      <c r="P63" s="21">
        <v>4184</v>
      </c>
      <c r="Q63" s="21">
        <v>7859</v>
      </c>
      <c r="R63" s="21">
        <v>5958</v>
      </c>
      <c r="S63" s="21">
        <v>631</v>
      </c>
      <c r="T63" s="21">
        <v>2104</v>
      </c>
      <c r="U63" s="22">
        <v>5602</v>
      </c>
      <c r="W63" s="15"/>
      <c r="AB63" s="147">
        <v>6</v>
      </c>
      <c r="AC63" s="148">
        <v>4.0124500549819855</v>
      </c>
    </row>
    <row r="64" spans="1:48" s="19" customFormat="1" ht="27" customHeight="1" x14ac:dyDescent="0.3">
      <c r="A64" s="25" t="s">
        <v>67</v>
      </c>
      <c r="B64" s="20">
        <v>8405</v>
      </c>
      <c r="C64" s="21">
        <v>8398</v>
      </c>
      <c r="D64" s="21">
        <v>8439</v>
      </c>
      <c r="E64" s="21">
        <v>1442</v>
      </c>
      <c r="F64" s="21">
        <v>6699</v>
      </c>
      <c r="G64" s="21">
        <v>6561</v>
      </c>
      <c r="H64" s="21">
        <v>5761</v>
      </c>
      <c r="I64" s="21">
        <v>4147</v>
      </c>
      <c r="J64" s="21">
        <v>5188</v>
      </c>
      <c r="K64" s="21">
        <v>2651</v>
      </c>
      <c r="L64" s="21">
        <v>436</v>
      </c>
      <c r="M64" s="21">
        <v>3979</v>
      </c>
      <c r="N64" s="21">
        <v>779</v>
      </c>
      <c r="O64" s="21">
        <v>3175</v>
      </c>
      <c r="P64" s="21">
        <v>4999</v>
      </c>
      <c r="Q64" s="21">
        <v>3308</v>
      </c>
      <c r="R64" s="21">
        <v>675</v>
      </c>
      <c r="S64" s="21">
        <v>5740</v>
      </c>
      <c r="T64" s="21">
        <v>1380</v>
      </c>
      <c r="U64" s="22">
        <v>3987</v>
      </c>
      <c r="W64" s="15"/>
      <c r="AB64" s="147">
        <v>7</v>
      </c>
      <c r="AC64" s="148">
        <v>3.4450185259839197</v>
      </c>
    </row>
    <row r="65" spans="1:29" s="19" customFormat="1" ht="27" customHeight="1" x14ac:dyDescent="0.3">
      <c r="A65" s="25" t="s">
        <v>68</v>
      </c>
      <c r="B65" s="20">
        <v>8548</v>
      </c>
      <c r="C65" s="21">
        <v>3965</v>
      </c>
      <c r="D65" s="21">
        <v>1647</v>
      </c>
      <c r="E65" s="21">
        <v>2319</v>
      </c>
      <c r="F65" s="21">
        <v>4716</v>
      </c>
      <c r="G65" s="21">
        <v>9214</v>
      </c>
      <c r="H65" s="21">
        <v>2647</v>
      </c>
      <c r="I65" s="21">
        <v>177</v>
      </c>
      <c r="J65" s="21">
        <v>133</v>
      </c>
      <c r="K65" s="21">
        <v>3388</v>
      </c>
      <c r="L65" s="21">
        <v>2418</v>
      </c>
      <c r="M65" s="21">
        <v>6957</v>
      </c>
      <c r="N65" s="21">
        <v>4137</v>
      </c>
      <c r="O65" s="21">
        <v>4595</v>
      </c>
      <c r="P65" s="21">
        <v>9754</v>
      </c>
      <c r="Q65" s="21">
        <v>1711</v>
      </c>
      <c r="R65" s="21">
        <v>3742</v>
      </c>
      <c r="S65" s="21">
        <v>185</v>
      </c>
      <c r="T65" s="21">
        <v>777</v>
      </c>
      <c r="U65" s="22">
        <v>1872</v>
      </c>
      <c r="W65" s="15"/>
      <c r="AB65" s="147">
        <v>8</v>
      </c>
      <c r="AC65" s="148">
        <v>3.0069769314811987</v>
      </c>
    </row>
    <row r="66" spans="1:29" s="19" customFormat="1" ht="27" customHeight="1" x14ac:dyDescent="0.3">
      <c r="A66" s="25" t="s">
        <v>69</v>
      </c>
      <c r="B66" s="20">
        <v>1693</v>
      </c>
      <c r="C66" s="21">
        <v>712</v>
      </c>
      <c r="D66" s="21">
        <v>3377</v>
      </c>
      <c r="E66" s="21">
        <v>7136</v>
      </c>
      <c r="F66" s="21">
        <v>5150</v>
      </c>
      <c r="G66" s="21">
        <v>637</v>
      </c>
      <c r="H66" s="21">
        <v>5129</v>
      </c>
      <c r="I66" s="21">
        <v>7244</v>
      </c>
      <c r="J66" s="21">
        <v>5866</v>
      </c>
      <c r="K66" s="21">
        <v>6827</v>
      </c>
      <c r="L66" s="21">
        <v>3462</v>
      </c>
      <c r="M66" s="21">
        <v>1734</v>
      </c>
      <c r="N66" s="21">
        <v>214</v>
      </c>
      <c r="O66" s="21">
        <v>651</v>
      </c>
      <c r="P66" s="21">
        <v>9836</v>
      </c>
      <c r="Q66" s="21">
        <v>4392</v>
      </c>
      <c r="R66" s="21">
        <v>7318</v>
      </c>
      <c r="S66" s="21">
        <v>5604</v>
      </c>
      <c r="T66" s="21">
        <v>803</v>
      </c>
      <c r="U66" s="22">
        <v>8067</v>
      </c>
      <c r="W66" s="15"/>
      <c r="AB66" s="147">
        <v>9</v>
      </c>
      <c r="AC66" s="148">
        <v>2.8344442230215172</v>
      </c>
    </row>
    <row r="67" spans="1:29" s="19" customFormat="1" ht="27" customHeight="1" x14ac:dyDescent="0.3">
      <c r="A67" s="25" t="s">
        <v>70</v>
      </c>
      <c r="B67" s="20">
        <v>6291</v>
      </c>
      <c r="C67" s="21">
        <v>6002</v>
      </c>
      <c r="D67" s="21">
        <v>973</v>
      </c>
      <c r="E67" s="21">
        <v>6329</v>
      </c>
      <c r="F67" s="21">
        <v>9051</v>
      </c>
      <c r="G67" s="21">
        <v>1582</v>
      </c>
      <c r="H67" s="21">
        <v>6019</v>
      </c>
      <c r="I67" s="21">
        <v>6988</v>
      </c>
      <c r="J67" s="21">
        <v>5161</v>
      </c>
      <c r="K67" s="21">
        <v>3172</v>
      </c>
      <c r="L67" s="21">
        <v>9528</v>
      </c>
      <c r="M67" s="21">
        <v>4755</v>
      </c>
      <c r="N67" s="21">
        <v>8478</v>
      </c>
      <c r="O67" s="21">
        <v>6005</v>
      </c>
      <c r="P67" s="21">
        <v>4503</v>
      </c>
      <c r="Q67" s="21">
        <v>3193</v>
      </c>
      <c r="R67" s="21">
        <v>3327</v>
      </c>
      <c r="S67" s="21">
        <v>4410</v>
      </c>
      <c r="T67" s="21">
        <v>211</v>
      </c>
      <c r="U67" s="22">
        <v>9412</v>
      </c>
      <c r="W67" s="15"/>
      <c r="AB67" s="147">
        <v>10</v>
      </c>
      <c r="AC67" s="148">
        <v>2.8625566949441623</v>
      </c>
    </row>
    <row r="68" spans="1:29" s="19" customFormat="1" ht="27" customHeight="1" x14ac:dyDescent="0.3">
      <c r="A68" s="25" t="s">
        <v>71</v>
      </c>
      <c r="B68" s="20">
        <v>9478</v>
      </c>
      <c r="C68" s="21">
        <v>1750</v>
      </c>
      <c r="D68" s="21">
        <v>4989</v>
      </c>
      <c r="E68" s="21">
        <v>778</v>
      </c>
      <c r="F68" s="21">
        <v>1639</v>
      </c>
      <c r="G68" s="21">
        <v>4598</v>
      </c>
      <c r="H68" s="21">
        <v>829</v>
      </c>
      <c r="I68" s="21">
        <v>1455</v>
      </c>
      <c r="J68" s="21">
        <v>9624</v>
      </c>
      <c r="K68" s="21">
        <v>7797</v>
      </c>
      <c r="L68" s="21">
        <v>2069</v>
      </c>
      <c r="M68" s="21">
        <v>129</v>
      </c>
      <c r="N68" s="21">
        <v>5428</v>
      </c>
      <c r="O68" s="21">
        <v>4793</v>
      </c>
      <c r="P68" s="21">
        <v>6678</v>
      </c>
      <c r="Q68" s="21">
        <v>3226</v>
      </c>
      <c r="R68" s="21">
        <v>3671</v>
      </c>
      <c r="S68" s="21">
        <v>7230</v>
      </c>
      <c r="T68" s="21">
        <v>3781</v>
      </c>
      <c r="U68" s="22">
        <v>3509</v>
      </c>
      <c r="W68" s="15"/>
      <c r="AB68" s="147">
        <v>11</v>
      </c>
      <c r="AC68" s="148">
        <v>2.5358506359230124</v>
      </c>
    </row>
    <row r="69" spans="1:29" s="19" customFormat="1" ht="27" customHeight="1" x14ac:dyDescent="0.3">
      <c r="A69" s="25" t="s">
        <v>72</v>
      </c>
      <c r="B69" s="20">
        <v>8041</v>
      </c>
      <c r="C69" s="21">
        <v>2182</v>
      </c>
      <c r="D69" s="21">
        <v>4042</v>
      </c>
      <c r="E69" s="21">
        <v>2745</v>
      </c>
      <c r="F69" s="21">
        <v>1581</v>
      </c>
      <c r="G69" s="21">
        <v>4793</v>
      </c>
      <c r="H69" s="21">
        <v>7370</v>
      </c>
      <c r="I69" s="21">
        <v>6047</v>
      </c>
      <c r="J69" s="21">
        <v>4255</v>
      </c>
      <c r="K69" s="21">
        <v>2002</v>
      </c>
      <c r="L69" s="21">
        <v>9864</v>
      </c>
      <c r="M69" s="21">
        <v>6527</v>
      </c>
      <c r="N69" s="21">
        <v>1623</v>
      </c>
      <c r="O69" s="21">
        <v>4126</v>
      </c>
      <c r="P69" s="21">
        <v>6301</v>
      </c>
      <c r="Q69" s="21">
        <v>1798</v>
      </c>
      <c r="R69" s="21">
        <v>9713</v>
      </c>
      <c r="S69" s="21">
        <v>4299</v>
      </c>
      <c r="T69" s="21">
        <v>3839</v>
      </c>
      <c r="U69" s="22">
        <v>5976</v>
      </c>
      <c r="W69" s="15"/>
      <c r="AB69" s="147">
        <v>12</v>
      </c>
      <c r="AC69" s="148">
        <v>2.4754692746723448</v>
      </c>
    </row>
    <row r="70" spans="1:29" s="19" customFormat="1" ht="27" customHeight="1" x14ac:dyDescent="0.3">
      <c r="A70" s="25" t="s">
        <v>73</v>
      </c>
      <c r="B70" s="20">
        <v>9891</v>
      </c>
      <c r="C70" s="21">
        <v>6482</v>
      </c>
      <c r="D70" s="21">
        <v>6765</v>
      </c>
      <c r="E70" s="21">
        <v>3305</v>
      </c>
      <c r="F70" s="21">
        <v>6397</v>
      </c>
      <c r="G70" s="21">
        <v>2085</v>
      </c>
      <c r="H70" s="21">
        <v>885</v>
      </c>
      <c r="I70" s="21">
        <v>6813</v>
      </c>
      <c r="J70" s="21">
        <v>3236</v>
      </c>
      <c r="K70" s="21">
        <v>2155</v>
      </c>
      <c r="L70" s="21">
        <v>3793</v>
      </c>
      <c r="M70" s="21">
        <v>8006</v>
      </c>
      <c r="N70" s="21">
        <v>4905</v>
      </c>
      <c r="O70" s="21">
        <v>2246</v>
      </c>
      <c r="P70" s="21">
        <v>1373</v>
      </c>
      <c r="Q70" s="21">
        <v>5093</v>
      </c>
      <c r="R70" s="21">
        <v>3443</v>
      </c>
      <c r="S70" s="21">
        <v>9467</v>
      </c>
      <c r="T70" s="21">
        <v>1979</v>
      </c>
      <c r="U70" s="22">
        <v>2219</v>
      </c>
      <c r="W70" s="15"/>
      <c r="AB70" s="147">
        <v>13</v>
      </c>
      <c r="AC70" s="148">
        <v>2.5683570918970973</v>
      </c>
    </row>
    <row r="71" spans="1:29" s="19" customFormat="1" ht="27" customHeight="1" x14ac:dyDescent="0.3">
      <c r="A71" s="25" t="s">
        <v>74</v>
      </c>
      <c r="B71" s="20">
        <v>7444</v>
      </c>
      <c r="C71" s="21">
        <v>4580</v>
      </c>
      <c r="D71" s="21">
        <v>736</v>
      </c>
      <c r="E71" s="21">
        <v>7354</v>
      </c>
      <c r="F71" s="21">
        <v>6635</v>
      </c>
      <c r="G71" s="21">
        <v>9434</v>
      </c>
      <c r="H71" s="21">
        <v>5221</v>
      </c>
      <c r="I71" s="21">
        <v>4421</v>
      </c>
      <c r="J71" s="21">
        <v>1963</v>
      </c>
      <c r="K71" s="21">
        <v>4110</v>
      </c>
      <c r="L71" s="21">
        <v>5085</v>
      </c>
      <c r="M71" s="21">
        <v>3203</v>
      </c>
      <c r="N71" s="21">
        <v>2530</v>
      </c>
      <c r="O71" s="21">
        <v>142</v>
      </c>
      <c r="P71" s="21">
        <v>1033</v>
      </c>
      <c r="Q71" s="21">
        <v>8759</v>
      </c>
      <c r="R71" s="21">
        <v>3580</v>
      </c>
      <c r="S71" s="21">
        <v>3254</v>
      </c>
      <c r="T71" s="21">
        <v>7186</v>
      </c>
      <c r="U71" s="22">
        <v>5166</v>
      </c>
      <c r="W71" s="15"/>
      <c r="AB71" s="147">
        <v>14</v>
      </c>
      <c r="AC71" s="148">
        <v>2.2683212956362051</v>
      </c>
    </row>
    <row r="72" spans="1:29" s="19" customFormat="1" ht="27" customHeight="1" x14ac:dyDescent="0.3">
      <c r="A72" s="25" t="s">
        <v>75</v>
      </c>
      <c r="B72" s="20">
        <v>8817</v>
      </c>
      <c r="C72" s="21">
        <v>9624</v>
      </c>
      <c r="D72" s="21">
        <v>8444</v>
      </c>
      <c r="E72" s="21">
        <v>2003</v>
      </c>
      <c r="F72" s="21">
        <v>9351</v>
      </c>
      <c r="G72" s="21">
        <v>7060</v>
      </c>
      <c r="H72" s="21">
        <v>7951</v>
      </c>
      <c r="I72" s="21">
        <v>307</v>
      </c>
      <c r="J72" s="21">
        <v>8615</v>
      </c>
      <c r="K72" s="21">
        <v>7659</v>
      </c>
      <c r="L72" s="21">
        <v>2174</v>
      </c>
      <c r="M72" s="21">
        <v>4774</v>
      </c>
      <c r="N72" s="21">
        <v>479</v>
      </c>
      <c r="O72" s="21">
        <v>8862</v>
      </c>
      <c r="P72" s="21">
        <v>9201</v>
      </c>
      <c r="Q72" s="21">
        <v>3617</v>
      </c>
      <c r="R72" s="21">
        <v>5609</v>
      </c>
      <c r="S72" s="21">
        <v>9170</v>
      </c>
      <c r="T72" s="21">
        <v>4754</v>
      </c>
      <c r="U72" s="22">
        <v>604</v>
      </c>
      <c r="W72" s="15"/>
      <c r="AB72" s="147">
        <v>15</v>
      </c>
      <c r="AC72" s="148">
        <v>2.409934567372304</v>
      </c>
    </row>
    <row r="73" spans="1:29" s="19" customFormat="1" ht="27" customHeight="1" x14ac:dyDescent="0.3">
      <c r="A73" s="25" t="s">
        <v>76</v>
      </c>
      <c r="B73" s="20">
        <v>3112</v>
      </c>
      <c r="C73" s="21">
        <v>1812</v>
      </c>
      <c r="D73" s="21">
        <v>2843</v>
      </c>
      <c r="E73" s="21">
        <v>5383</v>
      </c>
      <c r="F73" s="21">
        <v>9401</v>
      </c>
      <c r="G73" s="21">
        <v>528</v>
      </c>
      <c r="H73" s="21">
        <v>8444</v>
      </c>
      <c r="I73" s="21">
        <v>7831</v>
      </c>
      <c r="J73" s="21">
        <v>8021</v>
      </c>
      <c r="K73" s="21">
        <v>3911</v>
      </c>
      <c r="L73" s="21">
        <v>1425</v>
      </c>
      <c r="M73" s="21">
        <v>3579</v>
      </c>
      <c r="N73" s="21">
        <v>9054</v>
      </c>
      <c r="O73" s="21">
        <v>2822</v>
      </c>
      <c r="P73" s="21">
        <v>4398</v>
      </c>
      <c r="Q73" s="21">
        <v>3785</v>
      </c>
      <c r="R73" s="21">
        <v>2559</v>
      </c>
      <c r="S73" s="21">
        <v>8073</v>
      </c>
      <c r="T73" s="21">
        <v>4430</v>
      </c>
      <c r="U73" s="22">
        <v>8656</v>
      </c>
      <c r="W73" s="15"/>
      <c r="AB73" s="147">
        <v>16</v>
      </c>
      <c r="AC73" s="148">
        <v>2.4148566921845926</v>
      </c>
    </row>
    <row r="74" spans="1:29" s="19" customFormat="1" ht="27" customHeight="1" x14ac:dyDescent="0.3">
      <c r="A74" s="25" t="s">
        <v>77</v>
      </c>
      <c r="B74" s="20">
        <v>2934</v>
      </c>
      <c r="C74" s="21">
        <v>6295</v>
      </c>
      <c r="D74" s="21">
        <v>6866</v>
      </c>
      <c r="E74" s="21">
        <v>284</v>
      </c>
      <c r="F74" s="21">
        <v>4161</v>
      </c>
      <c r="G74" s="21">
        <v>9414</v>
      </c>
      <c r="H74" s="21">
        <v>7258</v>
      </c>
      <c r="I74" s="21">
        <v>2336</v>
      </c>
      <c r="J74" s="21">
        <v>900</v>
      </c>
      <c r="K74" s="21">
        <v>1010</v>
      </c>
      <c r="L74" s="21">
        <v>6420</v>
      </c>
      <c r="M74" s="21">
        <v>9470</v>
      </c>
      <c r="N74" s="21">
        <v>7370</v>
      </c>
      <c r="O74" s="21">
        <v>6406</v>
      </c>
      <c r="P74" s="21">
        <v>5425</v>
      </c>
      <c r="Q74" s="21">
        <v>8385</v>
      </c>
      <c r="R74" s="21">
        <v>4129</v>
      </c>
      <c r="S74" s="21">
        <v>3655</v>
      </c>
      <c r="T74" s="21">
        <v>8826</v>
      </c>
      <c r="U74" s="22">
        <v>2257</v>
      </c>
      <c r="W74" s="15"/>
      <c r="AB74" s="147">
        <v>17</v>
      </c>
      <c r="AC74" s="148">
        <v>2.5063981801263897</v>
      </c>
    </row>
    <row r="75" spans="1:29" s="19" customFormat="1" ht="27" customHeight="1" x14ac:dyDescent="0.3">
      <c r="A75" s="25" t="s">
        <v>78</v>
      </c>
      <c r="B75" s="20">
        <v>5625</v>
      </c>
      <c r="C75" s="21">
        <v>9314</v>
      </c>
      <c r="D75" s="21">
        <v>5475</v>
      </c>
      <c r="E75" s="21">
        <v>8304</v>
      </c>
      <c r="F75" s="21">
        <v>5691</v>
      </c>
      <c r="G75" s="21">
        <v>5524</v>
      </c>
      <c r="H75" s="21">
        <v>5487</v>
      </c>
      <c r="I75" s="21">
        <v>6382</v>
      </c>
      <c r="J75" s="21">
        <v>5933</v>
      </c>
      <c r="K75" s="21">
        <v>7981</v>
      </c>
      <c r="L75" s="21">
        <v>4806</v>
      </c>
      <c r="M75" s="21">
        <v>7957</v>
      </c>
      <c r="N75" s="21">
        <v>8231</v>
      </c>
      <c r="O75" s="21">
        <v>4807</v>
      </c>
      <c r="P75" s="21">
        <v>6593</v>
      </c>
      <c r="Q75" s="21">
        <v>6278</v>
      </c>
      <c r="R75" s="21">
        <v>3516</v>
      </c>
      <c r="S75" s="21">
        <v>4272</v>
      </c>
      <c r="T75" s="21">
        <v>5558</v>
      </c>
      <c r="U75" s="22">
        <v>9863</v>
      </c>
      <c r="W75" s="15"/>
      <c r="AB75" s="147">
        <v>18</v>
      </c>
      <c r="AC75" s="148">
        <v>2.0977564717874086</v>
      </c>
    </row>
    <row r="76" spans="1:29" s="19" customFormat="1" ht="27" customHeight="1" x14ac:dyDescent="0.3">
      <c r="A76" s="25" t="s">
        <v>79</v>
      </c>
      <c r="B76" s="20">
        <v>5492</v>
      </c>
      <c r="C76" s="21">
        <v>7168</v>
      </c>
      <c r="D76" s="21">
        <v>9860</v>
      </c>
      <c r="E76" s="21">
        <v>3848</v>
      </c>
      <c r="F76" s="21">
        <v>3205</v>
      </c>
      <c r="G76" s="21">
        <v>2016</v>
      </c>
      <c r="H76" s="21">
        <v>6080</v>
      </c>
      <c r="I76" s="21">
        <v>4654</v>
      </c>
      <c r="J76" s="21">
        <v>1524</v>
      </c>
      <c r="K76" s="21">
        <v>8395</v>
      </c>
      <c r="L76" s="21">
        <v>3474</v>
      </c>
      <c r="M76" s="21">
        <v>6159</v>
      </c>
      <c r="N76" s="21">
        <v>1255</v>
      </c>
      <c r="O76" s="21">
        <v>2465</v>
      </c>
      <c r="P76" s="21">
        <v>6336</v>
      </c>
      <c r="Q76" s="21">
        <v>4913</v>
      </c>
      <c r="R76" s="21">
        <v>912</v>
      </c>
      <c r="S76" s="21">
        <v>5383</v>
      </c>
      <c r="T76" s="21">
        <v>7526</v>
      </c>
      <c r="U76" s="22">
        <v>2521</v>
      </c>
      <c r="W76" s="15"/>
      <c r="Z76" s="15"/>
      <c r="AB76" s="147">
        <v>19</v>
      </c>
      <c r="AC76" s="148">
        <v>2.189915988729271</v>
      </c>
    </row>
    <row r="77" spans="1:29" s="19" customFormat="1" ht="27" customHeight="1" x14ac:dyDescent="0.3">
      <c r="A77" s="25" t="s">
        <v>80</v>
      </c>
      <c r="B77" s="20">
        <v>6055</v>
      </c>
      <c r="C77" s="21">
        <v>5566</v>
      </c>
      <c r="D77" s="21">
        <v>25</v>
      </c>
      <c r="E77" s="21">
        <v>3924</v>
      </c>
      <c r="F77" s="21">
        <v>8097</v>
      </c>
      <c r="G77" s="21">
        <v>8966</v>
      </c>
      <c r="H77" s="21">
        <v>4548</v>
      </c>
      <c r="I77" s="21">
        <v>5104</v>
      </c>
      <c r="J77" s="21">
        <v>7192</v>
      </c>
      <c r="K77" s="21">
        <v>5682</v>
      </c>
      <c r="L77" s="21">
        <v>1391</v>
      </c>
      <c r="M77" s="21">
        <v>3292</v>
      </c>
      <c r="N77" s="21">
        <v>239</v>
      </c>
      <c r="O77" s="21">
        <v>4843</v>
      </c>
      <c r="P77" s="21">
        <v>6625</v>
      </c>
      <c r="Q77" s="21">
        <v>8474</v>
      </c>
      <c r="R77" s="21">
        <v>2293</v>
      </c>
      <c r="S77" s="21">
        <v>2199</v>
      </c>
      <c r="T77" s="21">
        <v>3441</v>
      </c>
      <c r="U77" s="22">
        <v>6818</v>
      </c>
      <c r="W77" s="15"/>
      <c r="Z77" s="15"/>
      <c r="AB77" s="147">
        <v>20</v>
      </c>
      <c r="AC77" s="148">
        <v>2.1957856136377072</v>
      </c>
    </row>
    <row r="78" spans="1:29" s="19" customFormat="1" ht="27" customHeight="1" x14ac:dyDescent="0.3">
      <c r="A78" s="25" t="s">
        <v>81</v>
      </c>
      <c r="B78" s="20">
        <v>7634</v>
      </c>
      <c r="C78" s="21">
        <v>7972</v>
      </c>
      <c r="D78" s="21">
        <v>2735</v>
      </c>
      <c r="E78" s="21">
        <v>1365</v>
      </c>
      <c r="F78" s="21">
        <v>243</v>
      </c>
      <c r="G78" s="21">
        <v>9415</v>
      </c>
      <c r="H78" s="21">
        <v>2440</v>
      </c>
      <c r="I78" s="21">
        <v>3996</v>
      </c>
      <c r="J78" s="21">
        <v>4250</v>
      </c>
      <c r="K78" s="21">
        <v>3788</v>
      </c>
      <c r="L78" s="21">
        <v>6479</v>
      </c>
      <c r="M78" s="21">
        <v>7954</v>
      </c>
      <c r="N78" s="21">
        <v>9000</v>
      </c>
      <c r="O78" s="21">
        <v>4613</v>
      </c>
      <c r="P78" s="21">
        <v>6660</v>
      </c>
      <c r="Q78" s="21">
        <v>8060</v>
      </c>
      <c r="R78" s="21">
        <v>3617</v>
      </c>
      <c r="S78" s="21">
        <v>1392</v>
      </c>
      <c r="T78" s="21">
        <v>9654</v>
      </c>
      <c r="U78" s="22">
        <v>4524</v>
      </c>
      <c r="W78" s="15"/>
      <c r="Z78" s="15"/>
      <c r="AB78" s="147">
        <v>21</v>
      </c>
      <c r="AC78" s="148">
        <v>2.165271538091794</v>
      </c>
    </row>
    <row r="79" spans="1:29" s="19" customFormat="1" ht="27" customHeight="1" x14ac:dyDescent="0.3">
      <c r="A79" s="25" t="s">
        <v>82</v>
      </c>
      <c r="B79" s="20">
        <v>2331</v>
      </c>
      <c r="C79" s="21">
        <v>4812</v>
      </c>
      <c r="D79" s="21">
        <v>6845</v>
      </c>
      <c r="E79" s="21">
        <v>1777</v>
      </c>
      <c r="F79" s="21">
        <v>7682</v>
      </c>
      <c r="G79" s="21">
        <v>8362</v>
      </c>
      <c r="H79" s="21">
        <v>881</v>
      </c>
      <c r="I79" s="21">
        <v>7964</v>
      </c>
      <c r="J79" s="21">
        <v>9723</v>
      </c>
      <c r="K79" s="21">
        <v>4535</v>
      </c>
      <c r="L79" s="21">
        <v>4133</v>
      </c>
      <c r="M79" s="21">
        <v>87</v>
      </c>
      <c r="N79" s="21">
        <v>9349</v>
      </c>
      <c r="O79" s="21">
        <v>7422</v>
      </c>
      <c r="P79" s="21">
        <v>4205</v>
      </c>
      <c r="Q79" s="21">
        <v>1776</v>
      </c>
      <c r="R79" s="21">
        <v>6459</v>
      </c>
      <c r="S79" s="21">
        <v>6878</v>
      </c>
      <c r="T79" s="21">
        <v>9392</v>
      </c>
      <c r="U79" s="22">
        <v>7244</v>
      </c>
      <c r="W79" s="15"/>
      <c r="Z79" s="15"/>
      <c r="AB79" s="147">
        <v>22</v>
      </c>
      <c r="AC79" s="148">
        <v>2.2617657334548147</v>
      </c>
    </row>
    <row r="80" spans="1:29" s="19" customFormat="1" ht="27" customHeight="1" x14ac:dyDescent="0.3">
      <c r="A80" s="25" t="s">
        <v>83</v>
      </c>
      <c r="B80" s="20">
        <v>7812</v>
      </c>
      <c r="C80" s="21">
        <v>7941</v>
      </c>
      <c r="D80" s="21">
        <v>2348</v>
      </c>
      <c r="E80" s="21">
        <v>645</v>
      </c>
      <c r="F80" s="21">
        <v>6523</v>
      </c>
      <c r="G80" s="21">
        <v>5106</v>
      </c>
      <c r="H80" s="21">
        <v>2354</v>
      </c>
      <c r="I80" s="21">
        <v>7712</v>
      </c>
      <c r="J80" s="21">
        <v>3915</v>
      </c>
      <c r="K80" s="21">
        <v>4000</v>
      </c>
      <c r="L80" s="21">
        <v>572</v>
      </c>
      <c r="M80" s="21">
        <v>8307</v>
      </c>
      <c r="N80" s="21">
        <v>1584</v>
      </c>
      <c r="O80" s="21">
        <v>8347</v>
      </c>
      <c r="P80" s="21">
        <v>7250</v>
      </c>
      <c r="Q80" s="21">
        <v>8202</v>
      </c>
      <c r="R80" s="21">
        <v>858</v>
      </c>
      <c r="S80" s="21">
        <v>4079</v>
      </c>
      <c r="T80" s="21">
        <v>6099</v>
      </c>
      <c r="U80" s="22">
        <v>7552</v>
      </c>
      <c r="W80" s="15"/>
      <c r="Z80" s="15"/>
      <c r="AB80" s="147">
        <v>23</v>
      </c>
      <c r="AC80" s="148">
        <v>2.1676657019555603</v>
      </c>
    </row>
    <row r="81" spans="1:29" s="19" customFormat="1" ht="27" customHeight="1" x14ac:dyDescent="0.3">
      <c r="A81" s="25" t="s">
        <v>84</v>
      </c>
      <c r="B81" s="20">
        <v>7562</v>
      </c>
      <c r="C81" s="21">
        <v>3394</v>
      </c>
      <c r="D81" s="21">
        <v>9956</v>
      </c>
      <c r="E81" s="21">
        <v>3740</v>
      </c>
      <c r="F81" s="21">
        <v>4665</v>
      </c>
      <c r="G81" s="21">
        <v>82</v>
      </c>
      <c r="H81" s="21">
        <v>7243</v>
      </c>
      <c r="I81" s="21">
        <v>6138</v>
      </c>
      <c r="J81" s="21">
        <v>279</v>
      </c>
      <c r="K81" s="21">
        <v>9030</v>
      </c>
      <c r="L81" s="21">
        <v>8435</v>
      </c>
      <c r="M81" s="21">
        <v>6603</v>
      </c>
      <c r="N81" s="21">
        <v>7988</v>
      </c>
      <c r="O81" s="21">
        <v>4995</v>
      </c>
      <c r="P81" s="21">
        <v>6027</v>
      </c>
      <c r="Q81" s="21">
        <v>2456</v>
      </c>
      <c r="R81" s="21">
        <v>709</v>
      </c>
      <c r="S81" s="21">
        <v>4210</v>
      </c>
      <c r="T81" s="21">
        <v>8939</v>
      </c>
      <c r="U81" s="22">
        <v>6466</v>
      </c>
      <c r="W81" s="15"/>
      <c r="Z81" s="15"/>
      <c r="AB81" s="147">
        <v>24</v>
      </c>
      <c r="AC81" s="148">
        <v>2.1356360907661935</v>
      </c>
    </row>
    <row r="82" spans="1:29" s="19" customFormat="1" ht="27" customHeight="1" x14ac:dyDescent="0.3">
      <c r="A82" s="25" t="s">
        <v>85</v>
      </c>
      <c r="B82" s="20">
        <v>5893</v>
      </c>
      <c r="C82" s="21">
        <v>6713</v>
      </c>
      <c r="D82" s="21">
        <v>6847</v>
      </c>
      <c r="E82" s="21">
        <v>1797</v>
      </c>
      <c r="F82" s="21">
        <v>2000</v>
      </c>
      <c r="G82" s="21">
        <v>984</v>
      </c>
      <c r="H82" s="21">
        <v>3873</v>
      </c>
      <c r="I82" s="21">
        <v>6040</v>
      </c>
      <c r="J82" s="21">
        <v>9700</v>
      </c>
      <c r="K82" s="21">
        <v>2195</v>
      </c>
      <c r="L82" s="21">
        <v>6713</v>
      </c>
      <c r="M82" s="21">
        <v>4503</v>
      </c>
      <c r="N82" s="21">
        <v>5012</v>
      </c>
      <c r="O82" s="21">
        <v>9225</v>
      </c>
      <c r="P82" s="21">
        <v>5285</v>
      </c>
      <c r="Q82" s="21">
        <v>8439</v>
      </c>
      <c r="R82" s="21">
        <v>4926</v>
      </c>
      <c r="S82" s="21">
        <v>8250</v>
      </c>
      <c r="T82" s="21">
        <v>9390</v>
      </c>
      <c r="U82" s="22">
        <v>783</v>
      </c>
      <c r="W82" s="15"/>
      <c r="Z82" s="15"/>
      <c r="AB82" s="147">
        <v>25</v>
      </c>
      <c r="AC82" s="148">
        <v>2.1414903648181114</v>
      </c>
    </row>
    <row r="83" spans="1:29" s="19" customFormat="1" ht="27" customHeight="1" x14ac:dyDescent="0.3">
      <c r="A83" s="25" t="s">
        <v>86</v>
      </c>
      <c r="B83" s="20">
        <v>199</v>
      </c>
      <c r="C83" s="21">
        <v>7484</v>
      </c>
      <c r="D83" s="21">
        <v>9909</v>
      </c>
      <c r="E83" s="21">
        <v>9579</v>
      </c>
      <c r="F83" s="21">
        <v>409</v>
      </c>
      <c r="G83" s="21">
        <v>30</v>
      </c>
      <c r="H83" s="21">
        <v>6406</v>
      </c>
      <c r="I83" s="21">
        <v>3923</v>
      </c>
      <c r="J83" s="21">
        <v>1046</v>
      </c>
      <c r="K83" s="21">
        <v>5262</v>
      </c>
      <c r="L83" s="21">
        <v>5392</v>
      </c>
      <c r="M83" s="21">
        <v>6031</v>
      </c>
      <c r="N83" s="21">
        <v>1014</v>
      </c>
      <c r="O83" s="21">
        <v>2433</v>
      </c>
      <c r="P83" s="21">
        <v>6341</v>
      </c>
      <c r="Q83" s="21">
        <v>6644</v>
      </c>
      <c r="R83" s="21">
        <v>73</v>
      </c>
      <c r="S83" s="21">
        <v>7724</v>
      </c>
      <c r="T83" s="21">
        <v>8904</v>
      </c>
      <c r="U83" s="22">
        <v>7070</v>
      </c>
      <c r="W83" s="15"/>
      <c r="Z83" s="15"/>
      <c r="AB83" s="147">
        <v>26</v>
      </c>
      <c r="AC83" s="148">
        <v>2.111257982574505</v>
      </c>
    </row>
    <row r="84" spans="1:29" s="19" customFormat="1" ht="21" customHeight="1" x14ac:dyDescent="0.3">
      <c r="A84" s="25" t="s">
        <v>87</v>
      </c>
      <c r="B84" s="20">
        <v>7697</v>
      </c>
      <c r="C84" s="21">
        <v>4469</v>
      </c>
      <c r="D84" s="21">
        <v>59</v>
      </c>
      <c r="E84" s="21">
        <v>4518</v>
      </c>
      <c r="F84" s="21">
        <v>1289</v>
      </c>
      <c r="G84" s="21">
        <v>1553</v>
      </c>
      <c r="H84" s="21">
        <v>9933</v>
      </c>
      <c r="I84" s="21">
        <v>8637</v>
      </c>
      <c r="J84" s="21">
        <v>9537</v>
      </c>
      <c r="K84" s="21">
        <v>1152</v>
      </c>
      <c r="L84" s="21">
        <v>4729</v>
      </c>
      <c r="M84" s="21">
        <v>7841</v>
      </c>
      <c r="N84" s="21">
        <v>5832</v>
      </c>
      <c r="O84" s="21">
        <v>9540</v>
      </c>
      <c r="P84" s="21">
        <v>5294</v>
      </c>
      <c r="Q84" s="21">
        <v>6266</v>
      </c>
      <c r="R84" s="21">
        <v>6239</v>
      </c>
      <c r="S84" s="21">
        <v>9444</v>
      </c>
      <c r="T84" s="21">
        <v>8610</v>
      </c>
      <c r="U84" s="22">
        <v>5044</v>
      </c>
      <c r="W84" s="15"/>
      <c r="Z84" s="15"/>
      <c r="AB84" s="147">
        <v>27</v>
      </c>
      <c r="AC84" s="148">
        <v>2.0300843823306924</v>
      </c>
    </row>
    <row r="85" spans="1:29" s="19" customFormat="1" ht="21" customHeight="1" x14ac:dyDescent="0.3">
      <c r="A85" s="25" t="s">
        <v>88</v>
      </c>
      <c r="B85" s="20">
        <v>6162</v>
      </c>
      <c r="C85" s="21">
        <v>4565</v>
      </c>
      <c r="D85" s="21">
        <v>2571</v>
      </c>
      <c r="E85" s="21">
        <v>5902</v>
      </c>
      <c r="F85" s="21">
        <v>8502</v>
      </c>
      <c r="G85" s="21">
        <v>5615</v>
      </c>
      <c r="H85" s="21">
        <v>3372</v>
      </c>
      <c r="I85" s="21">
        <v>5456</v>
      </c>
      <c r="J85" s="21">
        <v>5012</v>
      </c>
      <c r="K85" s="21">
        <v>3049</v>
      </c>
      <c r="L85" s="21">
        <v>9543</v>
      </c>
      <c r="M85" s="21">
        <v>2068</v>
      </c>
      <c r="N85" s="21">
        <v>7871</v>
      </c>
      <c r="O85" s="21">
        <v>3972</v>
      </c>
      <c r="P85" s="21">
        <v>160</v>
      </c>
      <c r="Q85" s="21">
        <v>983</v>
      </c>
      <c r="R85" s="21">
        <v>7729</v>
      </c>
      <c r="S85" s="21">
        <v>8036</v>
      </c>
      <c r="T85" s="21">
        <v>1535</v>
      </c>
      <c r="U85" s="22">
        <v>4958</v>
      </c>
      <c r="W85" s="15"/>
      <c r="Z85" s="15"/>
      <c r="AB85" s="147">
        <v>28</v>
      </c>
      <c r="AC85" s="148">
        <v>2.0041968045895335</v>
      </c>
    </row>
    <row r="86" spans="1:29" s="19" customFormat="1" ht="21" customHeight="1" x14ac:dyDescent="0.3">
      <c r="A86" s="25" t="s">
        <v>89</v>
      </c>
      <c r="B86" s="20">
        <v>4117</v>
      </c>
      <c r="C86" s="21">
        <v>4616</v>
      </c>
      <c r="D86" s="21">
        <v>7246</v>
      </c>
      <c r="E86" s="21">
        <v>3820</v>
      </c>
      <c r="F86" s="21">
        <v>3959</v>
      </c>
      <c r="G86" s="21">
        <v>8125</v>
      </c>
      <c r="H86" s="21">
        <v>4295</v>
      </c>
      <c r="I86" s="21">
        <v>1272</v>
      </c>
      <c r="J86" s="21">
        <v>9037</v>
      </c>
      <c r="K86" s="21">
        <v>2069</v>
      </c>
      <c r="L86" s="21">
        <v>3613</v>
      </c>
      <c r="M86" s="21">
        <v>9342</v>
      </c>
      <c r="N86" s="21">
        <v>3218</v>
      </c>
      <c r="O86" s="21">
        <v>1165</v>
      </c>
      <c r="P86" s="21">
        <v>9189</v>
      </c>
      <c r="Q86" s="21">
        <v>6114</v>
      </c>
      <c r="R86" s="21">
        <v>2147</v>
      </c>
      <c r="S86" s="21">
        <v>901</v>
      </c>
      <c r="T86" s="21">
        <v>6370</v>
      </c>
      <c r="U86" s="22">
        <v>3438</v>
      </c>
      <c r="W86" s="15"/>
      <c r="Z86"/>
      <c r="AA86"/>
      <c r="AB86" s="147">
        <v>29</v>
      </c>
      <c r="AC86" s="148">
        <v>1.9128232356857688</v>
      </c>
    </row>
    <row r="87" spans="1:29" s="19" customFormat="1" ht="21" customHeight="1" x14ac:dyDescent="0.3">
      <c r="A87" s="25" t="s">
        <v>90</v>
      </c>
      <c r="B87" s="20">
        <v>1066</v>
      </c>
      <c r="C87" s="21">
        <v>3562</v>
      </c>
      <c r="D87" s="21">
        <v>3126</v>
      </c>
      <c r="E87" s="21">
        <v>8241</v>
      </c>
      <c r="F87" s="21">
        <v>803</v>
      </c>
      <c r="G87" s="21">
        <v>123</v>
      </c>
      <c r="H87" s="21">
        <v>1427</v>
      </c>
      <c r="I87" s="21">
        <v>3608</v>
      </c>
      <c r="J87" s="21">
        <v>703</v>
      </c>
      <c r="K87" s="21">
        <v>1063</v>
      </c>
      <c r="L87" s="21">
        <v>1948</v>
      </c>
      <c r="M87" s="21">
        <v>201</v>
      </c>
      <c r="N87" s="21">
        <v>3456</v>
      </c>
      <c r="O87" s="21">
        <v>7100</v>
      </c>
      <c r="P87" s="21">
        <v>2266</v>
      </c>
      <c r="Q87" s="21">
        <v>2760</v>
      </c>
      <c r="R87" s="21">
        <v>9045</v>
      </c>
      <c r="S87" s="21">
        <v>3738</v>
      </c>
      <c r="T87" s="21">
        <v>3793</v>
      </c>
      <c r="U87" s="22">
        <v>8591</v>
      </c>
      <c r="W87" s="15"/>
      <c r="Z87"/>
      <c r="AA87"/>
      <c r="AB87" s="147">
        <v>30</v>
      </c>
      <c r="AC87" s="148">
        <v>1.8654077762425305</v>
      </c>
    </row>
    <row r="88" spans="1:29" s="19" customFormat="1" ht="21" customHeight="1" x14ac:dyDescent="0.3">
      <c r="A88" s="25" t="s">
        <v>91</v>
      </c>
      <c r="B88" s="20">
        <v>125</v>
      </c>
      <c r="C88" s="21">
        <v>8379</v>
      </c>
      <c r="D88" s="21">
        <v>3654</v>
      </c>
      <c r="E88" s="21">
        <v>8872</v>
      </c>
      <c r="F88" s="21">
        <v>4666</v>
      </c>
      <c r="G88" s="21">
        <v>3380</v>
      </c>
      <c r="H88" s="21">
        <v>7434</v>
      </c>
      <c r="I88" s="21">
        <v>5174</v>
      </c>
      <c r="J88" s="21">
        <v>2119</v>
      </c>
      <c r="K88" s="21">
        <v>7971</v>
      </c>
      <c r="L88" s="21">
        <v>7164</v>
      </c>
      <c r="M88" s="21">
        <v>1713</v>
      </c>
      <c r="N88" s="21">
        <v>8877</v>
      </c>
      <c r="O88" s="21">
        <v>3200</v>
      </c>
      <c r="P88" s="21">
        <v>4017</v>
      </c>
      <c r="Q88" s="21">
        <v>5692</v>
      </c>
      <c r="R88" s="21">
        <v>1847</v>
      </c>
      <c r="S88" s="21">
        <v>839</v>
      </c>
      <c r="T88" s="21">
        <v>7935</v>
      </c>
      <c r="U88" s="22">
        <v>2023</v>
      </c>
      <c r="W88" s="15"/>
      <c r="Z88"/>
      <c r="AA88"/>
      <c r="AB88" s="147">
        <v>31</v>
      </c>
      <c r="AC88" s="148">
        <v>1.8774766267875782</v>
      </c>
    </row>
    <row r="89" spans="1:29" s="19" customFormat="1" ht="21" customHeight="1" x14ac:dyDescent="0.3">
      <c r="A89" s="25" t="s">
        <v>92</v>
      </c>
      <c r="B89" s="20">
        <v>5813</v>
      </c>
      <c r="C89" s="21">
        <v>6964</v>
      </c>
      <c r="D89" s="21">
        <v>5251</v>
      </c>
      <c r="E89" s="21">
        <v>6872</v>
      </c>
      <c r="F89" s="21">
        <v>2856</v>
      </c>
      <c r="G89" s="21">
        <v>6645</v>
      </c>
      <c r="H89" s="21">
        <v>3108</v>
      </c>
      <c r="I89" s="21">
        <v>9109</v>
      </c>
      <c r="J89" s="21">
        <v>2611</v>
      </c>
      <c r="K89" s="21">
        <v>8366</v>
      </c>
      <c r="L89" s="21">
        <v>4263</v>
      </c>
      <c r="M89" s="21">
        <v>6150</v>
      </c>
      <c r="N89" s="21">
        <v>7148</v>
      </c>
      <c r="O89" s="21">
        <v>7630</v>
      </c>
      <c r="P89" s="21">
        <v>5169</v>
      </c>
      <c r="Q89" s="21">
        <v>2506</v>
      </c>
      <c r="R89" s="21">
        <v>2779</v>
      </c>
      <c r="S89" s="21">
        <v>7791</v>
      </c>
      <c r="T89" s="21">
        <v>6449</v>
      </c>
      <c r="U89" s="22">
        <v>9991</v>
      </c>
      <c r="W89" s="15"/>
      <c r="Z89"/>
      <c r="AA89"/>
      <c r="AB89" s="147">
        <v>32</v>
      </c>
      <c r="AC89" s="148">
        <v>1.8461478654878822</v>
      </c>
    </row>
    <row r="90" spans="1:29" s="19" customFormat="1" ht="21" customHeight="1" x14ac:dyDescent="0.3">
      <c r="A90" s="25" t="s">
        <v>93</v>
      </c>
      <c r="B90" s="20">
        <v>1717</v>
      </c>
      <c r="C90" s="21">
        <v>2815</v>
      </c>
      <c r="D90" s="21">
        <v>9008</v>
      </c>
      <c r="E90" s="21">
        <v>1040</v>
      </c>
      <c r="F90" s="21">
        <v>1851</v>
      </c>
      <c r="G90" s="21">
        <v>7123</v>
      </c>
      <c r="H90" s="21">
        <v>5583</v>
      </c>
      <c r="I90" s="21">
        <v>3879</v>
      </c>
      <c r="J90" s="21">
        <v>5788</v>
      </c>
      <c r="K90" s="21">
        <v>697</v>
      </c>
      <c r="L90" s="21">
        <v>767</v>
      </c>
      <c r="M90" s="21">
        <v>4143</v>
      </c>
      <c r="N90" s="21">
        <v>9382</v>
      </c>
      <c r="O90" s="21">
        <v>115</v>
      </c>
      <c r="P90" s="21">
        <v>8385</v>
      </c>
      <c r="Q90" s="21">
        <v>5990</v>
      </c>
      <c r="R90" s="21">
        <v>5632</v>
      </c>
      <c r="S90" s="21">
        <v>1367</v>
      </c>
      <c r="T90" s="21">
        <v>8348</v>
      </c>
      <c r="U90" s="22">
        <v>3680</v>
      </c>
      <c r="W90" s="15"/>
      <c r="Z90"/>
      <c r="AA90"/>
      <c r="AB90" s="147">
        <v>33</v>
      </c>
      <c r="AC90" s="148">
        <v>1.771859819099564</v>
      </c>
    </row>
    <row r="91" spans="1:29" s="19" customFormat="1" ht="21" customHeight="1" x14ac:dyDescent="0.3">
      <c r="A91" s="25" t="s">
        <v>94</v>
      </c>
      <c r="B91" s="20">
        <v>7367</v>
      </c>
      <c r="C91" s="21">
        <v>5035</v>
      </c>
      <c r="D91" s="21">
        <v>5227</v>
      </c>
      <c r="E91" s="21">
        <v>7426</v>
      </c>
      <c r="F91" s="21">
        <v>2711</v>
      </c>
      <c r="G91" s="21">
        <v>2105</v>
      </c>
      <c r="H91" s="21">
        <v>7154</v>
      </c>
      <c r="I91" s="21">
        <v>6599</v>
      </c>
      <c r="J91" s="21">
        <v>6555</v>
      </c>
      <c r="K91" s="21">
        <v>4031</v>
      </c>
      <c r="L91" s="21">
        <v>3047</v>
      </c>
      <c r="M91" s="21">
        <v>4814</v>
      </c>
      <c r="N91" s="21">
        <v>3294</v>
      </c>
      <c r="O91" s="21">
        <v>1872</v>
      </c>
      <c r="P91" s="21">
        <v>4229</v>
      </c>
      <c r="Q91" s="21">
        <v>3340</v>
      </c>
      <c r="R91" s="21">
        <v>1484</v>
      </c>
      <c r="S91" s="21">
        <v>5713</v>
      </c>
      <c r="T91" s="21">
        <v>8836</v>
      </c>
      <c r="U91" s="22">
        <v>9315</v>
      </c>
      <c r="W91" s="15"/>
      <c r="Z91"/>
      <c r="AA91"/>
      <c r="AB91" s="147">
        <v>34</v>
      </c>
      <c r="AC91" s="148">
        <v>1.7726550128471199</v>
      </c>
    </row>
    <row r="92" spans="1:29" s="19" customFormat="1" ht="21" customHeight="1" x14ac:dyDescent="0.3">
      <c r="A92" s="25" t="s">
        <v>95</v>
      </c>
      <c r="B92" s="20">
        <v>6138</v>
      </c>
      <c r="C92" s="21">
        <v>7708</v>
      </c>
      <c r="D92" s="21">
        <v>3329</v>
      </c>
      <c r="E92" s="21">
        <v>7833</v>
      </c>
      <c r="F92" s="21">
        <v>4696</v>
      </c>
      <c r="G92" s="21">
        <v>6148</v>
      </c>
      <c r="H92" s="21">
        <v>830</v>
      </c>
      <c r="I92" s="21">
        <v>6895</v>
      </c>
      <c r="J92" s="21">
        <v>9834</v>
      </c>
      <c r="K92" s="21">
        <v>5143</v>
      </c>
      <c r="L92" s="21">
        <v>970</v>
      </c>
      <c r="M92" s="21">
        <v>3597</v>
      </c>
      <c r="N92" s="21">
        <v>9238</v>
      </c>
      <c r="O92" s="21">
        <v>3480</v>
      </c>
      <c r="P92" s="21">
        <v>8660</v>
      </c>
      <c r="Q92" s="21">
        <v>8002</v>
      </c>
      <c r="R92" s="21">
        <v>9324</v>
      </c>
      <c r="S92" s="21">
        <v>6255</v>
      </c>
      <c r="T92" s="21">
        <v>8965</v>
      </c>
      <c r="U92" s="22">
        <v>2831</v>
      </c>
      <c r="W92" s="15"/>
      <c r="Z92"/>
      <c r="AA92"/>
      <c r="AB92" s="147">
        <v>35</v>
      </c>
      <c r="AC92" s="148">
        <v>1.7738752706690366</v>
      </c>
    </row>
    <row r="93" spans="1:29" s="19" customFormat="1" ht="21" customHeight="1" x14ac:dyDescent="0.3">
      <c r="A93" s="25" t="s">
        <v>96</v>
      </c>
      <c r="B93" s="20">
        <v>8226</v>
      </c>
      <c r="C93" s="21">
        <v>4446</v>
      </c>
      <c r="D93" s="21">
        <v>4354</v>
      </c>
      <c r="E93" s="21">
        <v>7846</v>
      </c>
      <c r="F93" s="21">
        <v>3903</v>
      </c>
      <c r="G93" s="21">
        <v>4144</v>
      </c>
      <c r="H93" s="21">
        <v>5270</v>
      </c>
      <c r="I93" s="21">
        <v>7135</v>
      </c>
      <c r="J93" s="21">
        <v>6550</v>
      </c>
      <c r="K93" s="21">
        <v>2549</v>
      </c>
      <c r="L93" s="21">
        <v>8523</v>
      </c>
      <c r="M93" s="21">
        <v>3263</v>
      </c>
      <c r="N93" s="21">
        <v>5571</v>
      </c>
      <c r="O93" s="21">
        <v>6101</v>
      </c>
      <c r="P93" s="21">
        <v>2027</v>
      </c>
      <c r="Q93" s="21">
        <v>3209</v>
      </c>
      <c r="R93" s="21">
        <v>9343</v>
      </c>
      <c r="S93" s="21">
        <v>7170</v>
      </c>
      <c r="T93" s="21">
        <v>6334</v>
      </c>
      <c r="U93" s="22">
        <v>435</v>
      </c>
      <c r="W93" s="15"/>
      <c r="Z93"/>
      <c r="AA93"/>
      <c r="AB93" s="147">
        <v>36</v>
      </c>
      <c r="AC93" s="148">
        <v>1.7030370052323185</v>
      </c>
    </row>
    <row r="94" spans="1:29" s="19" customFormat="1" ht="21" customHeight="1" x14ac:dyDescent="0.3">
      <c r="A94" s="25" t="s">
        <v>97</v>
      </c>
      <c r="B94" s="20">
        <v>3831</v>
      </c>
      <c r="C94" s="21">
        <v>1251</v>
      </c>
      <c r="D94" s="21">
        <v>1195</v>
      </c>
      <c r="E94" s="21">
        <v>1183</v>
      </c>
      <c r="F94" s="21">
        <v>529</v>
      </c>
      <c r="G94" s="21">
        <v>8020</v>
      </c>
      <c r="H94" s="21">
        <v>2453</v>
      </c>
      <c r="I94" s="21">
        <v>8749</v>
      </c>
      <c r="J94" s="21">
        <v>4520</v>
      </c>
      <c r="K94" s="21">
        <v>3803</v>
      </c>
      <c r="L94" s="21">
        <v>551</v>
      </c>
      <c r="M94" s="21">
        <v>2761</v>
      </c>
      <c r="N94" s="21">
        <v>1962</v>
      </c>
      <c r="O94" s="21">
        <v>3711</v>
      </c>
      <c r="P94" s="21">
        <v>634</v>
      </c>
      <c r="Q94" s="21">
        <v>5563</v>
      </c>
      <c r="R94" s="21">
        <v>5570</v>
      </c>
      <c r="S94" s="21">
        <v>2839</v>
      </c>
      <c r="T94" s="21">
        <v>2816</v>
      </c>
      <c r="U94" s="22">
        <v>4623</v>
      </c>
      <c r="W94" s="15"/>
      <c r="Z94"/>
      <c r="AA94"/>
      <c r="AB94" s="147">
        <v>37</v>
      </c>
      <c r="AC94" s="148">
        <v>1.7164896321708423</v>
      </c>
    </row>
    <row r="95" spans="1:29" s="19" customFormat="1" ht="21" customHeight="1" x14ac:dyDescent="0.3">
      <c r="A95" s="25" t="s">
        <v>98</v>
      </c>
      <c r="B95" s="20">
        <v>7898</v>
      </c>
      <c r="C95" s="21">
        <v>3747</v>
      </c>
      <c r="D95" s="21">
        <v>1128</v>
      </c>
      <c r="E95" s="21">
        <v>7076</v>
      </c>
      <c r="F95" s="21">
        <v>3982</v>
      </c>
      <c r="G95" s="21">
        <v>2972</v>
      </c>
      <c r="H95" s="21">
        <v>8695</v>
      </c>
      <c r="I95" s="21">
        <v>4244</v>
      </c>
      <c r="J95" s="21">
        <v>5139</v>
      </c>
      <c r="K95" s="21">
        <v>3042</v>
      </c>
      <c r="L95" s="21">
        <v>4744</v>
      </c>
      <c r="M95" s="21">
        <v>3852</v>
      </c>
      <c r="N95" s="21">
        <v>4017</v>
      </c>
      <c r="O95" s="21">
        <v>7584</v>
      </c>
      <c r="P95" s="21">
        <v>8197</v>
      </c>
      <c r="Q95" s="21">
        <v>9868</v>
      </c>
      <c r="R95" s="21">
        <v>4110</v>
      </c>
      <c r="S95" s="21">
        <v>3259</v>
      </c>
      <c r="T95" s="21">
        <v>4878</v>
      </c>
      <c r="U95" s="22">
        <v>1498</v>
      </c>
      <c r="W95" s="15"/>
      <c r="Z95"/>
      <c r="AA95"/>
      <c r="AB95" s="147">
        <v>38</v>
      </c>
      <c r="AC95" s="148">
        <v>1.7135992807135647</v>
      </c>
    </row>
    <row r="96" spans="1:29" s="19" customFormat="1" ht="21" customHeight="1" x14ac:dyDescent="0.3">
      <c r="A96" s="25" t="s">
        <v>99</v>
      </c>
      <c r="B96" s="20">
        <v>8570</v>
      </c>
      <c r="C96" s="21">
        <v>2532</v>
      </c>
      <c r="D96" s="21">
        <v>260</v>
      </c>
      <c r="E96" s="21">
        <v>9987</v>
      </c>
      <c r="F96" s="21">
        <v>1841</v>
      </c>
      <c r="G96" s="21">
        <v>3686</v>
      </c>
      <c r="H96" s="21">
        <v>3098</v>
      </c>
      <c r="I96" s="21">
        <v>5772</v>
      </c>
      <c r="J96" s="21">
        <v>1706</v>
      </c>
      <c r="K96" s="21">
        <v>5585</v>
      </c>
      <c r="L96" s="21">
        <v>1211</v>
      </c>
      <c r="M96" s="21">
        <v>2848</v>
      </c>
      <c r="N96" s="21">
        <v>984</v>
      </c>
      <c r="O96" s="21">
        <v>6095</v>
      </c>
      <c r="P96" s="21">
        <v>4637</v>
      </c>
      <c r="Q96" s="21">
        <v>7053</v>
      </c>
      <c r="R96" s="21">
        <v>2629</v>
      </c>
      <c r="S96" s="21">
        <v>6090</v>
      </c>
      <c r="T96" s="21">
        <v>2049</v>
      </c>
      <c r="U96" s="22">
        <v>4581</v>
      </c>
      <c r="W96" s="15"/>
      <c r="Z96"/>
      <c r="AA96"/>
      <c r="AB96" s="147">
        <v>39</v>
      </c>
      <c r="AC96" s="148">
        <v>1.719473096357462</v>
      </c>
    </row>
    <row r="97" spans="1:29" s="19" customFormat="1" ht="21" customHeight="1" x14ac:dyDescent="0.3">
      <c r="A97" s="25" t="s">
        <v>100</v>
      </c>
      <c r="B97" s="20">
        <v>962</v>
      </c>
      <c r="C97" s="21">
        <v>9301</v>
      </c>
      <c r="D97" s="21">
        <v>7573</v>
      </c>
      <c r="E97" s="21">
        <v>2475</v>
      </c>
      <c r="F97" s="21">
        <v>3675</v>
      </c>
      <c r="G97" s="21">
        <v>7327</v>
      </c>
      <c r="H97" s="21">
        <v>9651</v>
      </c>
      <c r="I97" s="21">
        <v>9726</v>
      </c>
      <c r="J97" s="21">
        <v>8771</v>
      </c>
      <c r="K97" s="21">
        <v>5638</v>
      </c>
      <c r="L97" s="21">
        <v>753</v>
      </c>
      <c r="M97" s="21">
        <v>4058</v>
      </c>
      <c r="N97" s="21">
        <v>8699</v>
      </c>
      <c r="O97" s="21">
        <v>6977</v>
      </c>
      <c r="P97" s="21">
        <v>9530</v>
      </c>
      <c r="Q97" s="21">
        <v>7473</v>
      </c>
      <c r="R97" s="21">
        <v>1097</v>
      </c>
      <c r="S97" s="21">
        <v>9148</v>
      </c>
      <c r="T97" s="21">
        <v>4153</v>
      </c>
      <c r="U97" s="22">
        <v>752</v>
      </c>
      <c r="W97" s="15"/>
      <c r="Z97"/>
      <c r="AA97"/>
      <c r="AB97" s="147">
        <v>40</v>
      </c>
      <c r="AC97" s="148">
        <v>1.7228328794670034</v>
      </c>
    </row>
    <row r="98" spans="1:29" s="19" customFormat="1" ht="21" customHeight="1" x14ac:dyDescent="0.3">
      <c r="A98" s="25" t="s">
        <v>101</v>
      </c>
      <c r="B98" s="20">
        <v>671</v>
      </c>
      <c r="C98" s="21">
        <v>7273</v>
      </c>
      <c r="D98" s="21">
        <v>6019</v>
      </c>
      <c r="E98" s="21">
        <v>1225</v>
      </c>
      <c r="F98" s="21">
        <v>4827</v>
      </c>
      <c r="G98" s="21">
        <v>4484</v>
      </c>
      <c r="H98" s="21">
        <v>63</v>
      </c>
      <c r="I98" s="21">
        <v>8955</v>
      </c>
      <c r="J98" s="21">
        <v>5823</v>
      </c>
      <c r="K98" s="21">
        <v>7886</v>
      </c>
      <c r="L98" s="21">
        <v>3050</v>
      </c>
      <c r="M98" s="21">
        <v>8464</v>
      </c>
      <c r="N98" s="21">
        <v>6928</v>
      </c>
      <c r="O98" s="21">
        <v>9968</v>
      </c>
      <c r="P98" s="21">
        <v>4593</v>
      </c>
      <c r="Q98" s="21">
        <v>492</v>
      </c>
      <c r="R98" s="21">
        <v>4904</v>
      </c>
      <c r="S98" s="21">
        <v>6745</v>
      </c>
      <c r="T98" s="21">
        <v>6703</v>
      </c>
      <c r="U98" s="22">
        <v>6523</v>
      </c>
      <c r="W98" s="15"/>
      <c r="Z98"/>
      <c r="AA98"/>
      <c r="AB98" s="147">
        <v>41</v>
      </c>
      <c r="AC98" s="148">
        <v>1.7713625498816368</v>
      </c>
    </row>
    <row r="99" spans="1:29" s="19" customFormat="1" ht="21" customHeight="1" x14ac:dyDescent="0.3">
      <c r="A99" s="25" t="s">
        <v>102</v>
      </c>
      <c r="B99" s="20">
        <v>8985</v>
      </c>
      <c r="C99" s="21">
        <v>7689</v>
      </c>
      <c r="D99" s="21">
        <v>5145</v>
      </c>
      <c r="E99" s="21">
        <v>2883</v>
      </c>
      <c r="F99" s="21">
        <v>2357</v>
      </c>
      <c r="G99" s="21">
        <v>6403</v>
      </c>
      <c r="H99" s="21">
        <v>3820</v>
      </c>
      <c r="I99" s="21">
        <v>3935</v>
      </c>
      <c r="J99" s="21">
        <v>775</v>
      </c>
      <c r="K99" s="21">
        <v>9071</v>
      </c>
      <c r="L99" s="21">
        <v>9412</v>
      </c>
      <c r="M99" s="21">
        <v>1858</v>
      </c>
      <c r="N99" s="21">
        <v>2057</v>
      </c>
      <c r="O99" s="21">
        <v>2260</v>
      </c>
      <c r="P99" s="21">
        <v>2720</v>
      </c>
      <c r="Q99" s="21">
        <v>8714</v>
      </c>
      <c r="R99" s="21">
        <v>3669</v>
      </c>
      <c r="S99" s="21">
        <v>7210</v>
      </c>
      <c r="T99" s="21">
        <v>559</v>
      </c>
      <c r="U99" s="22">
        <v>8130</v>
      </c>
      <c r="W99" s="15"/>
      <c r="Z99"/>
      <c r="AA99"/>
      <c r="AB99" s="147">
        <v>42</v>
      </c>
      <c r="AC99" s="148">
        <v>1.7614771574035326</v>
      </c>
    </row>
    <row r="100" spans="1:29" s="19" customFormat="1" ht="21" customHeight="1" x14ac:dyDescent="0.3">
      <c r="A100" s="25" t="s">
        <v>103</v>
      </c>
      <c r="B100" s="20">
        <v>3109</v>
      </c>
      <c r="C100" s="21">
        <v>5929</v>
      </c>
      <c r="D100" s="21">
        <v>4226</v>
      </c>
      <c r="E100" s="21">
        <v>4506</v>
      </c>
      <c r="F100" s="21">
        <v>5409</v>
      </c>
      <c r="G100" s="21">
        <v>194</v>
      </c>
      <c r="H100" s="21">
        <v>9066</v>
      </c>
      <c r="I100" s="21">
        <v>5302</v>
      </c>
      <c r="J100" s="21">
        <v>3322</v>
      </c>
      <c r="K100" s="21">
        <v>4395</v>
      </c>
      <c r="L100" s="21">
        <v>861</v>
      </c>
      <c r="M100" s="21">
        <v>5260</v>
      </c>
      <c r="N100" s="21">
        <v>8181</v>
      </c>
      <c r="O100" s="21">
        <v>1552</v>
      </c>
      <c r="P100" s="21">
        <v>9066</v>
      </c>
      <c r="Q100" s="21">
        <v>658</v>
      </c>
      <c r="R100" s="21">
        <v>7085</v>
      </c>
      <c r="S100" s="21">
        <v>7161</v>
      </c>
      <c r="T100" s="21">
        <v>406</v>
      </c>
      <c r="U100" s="22">
        <v>2193</v>
      </c>
      <c r="W100" s="15"/>
      <c r="Z100"/>
      <c r="AA100"/>
      <c r="AB100" s="147">
        <v>43</v>
      </c>
      <c r="AC100" s="148">
        <v>1.7613265078019373</v>
      </c>
    </row>
    <row r="101" spans="1:29" s="19" customFormat="1" ht="21" customHeight="1" x14ac:dyDescent="0.3">
      <c r="A101" s="25" t="s">
        <v>104</v>
      </c>
      <c r="B101" s="20">
        <v>6620</v>
      </c>
      <c r="C101" s="21">
        <v>6813</v>
      </c>
      <c r="D101" s="21">
        <v>649</v>
      </c>
      <c r="E101" s="21">
        <v>1213</v>
      </c>
      <c r="F101" s="21">
        <v>5956</v>
      </c>
      <c r="G101" s="21">
        <v>2652</v>
      </c>
      <c r="H101" s="21">
        <v>465</v>
      </c>
      <c r="I101" s="21">
        <v>145</v>
      </c>
      <c r="J101" s="21">
        <v>9358</v>
      </c>
      <c r="K101" s="21">
        <v>2455</v>
      </c>
      <c r="L101" s="21">
        <v>8992</v>
      </c>
      <c r="M101" s="21">
        <v>4933</v>
      </c>
      <c r="N101" s="21">
        <v>3421</v>
      </c>
      <c r="O101" s="21">
        <v>8848</v>
      </c>
      <c r="P101" s="21">
        <v>9126</v>
      </c>
      <c r="Q101" s="21">
        <v>7543</v>
      </c>
      <c r="R101" s="21">
        <v>4716</v>
      </c>
      <c r="S101" s="21">
        <v>3942</v>
      </c>
      <c r="T101" s="21">
        <v>8269</v>
      </c>
      <c r="U101" s="22">
        <v>1586</v>
      </c>
      <c r="W101" s="15"/>
      <c r="Z101"/>
      <c r="AA101"/>
      <c r="AB101" s="147">
        <v>44</v>
      </c>
      <c r="AC101" s="148">
        <v>1.7861446689125033</v>
      </c>
    </row>
    <row r="102" spans="1:29" s="19" customFormat="1" ht="21" customHeight="1" x14ac:dyDescent="0.3">
      <c r="A102" s="25" t="s">
        <v>105</v>
      </c>
      <c r="B102" s="20">
        <v>6174</v>
      </c>
      <c r="C102" s="21">
        <v>2520</v>
      </c>
      <c r="D102" s="21">
        <v>4007</v>
      </c>
      <c r="E102" s="21">
        <v>6643</v>
      </c>
      <c r="F102" s="21">
        <v>7780</v>
      </c>
      <c r="G102" s="21">
        <v>891</v>
      </c>
      <c r="H102" s="21">
        <v>7449</v>
      </c>
      <c r="I102" s="21">
        <v>2890</v>
      </c>
      <c r="J102" s="21">
        <v>9464</v>
      </c>
      <c r="K102" s="21">
        <v>5563</v>
      </c>
      <c r="L102" s="21">
        <v>3053</v>
      </c>
      <c r="M102" s="21">
        <v>6872</v>
      </c>
      <c r="N102" s="21">
        <v>2543</v>
      </c>
      <c r="O102" s="21">
        <v>5997</v>
      </c>
      <c r="P102" s="21">
        <v>4376</v>
      </c>
      <c r="Q102" s="21">
        <v>9378</v>
      </c>
      <c r="R102" s="21">
        <v>2351</v>
      </c>
      <c r="S102" s="21">
        <v>615</v>
      </c>
      <c r="T102" s="21">
        <v>8496</v>
      </c>
      <c r="U102" s="22">
        <v>3678</v>
      </c>
      <c r="W102" s="15"/>
      <c r="Z102"/>
      <c r="AA102"/>
      <c r="AB102" s="147">
        <v>45</v>
      </c>
      <c r="AC102" s="148">
        <v>1.7877517195291155</v>
      </c>
    </row>
    <row r="103" spans="1:29" s="19" customFormat="1" ht="21" customHeight="1" x14ac:dyDescent="0.3">
      <c r="A103" s="25" t="s">
        <v>106</v>
      </c>
      <c r="B103" s="20">
        <v>5293</v>
      </c>
      <c r="C103" s="21">
        <v>8161</v>
      </c>
      <c r="D103" s="21">
        <v>233</v>
      </c>
      <c r="E103" s="21">
        <v>5455</v>
      </c>
      <c r="F103" s="21">
        <v>6542</v>
      </c>
      <c r="G103" s="21">
        <v>2064</v>
      </c>
      <c r="H103" s="21">
        <v>2562</v>
      </c>
      <c r="I103" s="21">
        <v>2129</v>
      </c>
      <c r="J103" s="21">
        <v>5395</v>
      </c>
      <c r="K103" s="21">
        <v>7690</v>
      </c>
      <c r="L103" s="21">
        <v>2268</v>
      </c>
      <c r="M103" s="21">
        <v>3883</v>
      </c>
      <c r="N103" s="21">
        <v>4786</v>
      </c>
      <c r="O103" s="21">
        <v>9747</v>
      </c>
      <c r="P103" s="21">
        <v>785</v>
      </c>
      <c r="Q103" s="21">
        <v>701</v>
      </c>
      <c r="R103" s="21">
        <v>2133</v>
      </c>
      <c r="S103" s="21">
        <v>7165</v>
      </c>
      <c r="T103" s="21">
        <v>9917</v>
      </c>
      <c r="U103" s="22">
        <v>3530</v>
      </c>
      <c r="W103" s="15"/>
      <c r="Z103"/>
      <c r="AA103"/>
      <c r="AB103" s="147">
        <v>46</v>
      </c>
      <c r="AC103" s="148">
        <v>1.8033765844683807</v>
      </c>
    </row>
    <row r="104" spans="1:29" s="19" customFormat="1" ht="21" customHeight="1" x14ac:dyDescent="0.3">
      <c r="A104" s="25" t="s">
        <v>107</v>
      </c>
      <c r="B104" s="20">
        <v>3452</v>
      </c>
      <c r="C104" s="21">
        <v>8400</v>
      </c>
      <c r="D104" s="21">
        <v>8404</v>
      </c>
      <c r="E104" s="21">
        <v>2351</v>
      </c>
      <c r="F104" s="21">
        <v>9696</v>
      </c>
      <c r="G104" s="21">
        <v>8223</v>
      </c>
      <c r="H104" s="21">
        <v>6576</v>
      </c>
      <c r="I104" s="21">
        <v>9267</v>
      </c>
      <c r="J104" s="21">
        <v>1746</v>
      </c>
      <c r="K104" s="21">
        <v>7876</v>
      </c>
      <c r="L104" s="21">
        <v>6684</v>
      </c>
      <c r="M104" s="21">
        <v>6658</v>
      </c>
      <c r="N104" s="21">
        <v>1682</v>
      </c>
      <c r="O104" s="21">
        <v>7392</v>
      </c>
      <c r="P104" s="21">
        <v>5207</v>
      </c>
      <c r="Q104" s="21">
        <v>9065</v>
      </c>
      <c r="R104" s="21">
        <v>2791</v>
      </c>
      <c r="S104" s="21">
        <v>4565</v>
      </c>
      <c r="T104" s="21">
        <v>8442</v>
      </c>
      <c r="U104" s="22">
        <v>6768</v>
      </c>
      <c r="W104" s="15"/>
      <c r="Z104"/>
      <c r="AA104"/>
      <c r="AB104" s="147">
        <v>47</v>
      </c>
      <c r="AC104" s="148">
        <v>1.79694693421747</v>
      </c>
    </row>
    <row r="105" spans="1:29" s="19" customFormat="1" ht="21" customHeight="1" x14ac:dyDescent="0.25">
      <c r="A105" s="25" t="s">
        <v>108</v>
      </c>
      <c r="B105" s="20">
        <v>4875</v>
      </c>
      <c r="C105" s="21">
        <v>8340</v>
      </c>
      <c r="D105" s="21">
        <v>445</v>
      </c>
      <c r="E105" s="21">
        <v>3255</v>
      </c>
      <c r="F105" s="21">
        <v>7186</v>
      </c>
      <c r="G105" s="21">
        <v>5015</v>
      </c>
      <c r="H105" s="21">
        <v>7064</v>
      </c>
      <c r="I105" s="21">
        <v>7434</v>
      </c>
      <c r="J105" s="21">
        <v>2760</v>
      </c>
      <c r="K105" s="21">
        <v>1257</v>
      </c>
      <c r="L105" s="21">
        <v>7214</v>
      </c>
      <c r="M105" s="21">
        <v>9175</v>
      </c>
      <c r="N105" s="21">
        <v>4080</v>
      </c>
      <c r="O105" s="21">
        <v>6993</v>
      </c>
      <c r="P105" s="21">
        <v>8722</v>
      </c>
      <c r="Q105" s="21">
        <v>2361</v>
      </c>
      <c r="R105" s="21">
        <v>921</v>
      </c>
      <c r="S105" s="21">
        <v>8224</v>
      </c>
      <c r="T105" s="21">
        <v>4081</v>
      </c>
      <c r="U105" s="22">
        <v>1394</v>
      </c>
      <c r="W105" s="15"/>
      <c r="Z105"/>
      <c r="AA105"/>
      <c r="AB105" s="147">
        <v>48</v>
      </c>
      <c r="AC105" s="148">
        <v>1.7942023771053333</v>
      </c>
    </row>
    <row r="106" spans="1:29" s="19" customFormat="1" ht="21" customHeight="1" x14ac:dyDescent="0.25">
      <c r="A106" s="25" t="s">
        <v>109</v>
      </c>
      <c r="B106" s="20">
        <v>3818</v>
      </c>
      <c r="C106" s="21">
        <v>9532</v>
      </c>
      <c r="D106" s="21">
        <v>9841</v>
      </c>
      <c r="E106" s="21">
        <v>8764</v>
      </c>
      <c r="F106" s="21">
        <v>4294</v>
      </c>
      <c r="G106" s="21">
        <v>6572</v>
      </c>
      <c r="H106" s="21">
        <v>8902</v>
      </c>
      <c r="I106" s="21">
        <v>8380</v>
      </c>
      <c r="J106" s="21">
        <v>1630</v>
      </c>
      <c r="K106" s="21">
        <v>5152</v>
      </c>
      <c r="L106" s="21">
        <v>6909</v>
      </c>
      <c r="M106" s="21">
        <v>4289</v>
      </c>
      <c r="N106" s="21">
        <v>5497</v>
      </c>
      <c r="O106" s="21">
        <v>439</v>
      </c>
      <c r="P106" s="21">
        <v>6094</v>
      </c>
      <c r="Q106" s="21">
        <v>861</v>
      </c>
      <c r="R106" s="21">
        <v>3673</v>
      </c>
      <c r="S106" s="21">
        <v>4663</v>
      </c>
      <c r="T106" s="21">
        <v>9670</v>
      </c>
      <c r="U106" s="22">
        <v>1498</v>
      </c>
      <c r="W106" s="15"/>
      <c r="Z106"/>
      <c r="AA106"/>
      <c r="AB106" s="147">
        <v>49</v>
      </c>
      <c r="AC106" s="148">
        <v>1.7989363448643061</v>
      </c>
    </row>
    <row r="107" spans="1:29" s="19" customFormat="1" ht="21" customHeight="1" x14ac:dyDescent="0.25">
      <c r="A107" s="25" t="s">
        <v>110</v>
      </c>
      <c r="B107" s="20">
        <v>8902</v>
      </c>
      <c r="C107" s="21">
        <v>2507</v>
      </c>
      <c r="D107" s="21">
        <v>9032</v>
      </c>
      <c r="E107" s="21">
        <v>9276</v>
      </c>
      <c r="F107" s="21">
        <v>5571</v>
      </c>
      <c r="G107" s="21">
        <v>6883</v>
      </c>
      <c r="H107" s="21">
        <v>4742</v>
      </c>
      <c r="I107" s="21">
        <v>5994</v>
      </c>
      <c r="J107" s="21">
        <v>5757</v>
      </c>
      <c r="K107" s="21">
        <v>5810</v>
      </c>
      <c r="L107" s="21">
        <v>728</v>
      </c>
      <c r="M107" s="21">
        <v>5619</v>
      </c>
      <c r="N107" s="21">
        <v>2006</v>
      </c>
      <c r="O107" s="21">
        <v>9942</v>
      </c>
      <c r="P107" s="21">
        <v>7136</v>
      </c>
      <c r="Q107" s="21">
        <v>2533</v>
      </c>
      <c r="R107" s="21">
        <v>3115</v>
      </c>
      <c r="S107" s="21">
        <v>9003</v>
      </c>
      <c r="T107" s="21">
        <v>5133</v>
      </c>
      <c r="U107" s="22">
        <v>1429</v>
      </c>
      <c r="W107" s="15"/>
      <c r="Z107"/>
      <c r="AA107"/>
      <c r="AB107" s="147">
        <v>50</v>
      </c>
      <c r="AC107" s="148">
        <v>1.6771138980165479</v>
      </c>
    </row>
    <row r="108" spans="1:29" s="19" customFormat="1" ht="21" customHeight="1" x14ac:dyDescent="0.25">
      <c r="A108" s="25" t="s">
        <v>111</v>
      </c>
      <c r="B108" s="20">
        <v>9839</v>
      </c>
      <c r="C108" s="21">
        <v>1532</v>
      </c>
      <c r="D108" s="21">
        <v>1541</v>
      </c>
      <c r="E108" s="21">
        <v>3495</v>
      </c>
      <c r="F108" s="21">
        <v>704</v>
      </c>
      <c r="G108" s="21">
        <v>5383</v>
      </c>
      <c r="H108" s="21">
        <v>9127</v>
      </c>
      <c r="I108" s="21">
        <v>967</v>
      </c>
      <c r="J108" s="21">
        <v>7470</v>
      </c>
      <c r="K108" s="21">
        <v>9561</v>
      </c>
      <c r="L108" s="21">
        <v>6743</v>
      </c>
      <c r="M108" s="21">
        <v>4824</v>
      </c>
      <c r="N108" s="21">
        <v>7616</v>
      </c>
      <c r="O108" s="21">
        <v>9137</v>
      </c>
      <c r="P108" s="21">
        <v>3419</v>
      </c>
      <c r="Q108" s="21">
        <v>4107</v>
      </c>
      <c r="R108" s="21">
        <v>3126</v>
      </c>
      <c r="S108" s="21">
        <v>5286</v>
      </c>
      <c r="T108" s="21">
        <v>6561</v>
      </c>
      <c r="U108" s="22">
        <v>8861</v>
      </c>
      <c r="W108" s="15"/>
      <c r="Z108"/>
      <c r="AA108"/>
      <c r="AB108" s="147">
        <v>51</v>
      </c>
      <c r="AC108" s="148">
        <v>1.6494125710026946</v>
      </c>
    </row>
    <row r="109" spans="1:29" s="19" customFormat="1" ht="21" customHeight="1" x14ac:dyDescent="0.25">
      <c r="A109" s="25" t="s">
        <v>112</v>
      </c>
      <c r="B109" s="20">
        <v>1862</v>
      </c>
      <c r="C109" s="21">
        <v>8433</v>
      </c>
      <c r="D109" s="21">
        <v>4018</v>
      </c>
      <c r="E109" s="21">
        <v>7005</v>
      </c>
      <c r="F109" s="21">
        <v>2395</v>
      </c>
      <c r="G109" s="21">
        <v>7980</v>
      </c>
      <c r="H109" s="21">
        <v>6325</v>
      </c>
      <c r="I109" s="21">
        <v>7527</v>
      </c>
      <c r="J109" s="21">
        <v>5395</v>
      </c>
      <c r="K109" s="21">
        <v>8112</v>
      </c>
      <c r="L109" s="21">
        <v>3830</v>
      </c>
      <c r="M109" s="21">
        <v>9838</v>
      </c>
      <c r="N109" s="21">
        <v>1420</v>
      </c>
      <c r="O109" s="21">
        <v>3650</v>
      </c>
      <c r="P109" s="21">
        <v>9150</v>
      </c>
      <c r="Q109" s="21">
        <v>3707</v>
      </c>
      <c r="R109" s="21">
        <v>5784</v>
      </c>
      <c r="S109" s="21">
        <v>9642</v>
      </c>
      <c r="T109" s="21">
        <v>1615</v>
      </c>
      <c r="U109" s="22">
        <v>6444</v>
      </c>
      <c r="W109" s="15"/>
      <c r="Z109"/>
      <c r="AA109"/>
      <c r="AB109" s="147">
        <v>52</v>
      </c>
      <c r="AC109" s="148">
        <v>1.6415540190708422</v>
      </c>
    </row>
    <row r="110" spans="1:29" s="19" customFormat="1" ht="21" customHeight="1" x14ac:dyDescent="0.25">
      <c r="A110" s="25" t="s">
        <v>113</v>
      </c>
      <c r="B110" s="20">
        <v>7533</v>
      </c>
      <c r="C110" s="21">
        <v>257</v>
      </c>
      <c r="D110" s="21">
        <v>5608</v>
      </c>
      <c r="E110" s="21">
        <v>6742</v>
      </c>
      <c r="F110" s="21">
        <v>3931</v>
      </c>
      <c r="G110" s="21">
        <v>6491</v>
      </c>
      <c r="H110" s="21">
        <v>1711</v>
      </c>
      <c r="I110" s="21">
        <v>7538</v>
      </c>
      <c r="J110" s="21">
        <v>9308</v>
      </c>
      <c r="K110" s="21">
        <v>4835</v>
      </c>
      <c r="L110" s="21">
        <v>6181</v>
      </c>
      <c r="M110" s="21">
        <v>357</v>
      </c>
      <c r="N110" s="21">
        <v>3109</v>
      </c>
      <c r="O110" s="21">
        <v>2063</v>
      </c>
      <c r="P110" s="21">
        <v>1327</v>
      </c>
      <c r="Q110" s="21">
        <v>1265</v>
      </c>
      <c r="R110" s="21">
        <v>7657</v>
      </c>
      <c r="S110" s="21">
        <v>7045</v>
      </c>
      <c r="T110" s="21">
        <v>1289</v>
      </c>
      <c r="U110" s="22">
        <v>4572</v>
      </c>
      <c r="W110" s="15"/>
      <c r="Z110"/>
      <c r="AA110"/>
      <c r="AB110" s="147">
        <v>53</v>
      </c>
      <c r="AC110" s="148">
        <v>1.5968479652870282</v>
      </c>
    </row>
    <row r="111" spans="1:29" s="19" customFormat="1" ht="21" customHeight="1" x14ac:dyDescent="0.25">
      <c r="A111" s="25" t="s">
        <v>114</v>
      </c>
      <c r="B111" s="20">
        <v>8885</v>
      </c>
      <c r="C111" s="21">
        <v>252</v>
      </c>
      <c r="D111" s="21">
        <v>3138</v>
      </c>
      <c r="E111" s="21">
        <v>3940</v>
      </c>
      <c r="F111" s="21">
        <v>5035</v>
      </c>
      <c r="G111" s="21">
        <v>2984</v>
      </c>
      <c r="H111" s="21">
        <v>8293</v>
      </c>
      <c r="I111" s="21">
        <v>5192</v>
      </c>
      <c r="J111" s="21">
        <v>8302</v>
      </c>
      <c r="K111" s="21">
        <v>8509</v>
      </c>
      <c r="L111" s="21">
        <v>1545</v>
      </c>
      <c r="M111" s="21">
        <v>4594</v>
      </c>
      <c r="N111" s="21">
        <v>2122</v>
      </c>
      <c r="O111" s="21">
        <v>9235</v>
      </c>
      <c r="P111" s="21">
        <v>7339</v>
      </c>
      <c r="Q111" s="21">
        <v>3034</v>
      </c>
      <c r="R111" s="21">
        <v>8287</v>
      </c>
      <c r="S111" s="21">
        <v>8689</v>
      </c>
      <c r="T111" s="21">
        <v>2683</v>
      </c>
      <c r="U111" s="22">
        <v>3889</v>
      </c>
      <c r="W111" s="15"/>
      <c r="Z111"/>
      <c r="AA111"/>
      <c r="AB111" s="147">
        <v>54</v>
      </c>
      <c r="AC111" s="148">
        <v>1.6089821660468016</v>
      </c>
    </row>
    <row r="112" spans="1:29" s="19" customFormat="1" ht="21" customHeight="1" x14ac:dyDescent="0.25">
      <c r="A112" s="25" t="s">
        <v>115</v>
      </c>
      <c r="B112" s="20">
        <v>9351</v>
      </c>
      <c r="C112" s="21">
        <v>4101</v>
      </c>
      <c r="D112" s="21">
        <v>1192</v>
      </c>
      <c r="E112" s="21">
        <v>6267</v>
      </c>
      <c r="F112" s="21">
        <v>6092</v>
      </c>
      <c r="G112" s="21">
        <v>1015</v>
      </c>
      <c r="H112" s="21">
        <v>3883</v>
      </c>
      <c r="I112" s="21">
        <v>5254</v>
      </c>
      <c r="J112" s="21">
        <v>3226</v>
      </c>
      <c r="K112" s="21">
        <v>9783</v>
      </c>
      <c r="L112" s="21">
        <v>4073</v>
      </c>
      <c r="M112" s="21">
        <v>5075</v>
      </c>
      <c r="N112" s="21">
        <v>6631</v>
      </c>
      <c r="O112" s="21">
        <v>2963</v>
      </c>
      <c r="P112" s="21">
        <v>573</v>
      </c>
      <c r="Q112" s="21">
        <v>3322</v>
      </c>
      <c r="R112" s="21">
        <v>6687</v>
      </c>
      <c r="S112" s="21">
        <v>2440</v>
      </c>
      <c r="T112" s="21">
        <v>7315</v>
      </c>
      <c r="U112" s="22">
        <v>4601</v>
      </c>
      <c r="W112" s="15"/>
      <c r="Z112"/>
      <c r="AA112"/>
      <c r="AB112" s="147">
        <v>55</v>
      </c>
      <c r="AC112" s="148">
        <v>1.5447583627831314</v>
      </c>
    </row>
    <row r="113" spans="1:29" s="19" customFormat="1" ht="21" customHeight="1" x14ac:dyDescent="0.25">
      <c r="A113" s="25" t="s">
        <v>116</v>
      </c>
      <c r="B113" s="20">
        <v>3046</v>
      </c>
      <c r="C113" s="21">
        <v>7155</v>
      </c>
      <c r="D113" s="21">
        <v>9527</v>
      </c>
      <c r="E113" s="21">
        <v>1619</v>
      </c>
      <c r="F113" s="21">
        <v>2247</v>
      </c>
      <c r="G113" s="21">
        <v>8280</v>
      </c>
      <c r="H113" s="21">
        <v>8947</v>
      </c>
      <c r="I113" s="21">
        <v>4826</v>
      </c>
      <c r="J113" s="21">
        <v>5581</v>
      </c>
      <c r="K113" s="21">
        <v>8252</v>
      </c>
      <c r="L113" s="21">
        <v>5161</v>
      </c>
      <c r="M113" s="21">
        <v>4693</v>
      </c>
      <c r="N113" s="21">
        <v>9142</v>
      </c>
      <c r="O113" s="21">
        <v>6558</v>
      </c>
      <c r="P113" s="21">
        <v>2510</v>
      </c>
      <c r="Q113" s="21">
        <v>7501</v>
      </c>
      <c r="R113" s="21">
        <v>2379</v>
      </c>
      <c r="S113" s="21">
        <v>1613</v>
      </c>
      <c r="T113" s="21">
        <v>4344</v>
      </c>
      <c r="U113" s="22">
        <v>1091</v>
      </c>
      <c r="W113" s="15"/>
      <c r="Z113"/>
      <c r="AA113"/>
      <c r="AB113" s="147">
        <v>56</v>
      </c>
      <c r="AC113" s="148">
        <v>1.5442354698667202</v>
      </c>
    </row>
    <row r="114" spans="1:29" s="19" customFormat="1" ht="21" customHeight="1" x14ac:dyDescent="0.25">
      <c r="A114" s="25" t="s">
        <v>117</v>
      </c>
      <c r="B114" s="20">
        <v>4054</v>
      </c>
      <c r="C114" s="21">
        <v>8593</v>
      </c>
      <c r="D114" s="21">
        <v>5851</v>
      </c>
      <c r="E114" s="21">
        <v>2306</v>
      </c>
      <c r="F114" s="21">
        <v>5891</v>
      </c>
      <c r="G114" s="21">
        <v>1429</v>
      </c>
      <c r="H114" s="21">
        <v>5855</v>
      </c>
      <c r="I114" s="21">
        <v>2371</v>
      </c>
      <c r="J114" s="21">
        <v>2844</v>
      </c>
      <c r="K114" s="21">
        <v>1114</v>
      </c>
      <c r="L114" s="21">
        <v>2105</v>
      </c>
      <c r="M114" s="21">
        <v>5093</v>
      </c>
      <c r="N114" s="21">
        <v>8909</v>
      </c>
      <c r="O114" s="21">
        <v>9877</v>
      </c>
      <c r="P114" s="21">
        <v>6238</v>
      </c>
      <c r="Q114" s="21">
        <v>5065</v>
      </c>
      <c r="R114" s="21">
        <v>4647</v>
      </c>
      <c r="S114" s="21">
        <v>5312</v>
      </c>
      <c r="T114" s="21">
        <v>9532</v>
      </c>
      <c r="U114" s="22">
        <v>1285</v>
      </c>
      <c r="W114" s="15"/>
      <c r="Z114"/>
      <c r="AA114"/>
      <c r="AB114" s="147">
        <v>57</v>
      </c>
      <c r="AC114" s="148">
        <v>1.5245160668920308</v>
      </c>
    </row>
    <row r="115" spans="1:29" s="19" customFormat="1" ht="21" customHeight="1" x14ac:dyDescent="0.25">
      <c r="A115" s="25" t="s">
        <v>118</v>
      </c>
      <c r="B115" s="20">
        <v>6597</v>
      </c>
      <c r="C115" s="21">
        <v>7488</v>
      </c>
      <c r="D115" s="21">
        <v>4296</v>
      </c>
      <c r="E115" s="21">
        <v>5884</v>
      </c>
      <c r="F115" s="21">
        <v>2640</v>
      </c>
      <c r="G115" s="21">
        <v>7743</v>
      </c>
      <c r="H115" s="21">
        <v>1830</v>
      </c>
      <c r="I115" s="21">
        <v>5571</v>
      </c>
      <c r="J115" s="21">
        <v>3628</v>
      </c>
      <c r="K115" s="21">
        <v>0</v>
      </c>
      <c r="L115" s="21">
        <v>2584</v>
      </c>
      <c r="M115" s="21">
        <v>3271</v>
      </c>
      <c r="N115" s="21">
        <v>1362</v>
      </c>
      <c r="O115" s="21">
        <v>2669</v>
      </c>
      <c r="P115" s="21">
        <v>4305</v>
      </c>
      <c r="Q115" s="21">
        <v>1649</v>
      </c>
      <c r="R115" s="21">
        <v>2865</v>
      </c>
      <c r="S115" s="21">
        <v>2195</v>
      </c>
      <c r="T115" s="21">
        <v>9154</v>
      </c>
      <c r="U115" s="22">
        <v>7636</v>
      </c>
      <c r="W115" s="15"/>
      <c r="Z115"/>
      <c r="AA115"/>
      <c r="AB115" s="147">
        <v>58</v>
      </c>
      <c r="AC115" s="148">
        <v>1.5250467057726975</v>
      </c>
    </row>
    <row r="116" spans="1:29" s="19" customFormat="1" ht="21" customHeight="1" x14ac:dyDescent="0.25">
      <c r="A116" s="25" t="s">
        <v>119</v>
      </c>
      <c r="B116" s="20">
        <v>8758</v>
      </c>
      <c r="C116" s="21">
        <v>7036</v>
      </c>
      <c r="D116" s="21">
        <v>5971</v>
      </c>
      <c r="E116" s="21">
        <v>2716</v>
      </c>
      <c r="F116" s="21">
        <v>8671</v>
      </c>
      <c r="G116" s="21">
        <v>2828</v>
      </c>
      <c r="H116" s="21">
        <v>7477</v>
      </c>
      <c r="I116" s="21">
        <v>9247</v>
      </c>
      <c r="J116" s="21">
        <v>2226</v>
      </c>
      <c r="K116" s="21">
        <v>8001</v>
      </c>
      <c r="L116" s="21">
        <v>245</v>
      </c>
      <c r="M116" s="21">
        <v>1722</v>
      </c>
      <c r="N116" s="21">
        <v>5255</v>
      </c>
      <c r="O116" s="21">
        <v>9026</v>
      </c>
      <c r="P116" s="21">
        <v>4477</v>
      </c>
      <c r="Q116" s="21">
        <v>9014</v>
      </c>
      <c r="R116" s="21">
        <v>3936</v>
      </c>
      <c r="S116" s="21">
        <v>8635</v>
      </c>
      <c r="T116" s="21">
        <v>3143</v>
      </c>
      <c r="U116" s="22">
        <v>9953</v>
      </c>
      <c r="W116" s="15"/>
      <c r="Z116"/>
      <c r="AA116"/>
      <c r="AB116" s="147">
        <v>59</v>
      </c>
      <c r="AC116" s="148">
        <v>1.5387943254895589</v>
      </c>
    </row>
    <row r="117" spans="1:29" s="19" customFormat="1" ht="21" customHeight="1" thickBot="1" x14ac:dyDescent="0.3">
      <c r="A117" s="25" t="s">
        <v>120</v>
      </c>
      <c r="B117" s="20">
        <v>3096</v>
      </c>
      <c r="C117" s="21">
        <v>4390</v>
      </c>
      <c r="D117" s="21">
        <v>7144</v>
      </c>
      <c r="E117" s="21">
        <v>9364</v>
      </c>
      <c r="F117" s="21">
        <v>5282</v>
      </c>
      <c r="G117" s="21">
        <v>9416</v>
      </c>
      <c r="H117" s="21">
        <v>5339</v>
      </c>
      <c r="I117" s="21">
        <v>7140</v>
      </c>
      <c r="J117" s="21">
        <v>3004</v>
      </c>
      <c r="K117" s="21">
        <v>4196</v>
      </c>
      <c r="L117" s="21">
        <v>3326</v>
      </c>
      <c r="M117" s="21">
        <v>1765</v>
      </c>
      <c r="N117" s="21">
        <v>7257</v>
      </c>
      <c r="O117" s="21">
        <v>4109</v>
      </c>
      <c r="P117" s="21">
        <v>4164</v>
      </c>
      <c r="Q117" s="21">
        <v>6475</v>
      </c>
      <c r="R117" s="21">
        <v>8938</v>
      </c>
      <c r="S117" s="21">
        <v>9656</v>
      </c>
      <c r="T117" s="21">
        <v>3376</v>
      </c>
      <c r="U117" s="22">
        <v>3023</v>
      </c>
      <c r="W117" s="15"/>
      <c r="Z117"/>
      <c r="AA117"/>
      <c r="AB117" s="149">
        <v>60</v>
      </c>
      <c r="AC117" s="150">
        <v>1.5315618859296791</v>
      </c>
    </row>
    <row r="118" spans="1:29" s="19" customFormat="1" ht="19.149999999999999" customHeight="1" x14ac:dyDescent="0.25">
      <c r="A118" s="25" t="s">
        <v>121</v>
      </c>
      <c r="B118" s="20">
        <v>7826</v>
      </c>
      <c r="C118" s="21">
        <v>547</v>
      </c>
      <c r="D118" s="21">
        <v>7347</v>
      </c>
      <c r="E118" s="21">
        <v>2412</v>
      </c>
      <c r="F118" s="21">
        <v>5960</v>
      </c>
      <c r="G118" s="21">
        <v>1490</v>
      </c>
      <c r="H118" s="21">
        <v>3693</v>
      </c>
      <c r="I118" s="21">
        <v>4101</v>
      </c>
      <c r="J118" s="21">
        <v>983</v>
      </c>
      <c r="K118" s="21">
        <v>4329</v>
      </c>
      <c r="L118" s="21">
        <v>3511</v>
      </c>
      <c r="M118" s="21">
        <v>6854</v>
      </c>
      <c r="N118" s="21">
        <v>2570</v>
      </c>
      <c r="O118" s="21">
        <v>1402</v>
      </c>
      <c r="P118" s="21">
        <v>5833</v>
      </c>
      <c r="Q118" s="21">
        <v>3952</v>
      </c>
      <c r="R118" s="21">
        <v>4660</v>
      </c>
      <c r="S118" s="21">
        <v>7584</v>
      </c>
      <c r="T118" s="21">
        <v>6198</v>
      </c>
      <c r="U118" s="22">
        <v>4796</v>
      </c>
      <c r="W118" s="15"/>
      <c r="Z118"/>
      <c r="AA118"/>
      <c r="AB118" s="15">
        <v>61</v>
      </c>
    </row>
    <row r="119" spans="1:29" s="19" customFormat="1" ht="19.149999999999999" customHeight="1" x14ac:dyDescent="0.25">
      <c r="A119" s="25" t="s">
        <v>122</v>
      </c>
      <c r="B119" s="20">
        <v>1527</v>
      </c>
      <c r="C119" s="21">
        <v>5828</v>
      </c>
      <c r="D119" s="21">
        <v>436</v>
      </c>
      <c r="E119" s="21">
        <v>2211</v>
      </c>
      <c r="F119" s="21">
        <v>121</v>
      </c>
      <c r="G119" s="21">
        <v>5877</v>
      </c>
      <c r="H119" s="21">
        <v>9882</v>
      </c>
      <c r="I119" s="21">
        <v>6873</v>
      </c>
      <c r="J119" s="21">
        <v>2992</v>
      </c>
      <c r="K119" s="21">
        <v>4756</v>
      </c>
      <c r="L119" s="21">
        <v>9406</v>
      </c>
      <c r="M119" s="21">
        <v>7163</v>
      </c>
      <c r="N119" s="21">
        <v>382</v>
      </c>
      <c r="O119" s="21">
        <v>5281</v>
      </c>
      <c r="P119" s="21">
        <v>7257</v>
      </c>
      <c r="Q119" s="21">
        <v>9346</v>
      </c>
      <c r="R119" s="21">
        <v>2931</v>
      </c>
      <c r="S119" s="21">
        <v>5358</v>
      </c>
      <c r="T119" s="21">
        <v>7556</v>
      </c>
      <c r="U119" s="22">
        <v>5444</v>
      </c>
      <c r="W119" s="15"/>
      <c r="Z119"/>
      <c r="AA119"/>
      <c r="AB119" s="15">
        <v>62</v>
      </c>
    </row>
    <row r="120" spans="1:29" s="19" customFormat="1" ht="19.149999999999999" customHeight="1" x14ac:dyDescent="0.25">
      <c r="A120" s="25" t="s">
        <v>123</v>
      </c>
      <c r="B120" s="20">
        <v>5337</v>
      </c>
      <c r="C120" s="21">
        <v>4822</v>
      </c>
      <c r="D120" s="21">
        <v>3735</v>
      </c>
      <c r="E120" s="21">
        <v>3461</v>
      </c>
      <c r="F120" s="21">
        <v>2167</v>
      </c>
      <c r="G120" s="21">
        <v>5872</v>
      </c>
      <c r="H120" s="21">
        <v>8120</v>
      </c>
      <c r="I120" s="21">
        <v>7392</v>
      </c>
      <c r="J120" s="21">
        <v>8793</v>
      </c>
      <c r="K120" s="21">
        <v>5687</v>
      </c>
      <c r="L120" s="21">
        <v>2290</v>
      </c>
      <c r="M120" s="21">
        <v>49</v>
      </c>
      <c r="N120" s="21">
        <v>2556</v>
      </c>
      <c r="O120" s="21">
        <v>4542</v>
      </c>
      <c r="P120" s="21">
        <v>3497</v>
      </c>
      <c r="Q120" s="21">
        <v>8197</v>
      </c>
      <c r="R120" s="21">
        <v>7150</v>
      </c>
      <c r="S120" s="21">
        <v>9378</v>
      </c>
      <c r="T120" s="21">
        <v>3795</v>
      </c>
      <c r="U120" s="22">
        <v>8944</v>
      </c>
      <c r="W120" s="15"/>
      <c r="Z120"/>
      <c r="AA120"/>
      <c r="AB120" s="15">
        <v>63</v>
      </c>
    </row>
    <row r="121" spans="1:29" s="19" customFormat="1" ht="19.149999999999999" customHeight="1" x14ac:dyDescent="0.25">
      <c r="A121" s="25" t="s">
        <v>124</v>
      </c>
      <c r="B121" s="20">
        <v>7390</v>
      </c>
      <c r="C121" s="21">
        <v>8661</v>
      </c>
      <c r="D121" s="21">
        <v>9469</v>
      </c>
      <c r="E121" s="21">
        <v>7158</v>
      </c>
      <c r="F121" s="21">
        <v>349</v>
      </c>
      <c r="G121" s="21">
        <v>9660</v>
      </c>
      <c r="H121" s="21">
        <v>2734</v>
      </c>
      <c r="I121" s="21">
        <v>996</v>
      </c>
      <c r="J121" s="21">
        <v>4027</v>
      </c>
      <c r="K121" s="21">
        <v>1617</v>
      </c>
      <c r="L121" s="21">
        <v>3814</v>
      </c>
      <c r="M121" s="21">
        <v>3718</v>
      </c>
      <c r="N121" s="21">
        <v>4577</v>
      </c>
      <c r="O121" s="21">
        <v>5814</v>
      </c>
      <c r="P121" s="21">
        <v>2927</v>
      </c>
      <c r="Q121" s="21">
        <v>3727</v>
      </c>
      <c r="R121" s="21">
        <v>602</v>
      </c>
      <c r="S121" s="21">
        <v>7079</v>
      </c>
      <c r="T121" s="21">
        <v>1466</v>
      </c>
      <c r="U121" s="22">
        <v>558</v>
      </c>
      <c r="W121" s="15"/>
      <c r="Z121"/>
      <c r="AA121"/>
      <c r="AB121" s="15">
        <v>64</v>
      </c>
    </row>
    <row r="122" spans="1:29" s="19" customFormat="1" ht="19.149999999999999" customHeight="1" x14ac:dyDescent="0.25">
      <c r="A122" s="25" t="s">
        <v>125</v>
      </c>
      <c r="B122" s="20">
        <v>6827</v>
      </c>
      <c r="C122" s="21">
        <v>1894</v>
      </c>
      <c r="D122" s="21">
        <v>8999</v>
      </c>
      <c r="E122" s="21">
        <v>5133</v>
      </c>
      <c r="F122" s="21">
        <v>4150</v>
      </c>
      <c r="G122" s="21">
        <v>2142</v>
      </c>
      <c r="H122" s="21">
        <v>4838</v>
      </c>
      <c r="I122" s="21">
        <v>9900</v>
      </c>
      <c r="J122" s="21">
        <v>4240</v>
      </c>
      <c r="K122" s="21">
        <v>6836</v>
      </c>
      <c r="L122" s="21">
        <v>5935</v>
      </c>
      <c r="M122" s="21">
        <v>8029</v>
      </c>
      <c r="N122" s="21">
        <v>681</v>
      </c>
      <c r="O122" s="21">
        <v>3293</v>
      </c>
      <c r="P122" s="21">
        <v>1699</v>
      </c>
      <c r="Q122" s="21">
        <v>5877</v>
      </c>
      <c r="R122" s="21">
        <v>5552</v>
      </c>
      <c r="S122" s="21">
        <v>8895</v>
      </c>
      <c r="T122" s="21">
        <v>9151</v>
      </c>
      <c r="U122" s="22">
        <v>8878</v>
      </c>
      <c r="W122" s="15"/>
      <c r="Z122"/>
      <c r="AA122"/>
      <c r="AB122" s="15">
        <v>65</v>
      </c>
    </row>
    <row r="123" spans="1:29" s="19" customFormat="1" ht="19.149999999999999" customHeight="1" x14ac:dyDescent="0.25">
      <c r="A123" s="25" t="s">
        <v>126</v>
      </c>
      <c r="B123" s="20">
        <v>9177</v>
      </c>
      <c r="C123" s="21">
        <v>4197</v>
      </c>
      <c r="D123" s="21">
        <v>4851</v>
      </c>
      <c r="E123" s="21">
        <v>6559</v>
      </c>
      <c r="F123" s="21">
        <v>4015</v>
      </c>
      <c r="G123" s="21">
        <v>2201</v>
      </c>
      <c r="H123" s="21">
        <v>1861</v>
      </c>
      <c r="I123" s="21">
        <v>9046</v>
      </c>
      <c r="J123" s="21">
        <v>9982</v>
      </c>
      <c r="K123" s="21">
        <v>5645</v>
      </c>
      <c r="L123" s="21">
        <v>5168</v>
      </c>
      <c r="M123" s="21">
        <v>9102</v>
      </c>
      <c r="N123" s="21">
        <v>9808</v>
      </c>
      <c r="O123" s="21">
        <v>7345</v>
      </c>
      <c r="P123" s="21">
        <v>3731</v>
      </c>
      <c r="Q123" s="21">
        <v>2755</v>
      </c>
      <c r="R123" s="21">
        <v>7178</v>
      </c>
      <c r="S123" s="21">
        <v>2852</v>
      </c>
      <c r="T123" s="21">
        <v>2247</v>
      </c>
      <c r="U123" s="22">
        <v>4453</v>
      </c>
      <c r="W123" s="15"/>
      <c r="Z123"/>
      <c r="AA123"/>
      <c r="AB123" s="15">
        <v>66</v>
      </c>
    </row>
    <row r="124" spans="1:29" s="19" customFormat="1" ht="19.149999999999999" customHeight="1" x14ac:dyDescent="0.25">
      <c r="A124" s="25" t="s">
        <v>127</v>
      </c>
      <c r="B124" s="20">
        <v>7233</v>
      </c>
      <c r="C124" s="21">
        <v>548</v>
      </c>
      <c r="D124" s="21">
        <v>5395</v>
      </c>
      <c r="E124" s="21">
        <v>3551</v>
      </c>
      <c r="F124" s="21">
        <v>7067</v>
      </c>
      <c r="G124" s="21">
        <v>2778</v>
      </c>
      <c r="H124" s="21">
        <v>7066</v>
      </c>
      <c r="I124" s="21">
        <v>4192</v>
      </c>
      <c r="J124" s="21">
        <v>8111</v>
      </c>
      <c r="K124" s="21">
        <v>7740</v>
      </c>
      <c r="L124" s="21">
        <v>7571</v>
      </c>
      <c r="M124" s="21">
        <v>2337</v>
      </c>
      <c r="N124" s="21">
        <v>6588</v>
      </c>
      <c r="O124" s="21">
        <v>1859</v>
      </c>
      <c r="P124" s="21">
        <v>9544</v>
      </c>
      <c r="Q124" s="21">
        <v>1892</v>
      </c>
      <c r="R124" s="21">
        <v>6779</v>
      </c>
      <c r="S124" s="21">
        <v>5158</v>
      </c>
      <c r="T124" s="21">
        <v>7195</v>
      </c>
      <c r="U124" s="22">
        <v>9453</v>
      </c>
      <c r="W124" s="15"/>
      <c r="Z124"/>
      <c r="AA124"/>
      <c r="AB124" s="15">
        <v>67</v>
      </c>
    </row>
    <row r="125" spans="1:29" s="19" customFormat="1" ht="19.149999999999999" customHeight="1" x14ac:dyDescent="0.25">
      <c r="A125" s="25" t="s">
        <v>128</v>
      </c>
      <c r="B125" s="20">
        <v>4172</v>
      </c>
      <c r="C125" s="21">
        <v>378</v>
      </c>
      <c r="D125" s="21">
        <v>9515</v>
      </c>
      <c r="E125" s="21">
        <v>5223</v>
      </c>
      <c r="F125" s="21">
        <v>415</v>
      </c>
      <c r="G125" s="21">
        <v>2190</v>
      </c>
      <c r="H125" s="21">
        <v>3059</v>
      </c>
      <c r="I125" s="21">
        <v>8675</v>
      </c>
      <c r="J125" s="21">
        <v>2395</v>
      </c>
      <c r="K125" s="21">
        <v>2883</v>
      </c>
      <c r="L125" s="21">
        <v>7794</v>
      </c>
      <c r="M125" s="21">
        <v>824</v>
      </c>
      <c r="N125" s="21">
        <v>7138</v>
      </c>
      <c r="O125" s="21">
        <v>124</v>
      </c>
      <c r="P125" s="21">
        <v>1966</v>
      </c>
      <c r="Q125" s="21">
        <v>2473</v>
      </c>
      <c r="R125" s="21">
        <v>8685</v>
      </c>
      <c r="S125" s="21">
        <v>5184</v>
      </c>
      <c r="T125" s="21">
        <v>8842</v>
      </c>
      <c r="U125" s="22">
        <v>9665</v>
      </c>
      <c r="W125" s="15"/>
      <c r="Z125"/>
      <c r="AA125"/>
      <c r="AB125" s="15">
        <v>68</v>
      </c>
    </row>
    <row r="126" spans="1:29" s="19" customFormat="1" ht="19.149999999999999" customHeight="1" x14ac:dyDescent="0.25">
      <c r="A126" s="25" t="s">
        <v>129</v>
      </c>
      <c r="B126" s="20">
        <v>8266</v>
      </c>
      <c r="C126" s="21">
        <v>9161</v>
      </c>
      <c r="D126" s="21">
        <v>7760</v>
      </c>
      <c r="E126" s="21">
        <v>4944</v>
      </c>
      <c r="F126" s="21">
        <v>1718</v>
      </c>
      <c r="G126" s="21">
        <v>8857</v>
      </c>
      <c r="H126" s="21">
        <v>4647</v>
      </c>
      <c r="I126" s="21">
        <v>3339</v>
      </c>
      <c r="J126" s="21">
        <v>8230</v>
      </c>
      <c r="K126" s="21">
        <v>644</v>
      </c>
      <c r="L126" s="21">
        <v>1303</v>
      </c>
      <c r="M126" s="21">
        <v>8187</v>
      </c>
      <c r="N126" s="21">
        <v>5253</v>
      </c>
      <c r="O126" s="21">
        <v>255</v>
      </c>
      <c r="P126" s="21">
        <v>4841</v>
      </c>
      <c r="Q126" s="21">
        <v>7233</v>
      </c>
      <c r="R126" s="21">
        <v>2300</v>
      </c>
      <c r="S126" s="21">
        <v>7128</v>
      </c>
      <c r="T126" s="21">
        <v>8854</v>
      </c>
      <c r="U126" s="22">
        <v>4785</v>
      </c>
      <c r="W126" s="15"/>
      <c r="Z126"/>
      <c r="AA126"/>
      <c r="AB126" s="15">
        <v>69</v>
      </c>
    </row>
    <row r="127" spans="1:29" s="19" customFormat="1" ht="19.149999999999999" customHeight="1" x14ac:dyDescent="0.25">
      <c r="A127" s="25" t="s">
        <v>130</v>
      </c>
      <c r="B127" s="20">
        <v>2876</v>
      </c>
      <c r="C127" s="21">
        <v>7642</v>
      </c>
      <c r="D127" s="21">
        <v>2100</v>
      </c>
      <c r="E127" s="21">
        <v>8126</v>
      </c>
      <c r="F127" s="21">
        <v>2128</v>
      </c>
      <c r="G127" s="21">
        <v>2911</v>
      </c>
      <c r="H127" s="21">
        <v>309</v>
      </c>
      <c r="I127" s="21">
        <v>3987</v>
      </c>
      <c r="J127" s="21">
        <v>7895</v>
      </c>
      <c r="K127" s="21">
        <v>2648</v>
      </c>
      <c r="L127" s="21">
        <v>3856</v>
      </c>
      <c r="M127" s="21">
        <v>4994</v>
      </c>
      <c r="N127" s="21">
        <v>7058</v>
      </c>
      <c r="O127" s="21">
        <v>8821</v>
      </c>
      <c r="P127" s="21">
        <v>653</v>
      </c>
      <c r="Q127" s="21">
        <v>4536</v>
      </c>
      <c r="R127" s="21">
        <v>8054</v>
      </c>
      <c r="S127" s="21">
        <v>482</v>
      </c>
      <c r="T127" s="21">
        <v>2157</v>
      </c>
      <c r="U127" s="22">
        <v>1315</v>
      </c>
      <c r="W127" s="15"/>
      <c r="Z127"/>
      <c r="AA127"/>
      <c r="AB127" s="15">
        <v>70</v>
      </c>
    </row>
    <row r="128" spans="1:29" s="19" customFormat="1" ht="19.149999999999999" customHeight="1" x14ac:dyDescent="0.25">
      <c r="A128" s="25" t="s">
        <v>131</v>
      </c>
      <c r="B128" s="20">
        <v>4874</v>
      </c>
      <c r="C128" s="21">
        <v>4877</v>
      </c>
      <c r="D128" s="21">
        <v>9832</v>
      </c>
      <c r="E128" s="21">
        <v>1767</v>
      </c>
      <c r="F128" s="21">
        <v>4505</v>
      </c>
      <c r="G128" s="21">
        <v>8187</v>
      </c>
      <c r="H128" s="21">
        <v>8828</v>
      </c>
      <c r="I128" s="21">
        <v>1411</v>
      </c>
      <c r="J128" s="21">
        <v>5271</v>
      </c>
      <c r="K128" s="21">
        <v>9405</v>
      </c>
      <c r="L128" s="21">
        <v>6647</v>
      </c>
      <c r="M128" s="21">
        <v>957</v>
      </c>
      <c r="N128" s="21">
        <v>7060</v>
      </c>
      <c r="O128" s="21">
        <v>6088</v>
      </c>
      <c r="P128" s="21">
        <v>6146</v>
      </c>
      <c r="Q128" s="21">
        <v>4721</v>
      </c>
      <c r="R128" s="21">
        <v>1125</v>
      </c>
      <c r="S128" s="21">
        <v>2738</v>
      </c>
      <c r="T128" s="21">
        <v>3016</v>
      </c>
      <c r="U128" s="22">
        <v>2637</v>
      </c>
      <c r="W128" s="15"/>
      <c r="Z128"/>
      <c r="AA128"/>
      <c r="AB128" s="15">
        <v>71</v>
      </c>
    </row>
    <row r="129" spans="1:28" s="19" customFormat="1" ht="19.149999999999999" customHeight="1" x14ac:dyDescent="0.25">
      <c r="A129" s="25" t="s">
        <v>132</v>
      </c>
      <c r="B129" s="20">
        <v>3556</v>
      </c>
      <c r="C129" s="21">
        <v>6387</v>
      </c>
      <c r="D129" s="21">
        <v>2002</v>
      </c>
      <c r="E129" s="21">
        <v>1100</v>
      </c>
      <c r="F129" s="21">
        <v>9780</v>
      </c>
      <c r="G129" s="21">
        <v>8467</v>
      </c>
      <c r="H129" s="21">
        <v>8581</v>
      </c>
      <c r="I129" s="21">
        <v>6506</v>
      </c>
      <c r="J129" s="21">
        <v>8705</v>
      </c>
      <c r="K129" s="21">
        <v>9865</v>
      </c>
      <c r="L129" s="21">
        <v>1466</v>
      </c>
      <c r="M129" s="21">
        <v>7488</v>
      </c>
      <c r="N129" s="21">
        <v>1570</v>
      </c>
      <c r="O129" s="21">
        <v>1699</v>
      </c>
      <c r="P129" s="21">
        <v>2653</v>
      </c>
      <c r="Q129" s="21">
        <v>8330</v>
      </c>
      <c r="R129" s="21">
        <v>7482</v>
      </c>
      <c r="S129" s="21">
        <v>2132</v>
      </c>
      <c r="T129" s="21">
        <v>5918</v>
      </c>
      <c r="U129" s="22">
        <v>9022</v>
      </c>
      <c r="W129" s="15"/>
      <c r="Z129"/>
      <c r="AA129"/>
      <c r="AB129" s="15">
        <v>72</v>
      </c>
    </row>
    <row r="130" spans="1:28" s="19" customFormat="1" ht="19.149999999999999" customHeight="1" x14ac:dyDescent="0.25">
      <c r="A130" s="25" t="s">
        <v>133</v>
      </c>
      <c r="B130" s="20">
        <v>4007</v>
      </c>
      <c r="C130" s="21">
        <v>6153</v>
      </c>
      <c r="D130" s="21">
        <v>4065</v>
      </c>
      <c r="E130" s="21">
        <v>6388</v>
      </c>
      <c r="F130" s="21">
        <v>3945</v>
      </c>
      <c r="G130" s="21">
        <v>722</v>
      </c>
      <c r="H130" s="21">
        <v>8523</v>
      </c>
      <c r="I130" s="21">
        <v>8182</v>
      </c>
      <c r="J130" s="21">
        <v>8948</v>
      </c>
      <c r="K130" s="21">
        <v>370</v>
      </c>
      <c r="L130" s="21">
        <v>3849</v>
      </c>
      <c r="M130" s="21">
        <v>8276</v>
      </c>
      <c r="N130" s="21">
        <v>5540</v>
      </c>
      <c r="O130" s="21">
        <v>8899</v>
      </c>
      <c r="P130" s="21">
        <v>4299</v>
      </c>
      <c r="Q130" s="21">
        <v>5922</v>
      </c>
      <c r="R130" s="21">
        <v>972</v>
      </c>
      <c r="S130" s="21">
        <v>9874</v>
      </c>
      <c r="T130" s="21">
        <v>1136</v>
      </c>
      <c r="U130" s="22">
        <v>8525</v>
      </c>
      <c r="W130" s="15"/>
      <c r="Z130"/>
      <c r="AA130"/>
      <c r="AB130" s="15">
        <v>73</v>
      </c>
    </row>
    <row r="131" spans="1:28" s="19" customFormat="1" ht="19.149999999999999" customHeight="1" x14ac:dyDescent="0.25">
      <c r="A131" s="25" t="s">
        <v>134</v>
      </c>
      <c r="B131" s="20">
        <v>5226</v>
      </c>
      <c r="C131" s="21">
        <v>6643</v>
      </c>
      <c r="D131" s="21">
        <v>8799</v>
      </c>
      <c r="E131" s="21">
        <v>2320</v>
      </c>
      <c r="F131" s="21">
        <v>3256</v>
      </c>
      <c r="G131" s="21">
        <v>5191</v>
      </c>
      <c r="H131" s="21">
        <v>5578</v>
      </c>
      <c r="I131" s="21">
        <v>7233</v>
      </c>
      <c r="J131" s="21">
        <v>4397</v>
      </c>
      <c r="K131" s="21">
        <v>7408</v>
      </c>
      <c r="L131" s="21">
        <v>2551</v>
      </c>
      <c r="M131" s="21">
        <v>1644</v>
      </c>
      <c r="N131" s="21">
        <v>5130</v>
      </c>
      <c r="O131" s="21">
        <v>8000</v>
      </c>
      <c r="P131" s="21">
        <v>6075</v>
      </c>
      <c r="Q131" s="21">
        <v>3426</v>
      </c>
      <c r="R131" s="21">
        <v>4572</v>
      </c>
      <c r="S131" s="21">
        <v>356</v>
      </c>
      <c r="T131" s="21">
        <v>4236</v>
      </c>
      <c r="U131" s="22">
        <v>3160</v>
      </c>
      <c r="W131" s="15"/>
      <c r="Z131"/>
      <c r="AA131"/>
      <c r="AB131" s="15">
        <v>74</v>
      </c>
    </row>
    <row r="132" spans="1:28" s="19" customFormat="1" ht="19.149999999999999" customHeight="1" x14ac:dyDescent="0.25">
      <c r="A132" s="25" t="s">
        <v>135</v>
      </c>
      <c r="B132" s="20">
        <v>7065</v>
      </c>
      <c r="C132" s="21">
        <v>4205</v>
      </c>
      <c r="D132" s="21">
        <v>3867</v>
      </c>
      <c r="E132" s="21">
        <v>2290</v>
      </c>
      <c r="F132" s="21">
        <v>8446</v>
      </c>
      <c r="G132" s="21">
        <v>2030</v>
      </c>
      <c r="H132" s="21">
        <v>7490</v>
      </c>
      <c r="I132" s="21">
        <v>8478</v>
      </c>
      <c r="J132" s="21">
        <v>9745</v>
      </c>
      <c r="K132" s="21">
        <v>1403</v>
      </c>
      <c r="L132" s="21">
        <v>1718</v>
      </c>
      <c r="M132" s="21">
        <v>8937</v>
      </c>
      <c r="N132" s="21">
        <v>2467</v>
      </c>
      <c r="O132" s="21">
        <v>7123</v>
      </c>
      <c r="P132" s="21">
        <v>2063</v>
      </c>
      <c r="Q132" s="21">
        <v>4773</v>
      </c>
      <c r="R132" s="21">
        <v>5819</v>
      </c>
      <c r="S132" s="21">
        <v>2141</v>
      </c>
      <c r="T132" s="21">
        <v>5392</v>
      </c>
      <c r="U132" s="22">
        <v>432</v>
      </c>
      <c r="W132" s="15"/>
      <c r="Z132"/>
      <c r="AA132"/>
      <c r="AB132" s="15">
        <v>75</v>
      </c>
    </row>
    <row r="133" spans="1:28" s="19" customFormat="1" ht="19.149999999999999" customHeight="1" x14ac:dyDescent="0.25">
      <c r="A133" s="25" t="s">
        <v>136</v>
      </c>
      <c r="B133" s="20">
        <v>2343</v>
      </c>
      <c r="C133" s="21">
        <v>5540</v>
      </c>
      <c r="D133" s="21">
        <v>4832</v>
      </c>
      <c r="E133" s="21">
        <v>4143</v>
      </c>
      <c r="F133" s="21">
        <v>8699</v>
      </c>
      <c r="G133" s="21">
        <v>4038</v>
      </c>
      <c r="H133" s="21">
        <v>3393</v>
      </c>
      <c r="I133" s="21">
        <v>6160</v>
      </c>
      <c r="J133" s="21">
        <v>7217</v>
      </c>
      <c r="K133" s="21">
        <v>5777</v>
      </c>
      <c r="L133" s="21">
        <v>2637</v>
      </c>
      <c r="M133" s="21">
        <v>8403</v>
      </c>
      <c r="N133" s="21">
        <v>4918</v>
      </c>
      <c r="O133" s="21">
        <v>1770</v>
      </c>
      <c r="P133" s="21">
        <v>5628</v>
      </c>
      <c r="Q133" s="21">
        <v>7635</v>
      </c>
      <c r="R133" s="21">
        <v>8426</v>
      </c>
      <c r="S133" s="21">
        <v>9202</v>
      </c>
      <c r="T133" s="21">
        <v>3710</v>
      </c>
      <c r="U133" s="22">
        <v>3047</v>
      </c>
      <c r="W133" s="15"/>
      <c r="Z133"/>
      <c r="AA133"/>
      <c r="AB133" s="15">
        <v>76</v>
      </c>
    </row>
    <row r="134" spans="1:28" s="19" customFormat="1" ht="19.149999999999999" customHeight="1" x14ac:dyDescent="0.25">
      <c r="A134" s="25" t="s">
        <v>137</v>
      </c>
      <c r="B134" s="20">
        <v>2148</v>
      </c>
      <c r="C134" s="21">
        <v>5187</v>
      </c>
      <c r="D134" s="21">
        <v>3666</v>
      </c>
      <c r="E134" s="21">
        <v>9539</v>
      </c>
      <c r="F134" s="21">
        <v>5079</v>
      </c>
      <c r="G134" s="21">
        <v>7635</v>
      </c>
      <c r="H134" s="21">
        <v>4077</v>
      </c>
      <c r="I134" s="21">
        <v>8456</v>
      </c>
      <c r="J134" s="21">
        <v>3721</v>
      </c>
      <c r="K134" s="21">
        <v>5166</v>
      </c>
      <c r="L134" s="21">
        <v>1061</v>
      </c>
      <c r="M134" s="21">
        <v>2164</v>
      </c>
      <c r="N134" s="21">
        <v>9611</v>
      </c>
      <c r="O134" s="21">
        <v>699</v>
      </c>
      <c r="P134" s="21">
        <v>4496</v>
      </c>
      <c r="Q134" s="21">
        <v>2085</v>
      </c>
      <c r="R134" s="21">
        <v>6920</v>
      </c>
      <c r="S134" s="21">
        <v>4810</v>
      </c>
      <c r="T134" s="21">
        <v>3277</v>
      </c>
      <c r="U134" s="22">
        <v>2140</v>
      </c>
      <c r="W134" s="15"/>
      <c r="Z134"/>
      <c r="AA134"/>
      <c r="AB134" s="15">
        <v>77</v>
      </c>
    </row>
    <row r="135" spans="1:28" s="19" customFormat="1" ht="19.149999999999999" customHeight="1" x14ac:dyDescent="0.25">
      <c r="A135" s="25" t="s">
        <v>138</v>
      </c>
      <c r="B135" s="20">
        <v>9919</v>
      </c>
      <c r="C135" s="21">
        <v>5266</v>
      </c>
      <c r="D135" s="21">
        <v>2217</v>
      </c>
      <c r="E135" s="21">
        <v>6545</v>
      </c>
      <c r="F135" s="21">
        <v>2208</v>
      </c>
      <c r="G135" s="21">
        <v>4626</v>
      </c>
      <c r="H135" s="21">
        <v>4154</v>
      </c>
      <c r="I135" s="21">
        <v>5533</v>
      </c>
      <c r="J135" s="21">
        <v>7044</v>
      </c>
      <c r="K135" s="21">
        <v>6793</v>
      </c>
      <c r="L135" s="21">
        <v>8175</v>
      </c>
      <c r="M135" s="21">
        <v>3731</v>
      </c>
      <c r="N135" s="21">
        <v>36</v>
      </c>
      <c r="O135" s="21">
        <v>7629</v>
      </c>
      <c r="P135" s="21">
        <v>7052</v>
      </c>
      <c r="Q135" s="21">
        <v>1477</v>
      </c>
      <c r="R135" s="21">
        <v>1122</v>
      </c>
      <c r="S135" s="21">
        <v>7122</v>
      </c>
      <c r="T135" s="21">
        <v>5216</v>
      </c>
      <c r="U135" s="22">
        <v>2135</v>
      </c>
      <c r="W135" s="15"/>
      <c r="Z135"/>
      <c r="AA135"/>
      <c r="AB135" s="15">
        <v>78</v>
      </c>
    </row>
    <row r="136" spans="1:28" s="19" customFormat="1" ht="19.149999999999999" customHeight="1" x14ac:dyDescent="0.25">
      <c r="A136" s="25" t="s">
        <v>139</v>
      </c>
      <c r="B136" s="20">
        <v>6965</v>
      </c>
      <c r="C136" s="21">
        <v>4385</v>
      </c>
      <c r="D136" s="21">
        <v>3499</v>
      </c>
      <c r="E136" s="21">
        <v>5050</v>
      </c>
      <c r="F136" s="21">
        <v>7269</v>
      </c>
      <c r="G136" s="21">
        <v>2775</v>
      </c>
      <c r="H136" s="21">
        <v>3165</v>
      </c>
      <c r="I136" s="21">
        <v>7854</v>
      </c>
      <c r="J136" s="21">
        <v>1076</v>
      </c>
      <c r="K136" s="21">
        <v>3289</v>
      </c>
      <c r="L136" s="21">
        <v>1919</v>
      </c>
      <c r="M136" s="21">
        <v>1692</v>
      </c>
      <c r="N136" s="21">
        <v>1575</v>
      </c>
      <c r="O136" s="21">
        <v>2219</v>
      </c>
      <c r="P136" s="21">
        <v>4376</v>
      </c>
      <c r="Q136" s="21">
        <v>5116</v>
      </c>
      <c r="R136" s="21">
        <v>7751</v>
      </c>
      <c r="S136" s="21">
        <v>3262</v>
      </c>
      <c r="T136" s="21">
        <v>6229</v>
      </c>
      <c r="U136" s="22">
        <v>6882</v>
      </c>
      <c r="W136" s="15"/>
      <c r="Z136"/>
      <c r="AA136"/>
      <c r="AB136" s="15">
        <v>79</v>
      </c>
    </row>
    <row r="137" spans="1:28" s="19" customFormat="1" ht="19.149999999999999" customHeight="1" x14ac:dyDescent="0.25">
      <c r="A137" s="25" t="s">
        <v>140</v>
      </c>
      <c r="B137" s="20">
        <v>3081</v>
      </c>
      <c r="C137" s="21">
        <v>3103</v>
      </c>
      <c r="D137" s="21">
        <v>9893</v>
      </c>
      <c r="E137" s="21">
        <v>9578</v>
      </c>
      <c r="F137" s="21">
        <v>5728</v>
      </c>
      <c r="G137" s="21">
        <v>3517</v>
      </c>
      <c r="H137" s="21">
        <v>5976</v>
      </c>
      <c r="I137" s="21">
        <v>1671</v>
      </c>
      <c r="J137" s="21">
        <v>6856</v>
      </c>
      <c r="K137" s="21">
        <v>9089</v>
      </c>
      <c r="L137" s="21">
        <v>2120</v>
      </c>
      <c r="M137" s="21">
        <v>5972</v>
      </c>
      <c r="N137" s="21">
        <v>4209</v>
      </c>
      <c r="O137" s="21">
        <v>5677</v>
      </c>
      <c r="P137" s="21">
        <v>4215</v>
      </c>
      <c r="Q137" s="21">
        <v>9659</v>
      </c>
      <c r="R137" s="21">
        <v>3248</v>
      </c>
      <c r="S137" s="21">
        <v>67</v>
      </c>
      <c r="T137" s="21">
        <v>1626</v>
      </c>
      <c r="U137" s="22">
        <v>5431</v>
      </c>
      <c r="W137" s="15"/>
      <c r="Z137"/>
      <c r="AA137"/>
      <c r="AB137" s="15">
        <v>80</v>
      </c>
    </row>
    <row r="138" spans="1:28" s="19" customFormat="1" ht="19.149999999999999" customHeight="1" x14ac:dyDescent="0.25">
      <c r="A138" s="25" t="s">
        <v>141</v>
      </c>
      <c r="B138" s="20">
        <v>1949</v>
      </c>
      <c r="C138" s="21">
        <v>5365</v>
      </c>
      <c r="D138" s="21">
        <v>8056</v>
      </c>
      <c r="E138" s="21">
        <v>9196</v>
      </c>
      <c r="F138" s="21">
        <v>3327</v>
      </c>
      <c r="G138" s="21">
        <v>8246</v>
      </c>
      <c r="H138" s="21">
        <v>7662</v>
      </c>
      <c r="I138" s="21">
        <v>1173</v>
      </c>
      <c r="J138" s="21">
        <v>693</v>
      </c>
      <c r="K138" s="21">
        <v>9670</v>
      </c>
      <c r="L138" s="21">
        <v>5032</v>
      </c>
      <c r="M138" s="21">
        <v>6200</v>
      </c>
      <c r="N138" s="21">
        <v>2553</v>
      </c>
      <c r="O138" s="21">
        <v>8339</v>
      </c>
      <c r="P138" s="21">
        <v>5024</v>
      </c>
      <c r="Q138" s="21">
        <v>2495</v>
      </c>
      <c r="R138" s="21">
        <v>2098</v>
      </c>
      <c r="S138" s="21">
        <v>2696</v>
      </c>
      <c r="T138" s="21">
        <v>7231</v>
      </c>
      <c r="U138" s="22">
        <v>9597</v>
      </c>
      <c r="W138" s="15"/>
      <c r="Z138"/>
      <c r="AA138"/>
      <c r="AB138" s="15">
        <v>81</v>
      </c>
    </row>
    <row r="139" spans="1:28" s="19" customFormat="1" ht="19.149999999999999" customHeight="1" x14ac:dyDescent="0.25">
      <c r="A139" s="25" t="s">
        <v>142</v>
      </c>
      <c r="B139" s="20">
        <v>5527</v>
      </c>
      <c r="C139" s="21">
        <v>6408</v>
      </c>
      <c r="D139" s="21">
        <v>2736</v>
      </c>
      <c r="E139" s="21">
        <v>7981</v>
      </c>
      <c r="F139" s="21">
        <v>9127</v>
      </c>
      <c r="G139" s="21">
        <v>8776</v>
      </c>
      <c r="H139" s="21">
        <v>8922</v>
      </c>
      <c r="I139" s="21">
        <v>3611</v>
      </c>
      <c r="J139" s="21">
        <v>8512</v>
      </c>
      <c r="K139" s="21">
        <v>7342</v>
      </c>
      <c r="L139" s="21">
        <v>1352</v>
      </c>
      <c r="M139" s="21">
        <v>7492</v>
      </c>
      <c r="N139" s="21">
        <v>7402</v>
      </c>
      <c r="O139" s="21">
        <v>6268</v>
      </c>
      <c r="P139" s="21">
        <v>188</v>
      </c>
      <c r="Q139" s="21">
        <v>5099</v>
      </c>
      <c r="R139" s="21">
        <v>8053</v>
      </c>
      <c r="S139" s="21">
        <v>3195</v>
      </c>
      <c r="T139" s="21">
        <v>3930</v>
      </c>
      <c r="U139" s="22">
        <v>4047</v>
      </c>
      <c r="W139" s="15"/>
      <c r="Z139"/>
      <c r="AA139"/>
      <c r="AB139" s="15">
        <v>82</v>
      </c>
    </row>
    <row r="140" spans="1:28" s="19" customFormat="1" ht="19.149999999999999" customHeight="1" x14ac:dyDescent="0.25">
      <c r="A140" s="25" t="s">
        <v>143</v>
      </c>
      <c r="B140" s="20">
        <v>8088</v>
      </c>
      <c r="C140" s="21">
        <v>820</v>
      </c>
      <c r="D140" s="21">
        <v>3163</v>
      </c>
      <c r="E140" s="21">
        <v>6465</v>
      </c>
      <c r="F140" s="21">
        <v>1446</v>
      </c>
      <c r="G140" s="21">
        <v>9448</v>
      </c>
      <c r="H140" s="21">
        <v>9928</v>
      </c>
      <c r="I140" s="21">
        <v>3999</v>
      </c>
      <c r="J140" s="21">
        <v>7417</v>
      </c>
      <c r="K140" s="21">
        <v>9744</v>
      </c>
      <c r="L140" s="21">
        <v>3552</v>
      </c>
      <c r="M140" s="21">
        <v>1203</v>
      </c>
      <c r="N140" s="21">
        <v>4387</v>
      </c>
      <c r="O140" s="21">
        <v>8208</v>
      </c>
      <c r="P140" s="21">
        <v>1587</v>
      </c>
      <c r="Q140" s="21">
        <v>6771</v>
      </c>
      <c r="R140" s="21">
        <v>2352</v>
      </c>
      <c r="S140" s="21">
        <v>2938</v>
      </c>
      <c r="T140" s="21">
        <v>2391</v>
      </c>
      <c r="U140" s="22">
        <v>903</v>
      </c>
      <c r="W140" s="15"/>
      <c r="Z140"/>
      <c r="AA140"/>
      <c r="AB140" s="15">
        <v>83</v>
      </c>
    </row>
    <row r="141" spans="1:28" s="19" customFormat="1" ht="19.149999999999999" customHeight="1" x14ac:dyDescent="0.25">
      <c r="A141" s="25" t="s">
        <v>144</v>
      </c>
      <c r="B141" s="20">
        <v>9375</v>
      </c>
      <c r="C141" s="21">
        <v>3571</v>
      </c>
      <c r="D141" s="21">
        <v>7012</v>
      </c>
      <c r="E141" s="21">
        <v>5311</v>
      </c>
      <c r="F141" s="21">
        <v>6503</v>
      </c>
      <c r="G141" s="21">
        <v>5953</v>
      </c>
      <c r="H141" s="21">
        <v>1609</v>
      </c>
      <c r="I141" s="21">
        <v>3241</v>
      </c>
      <c r="J141" s="21">
        <v>9701</v>
      </c>
      <c r="K141" s="21">
        <v>4634</v>
      </c>
      <c r="L141" s="21">
        <v>7535</v>
      </c>
      <c r="M141" s="21">
        <v>2228</v>
      </c>
      <c r="N141" s="21">
        <v>8728</v>
      </c>
      <c r="O141" s="21">
        <v>4603</v>
      </c>
      <c r="P141" s="21">
        <v>8479</v>
      </c>
      <c r="Q141" s="21">
        <v>5061</v>
      </c>
      <c r="R141" s="21">
        <v>2999</v>
      </c>
      <c r="S141" s="21">
        <v>7173</v>
      </c>
      <c r="T141" s="21">
        <v>6554</v>
      </c>
      <c r="U141" s="22">
        <v>3262</v>
      </c>
      <c r="W141" s="15"/>
      <c r="Z141"/>
      <c r="AA141"/>
      <c r="AB141" s="15">
        <v>84</v>
      </c>
    </row>
    <row r="142" spans="1:28" s="19" customFormat="1" ht="19.149999999999999" customHeight="1" x14ac:dyDescent="0.25">
      <c r="A142" s="25" t="s">
        <v>145</v>
      </c>
      <c r="B142" s="20">
        <v>1411</v>
      </c>
      <c r="C142" s="21">
        <v>3449</v>
      </c>
      <c r="D142" s="21">
        <v>616</v>
      </c>
      <c r="E142" s="21">
        <v>7691</v>
      </c>
      <c r="F142" s="21">
        <v>6790</v>
      </c>
      <c r="G142" s="21">
        <v>3593</v>
      </c>
      <c r="H142" s="21">
        <v>2580</v>
      </c>
      <c r="I142" s="21">
        <v>7479</v>
      </c>
      <c r="J142" s="21">
        <v>8512</v>
      </c>
      <c r="K142" s="21">
        <v>6880</v>
      </c>
      <c r="L142" s="21">
        <v>6026</v>
      </c>
      <c r="M142" s="21">
        <v>8513</v>
      </c>
      <c r="N142" s="21">
        <v>5924</v>
      </c>
      <c r="O142" s="21">
        <v>1118</v>
      </c>
      <c r="P142" s="21">
        <v>4334</v>
      </c>
      <c r="Q142" s="21">
        <v>9313</v>
      </c>
      <c r="R142" s="21">
        <v>6222</v>
      </c>
      <c r="S142" s="21">
        <v>99</v>
      </c>
      <c r="T142" s="21">
        <v>3458</v>
      </c>
      <c r="U142" s="22">
        <v>4898</v>
      </c>
      <c r="W142" s="15"/>
      <c r="Z142"/>
      <c r="AA142"/>
      <c r="AB142" s="15">
        <v>85</v>
      </c>
    </row>
    <row r="143" spans="1:28" s="19" customFormat="1" ht="19.149999999999999" customHeight="1" x14ac:dyDescent="0.25">
      <c r="A143" s="25" t="s">
        <v>146</v>
      </c>
      <c r="B143" s="20">
        <v>7454</v>
      </c>
      <c r="C143" s="21">
        <v>105</v>
      </c>
      <c r="D143" s="21">
        <v>651</v>
      </c>
      <c r="E143" s="21">
        <v>2558</v>
      </c>
      <c r="F143" s="21">
        <v>8412</v>
      </c>
      <c r="G143" s="21">
        <v>3189</v>
      </c>
      <c r="H143" s="21">
        <v>7121</v>
      </c>
      <c r="I143" s="21">
        <v>6623</v>
      </c>
      <c r="J143" s="21">
        <v>8278</v>
      </c>
      <c r="K143" s="21">
        <v>6882</v>
      </c>
      <c r="L143" s="21">
        <v>5079</v>
      </c>
      <c r="M143" s="21">
        <v>3315</v>
      </c>
      <c r="N143" s="21">
        <v>7457</v>
      </c>
      <c r="O143" s="21">
        <v>792</v>
      </c>
      <c r="P143" s="21">
        <v>7954</v>
      </c>
      <c r="Q143" s="21">
        <v>4011</v>
      </c>
      <c r="R143" s="21">
        <v>7405</v>
      </c>
      <c r="S143" s="21">
        <v>3737</v>
      </c>
      <c r="T143" s="21">
        <v>6627</v>
      </c>
      <c r="U143" s="22">
        <v>638</v>
      </c>
      <c r="W143" s="15"/>
      <c r="Z143"/>
      <c r="AA143"/>
      <c r="AB143" s="15">
        <v>86</v>
      </c>
    </row>
    <row r="144" spans="1:28" s="19" customFormat="1" ht="19.149999999999999" customHeight="1" x14ac:dyDescent="0.25">
      <c r="A144" s="25" t="s">
        <v>147</v>
      </c>
      <c r="B144" s="20">
        <v>3718</v>
      </c>
      <c r="C144" s="21">
        <v>7986</v>
      </c>
      <c r="D144" s="21">
        <v>3491</v>
      </c>
      <c r="E144" s="21">
        <v>175</v>
      </c>
      <c r="F144" s="21">
        <v>2822</v>
      </c>
      <c r="G144" s="21">
        <v>842</v>
      </c>
      <c r="H144" s="21">
        <v>7755</v>
      </c>
      <c r="I144" s="21">
        <v>9672</v>
      </c>
      <c r="J144" s="21">
        <v>1182</v>
      </c>
      <c r="K144" s="21">
        <v>8250</v>
      </c>
      <c r="L144" s="21">
        <v>7073</v>
      </c>
      <c r="M144" s="21">
        <v>5486</v>
      </c>
      <c r="N144" s="21">
        <v>6481</v>
      </c>
      <c r="O144" s="21">
        <v>2975</v>
      </c>
      <c r="P144" s="21">
        <v>7884</v>
      </c>
      <c r="Q144" s="21">
        <v>1373</v>
      </c>
      <c r="R144" s="21">
        <v>5353</v>
      </c>
      <c r="S144" s="21">
        <v>9859</v>
      </c>
      <c r="T144" s="21">
        <v>2052</v>
      </c>
      <c r="U144" s="22">
        <v>5651</v>
      </c>
      <c r="W144" s="15"/>
      <c r="Z144"/>
      <c r="AA144"/>
      <c r="AB144" s="15">
        <v>87</v>
      </c>
    </row>
    <row r="145" spans="1:28" s="19" customFormat="1" ht="19.149999999999999" customHeight="1" x14ac:dyDescent="0.25">
      <c r="A145" s="25" t="s">
        <v>148</v>
      </c>
      <c r="B145" s="20">
        <v>9660</v>
      </c>
      <c r="C145" s="21">
        <v>8516</v>
      </c>
      <c r="D145" s="21">
        <v>5873</v>
      </c>
      <c r="E145" s="21">
        <v>9258</v>
      </c>
      <c r="F145" s="21">
        <v>3012</v>
      </c>
      <c r="G145" s="21">
        <v>992</v>
      </c>
      <c r="H145" s="21">
        <v>1540</v>
      </c>
      <c r="I145" s="21">
        <v>151</v>
      </c>
      <c r="J145" s="21">
        <v>1898</v>
      </c>
      <c r="K145" s="21">
        <v>3698</v>
      </c>
      <c r="L145" s="21">
        <v>2478</v>
      </c>
      <c r="M145" s="21">
        <v>871</v>
      </c>
      <c r="N145" s="21">
        <v>8984</v>
      </c>
      <c r="O145" s="21">
        <v>7261</v>
      </c>
      <c r="P145" s="21">
        <v>2329</v>
      </c>
      <c r="Q145" s="21">
        <v>571</v>
      </c>
      <c r="R145" s="21">
        <v>831</v>
      </c>
      <c r="S145" s="21">
        <v>7339</v>
      </c>
      <c r="T145" s="21">
        <v>3066</v>
      </c>
      <c r="U145" s="22">
        <v>2279</v>
      </c>
      <c r="W145" s="15"/>
      <c r="Z145"/>
      <c r="AA145"/>
      <c r="AB145" s="15">
        <v>88</v>
      </c>
    </row>
    <row r="146" spans="1:28" s="19" customFormat="1" ht="19.149999999999999" customHeight="1" x14ac:dyDescent="0.25">
      <c r="A146" s="25" t="s">
        <v>149</v>
      </c>
      <c r="B146" s="20">
        <v>5193</v>
      </c>
      <c r="C146" s="21">
        <v>7264</v>
      </c>
      <c r="D146" s="21">
        <v>6919</v>
      </c>
      <c r="E146" s="21">
        <v>5343</v>
      </c>
      <c r="F146" s="21">
        <v>3702</v>
      </c>
      <c r="G146" s="21">
        <v>5145</v>
      </c>
      <c r="H146" s="21">
        <v>7228</v>
      </c>
      <c r="I146" s="21">
        <v>8031</v>
      </c>
      <c r="J146" s="21">
        <v>5326</v>
      </c>
      <c r="K146" s="21">
        <v>8808</v>
      </c>
      <c r="L146" s="21">
        <v>1898</v>
      </c>
      <c r="M146" s="21">
        <v>7167</v>
      </c>
      <c r="N146" s="21">
        <v>7455</v>
      </c>
      <c r="O146" s="21">
        <v>3583</v>
      </c>
      <c r="P146" s="21">
        <v>137</v>
      </c>
      <c r="Q146" s="21">
        <v>616</v>
      </c>
      <c r="R146" s="21">
        <v>8862</v>
      </c>
      <c r="S146" s="21">
        <v>6361</v>
      </c>
      <c r="T146" s="21">
        <v>2277</v>
      </c>
      <c r="U146" s="22">
        <v>6266</v>
      </c>
      <c r="W146" s="15"/>
      <c r="Z146"/>
      <c r="AA146"/>
      <c r="AB146" s="15">
        <v>89</v>
      </c>
    </row>
    <row r="147" spans="1:28" s="19" customFormat="1" ht="19.149999999999999" customHeight="1" x14ac:dyDescent="0.25">
      <c r="A147" s="25" t="s">
        <v>150</v>
      </c>
      <c r="B147" s="20">
        <v>1634</v>
      </c>
      <c r="C147" s="21">
        <v>3251</v>
      </c>
      <c r="D147" s="21">
        <v>9760</v>
      </c>
      <c r="E147" s="21">
        <v>3117</v>
      </c>
      <c r="F147" s="21">
        <v>7737</v>
      </c>
      <c r="G147" s="21">
        <v>8188</v>
      </c>
      <c r="H147" s="21">
        <v>5444</v>
      </c>
      <c r="I147" s="21">
        <v>2898</v>
      </c>
      <c r="J147" s="21">
        <v>5793</v>
      </c>
      <c r="K147" s="21">
        <v>2929</v>
      </c>
      <c r="L147" s="21">
        <v>2024</v>
      </c>
      <c r="M147" s="21">
        <v>5781</v>
      </c>
      <c r="N147" s="21">
        <v>7758</v>
      </c>
      <c r="O147" s="21">
        <v>8702</v>
      </c>
      <c r="P147" s="21">
        <v>6690</v>
      </c>
      <c r="Q147" s="21">
        <v>297</v>
      </c>
      <c r="R147" s="21">
        <v>4127</v>
      </c>
      <c r="S147" s="21">
        <v>2471</v>
      </c>
      <c r="T147" s="21">
        <v>2201</v>
      </c>
      <c r="U147" s="22">
        <v>7672</v>
      </c>
      <c r="W147" s="15"/>
      <c r="Z147"/>
      <c r="AA147"/>
      <c r="AB147" s="15">
        <v>90</v>
      </c>
    </row>
    <row r="148" spans="1:28" s="19" customFormat="1" ht="19.149999999999999" customHeight="1" x14ac:dyDescent="0.25">
      <c r="A148" s="25" t="s">
        <v>151</v>
      </c>
      <c r="B148" s="20">
        <v>5004</v>
      </c>
      <c r="C148" s="21">
        <v>3215</v>
      </c>
      <c r="D148" s="21">
        <v>4453</v>
      </c>
      <c r="E148" s="21">
        <v>5274</v>
      </c>
      <c r="F148" s="21">
        <v>6348</v>
      </c>
      <c r="G148" s="21">
        <v>7037</v>
      </c>
      <c r="H148" s="21">
        <v>6196</v>
      </c>
      <c r="I148" s="21">
        <v>7149</v>
      </c>
      <c r="J148" s="21">
        <v>8865</v>
      </c>
      <c r="K148" s="21">
        <v>7945</v>
      </c>
      <c r="L148" s="21">
        <v>897</v>
      </c>
      <c r="M148" s="21">
        <v>1332</v>
      </c>
      <c r="N148" s="21">
        <v>500</v>
      </c>
      <c r="O148" s="21">
        <v>2320</v>
      </c>
      <c r="P148" s="21">
        <v>7067</v>
      </c>
      <c r="Q148" s="21">
        <v>2870</v>
      </c>
      <c r="R148" s="21">
        <v>6541</v>
      </c>
      <c r="S148" s="21">
        <v>7619</v>
      </c>
      <c r="T148" s="21">
        <v>7394</v>
      </c>
      <c r="U148" s="22">
        <v>5020</v>
      </c>
      <c r="W148" s="15"/>
      <c r="Z148"/>
      <c r="AA148"/>
      <c r="AB148" s="15">
        <v>91</v>
      </c>
    </row>
    <row r="149" spans="1:28" s="19" customFormat="1" ht="19.149999999999999" customHeight="1" x14ac:dyDescent="0.25">
      <c r="A149" s="25" t="s">
        <v>152</v>
      </c>
      <c r="B149" s="20">
        <v>1148</v>
      </c>
      <c r="C149" s="21">
        <v>6131</v>
      </c>
      <c r="D149" s="21">
        <v>849</v>
      </c>
      <c r="E149" s="21">
        <v>9365</v>
      </c>
      <c r="F149" s="21">
        <v>5871</v>
      </c>
      <c r="G149" s="21">
        <v>439</v>
      </c>
      <c r="H149" s="21">
        <v>9134</v>
      </c>
      <c r="I149" s="21">
        <v>5494</v>
      </c>
      <c r="J149" s="21">
        <v>2540</v>
      </c>
      <c r="K149" s="21">
        <v>5577</v>
      </c>
      <c r="L149" s="21">
        <v>6699</v>
      </c>
      <c r="M149" s="21">
        <v>9494</v>
      </c>
      <c r="N149" s="21">
        <v>6770</v>
      </c>
      <c r="O149" s="21">
        <v>1021</v>
      </c>
      <c r="P149" s="21">
        <v>7815</v>
      </c>
      <c r="Q149" s="21">
        <v>2989</v>
      </c>
      <c r="R149" s="21">
        <v>3190</v>
      </c>
      <c r="S149" s="21">
        <v>18</v>
      </c>
      <c r="T149" s="21">
        <v>5870</v>
      </c>
      <c r="U149" s="22">
        <v>8971</v>
      </c>
      <c r="W149" s="15"/>
      <c r="Z149"/>
      <c r="AA149"/>
      <c r="AB149" s="15">
        <v>92</v>
      </c>
    </row>
    <row r="150" spans="1:28" s="19" customFormat="1" ht="19.149999999999999" customHeight="1" x14ac:dyDescent="0.25">
      <c r="A150" s="25" t="s">
        <v>153</v>
      </c>
      <c r="B150" s="20">
        <v>9847</v>
      </c>
      <c r="C150" s="21">
        <v>4566</v>
      </c>
      <c r="D150" s="21">
        <v>835</v>
      </c>
      <c r="E150" s="21">
        <v>2702</v>
      </c>
      <c r="F150" s="21">
        <v>3275</v>
      </c>
      <c r="G150" s="21">
        <v>9818</v>
      </c>
      <c r="H150" s="21">
        <v>4173</v>
      </c>
      <c r="I150" s="21">
        <v>7532</v>
      </c>
      <c r="J150" s="21">
        <v>8216</v>
      </c>
      <c r="K150" s="21">
        <v>7255</v>
      </c>
      <c r="L150" s="21">
        <v>2647</v>
      </c>
      <c r="M150" s="21">
        <v>7700</v>
      </c>
      <c r="N150" s="21">
        <v>3991</v>
      </c>
      <c r="O150" s="21">
        <v>5657</v>
      </c>
      <c r="P150" s="21">
        <v>4434</v>
      </c>
      <c r="Q150" s="21">
        <v>7103</v>
      </c>
      <c r="R150" s="21">
        <v>2699</v>
      </c>
      <c r="S150" s="21">
        <v>9276</v>
      </c>
      <c r="T150" s="21">
        <v>2404</v>
      </c>
      <c r="U150" s="22">
        <v>4759</v>
      </c>
      <c r="W150" s="15"/>
      <c r="Z150"/>
      <c r="AA150"/>
      <c r="AB150" s="15">
        <v>93</v>
      </c>
    </row>
    <row r="151" spans="1:28" s="19" customFormat="1" ht="19.149999999999999" customHeight="1" x14ac:dyDescent="0.25">
      <c r="A151" s="25" t="s">
        <v>154</v>
      </c>
      <c r="B151" s="20">
        <v>9441</v>
      </c>
      <c r="C151" s="21">
        <v>680</v>
      </c>
      <c r="D151" s="21">
        <v>3431</v>
      </c>
      <c r="E151" s="21">
        <v>5465</v>
      </c>
      <c r="F151" s="21">
        <v>5763</v>
      </c>
      <c r="G151" s="21">
        <v>2556</v>
      </c>
      <c r="H151" s="21">
        <v>1845</v>
      </c>
      <c r="I151" s="21">
        <v>3341</v>
      </c>
      <c r="J151" s="21">
        <v>1157</v>
      </c>
      <c r="K151" s="21">
        <v>3189</v>
      </c>
      <c r="L151" s="21">
        <v>1359</v>
      </c>
      <c r="M151" s="21">
        <v>3963</v>
      </c>
      <c r="N151" s="21">
        <v>7449</v>
      </c>
      <c r="O151" s="21">
        <v>9941</v>
      </c>
      <c r="P151" s="21">
        <v>7364</v>
      </c>
      <c r="Q151" s="21">
        <v>3700</v>
      </c>
      <c r="R151" s="21">
        <v>1261</v>
      </c>
      <c r="S151" s="21">
        <v>8991</v>
      </c>
      <c r="T151" s="21">
        <v>6125</v>
      </c>
      <c r="U151" s="22">
        <v>1459</v>
      </c>
      <c r="W151" s="15"/>
      <c r="Z151"/>
      <c r="AA151"/>
      <c r="AB151" s="15">
        <v>94</v>
      </c>
    </row>
    <row r="152" spans="1:28" s="19" customFormat="1" ht="19.149999999999999" customHeight="1" x14ac:dyDescent="0.25">
      <c r="A152" s="25" t="s">
        <v>155</v>
      </c>
      <c r="B152" s="20">
        <v>3445</v>
      </c>
      <c r="C152" s="21">
        <v>9275</v>
      </c>
      <c r="D152" s="21">
        <v>3527</v>
      </c>
      <c r="E152" s="21">
        <v>3466</v>
      </c>
      <c r="F152" s="21">
        <v>3916</v>
      </c>
      <c r="G152" s="21">
        <v>8125</v>
      </c>
      <c r="H152" s="21">
        <v>5875</v>
      </c>
      <c r="I152" s="21">
        <v>728</v>
      </c>
      <c r="J152" s="21">
        <v>2041</v>
      </c>
      <c r="K152" s="21">
        <v>8532</v>
      </c>
      <c r="L152" s="21">
        <v>3726</v>
      </c>
      <c r="M152" s="21">
        <v>3618</v>
      </c>
      <c r="N152" s="21">
        <v>5773</v>
      </c>
      <c r="O152" s="21">
        <v>8893</v>
      </c>
      <c r="P152" s="21">
        <v>5773</v>
      </c>
      <c r="Q152" s="21">
        <v>5522</v>
      </c>
      <c r="R152" s="21">
        <v>4114</v>
      </c>
      <c r="S152" s="21">
        <v>7128</v>
      </c>
      <c r="T152" s="21">
        <v>5136</v>
      </c>
      <c r="U152" s="22">
        <v>548</v>
      </c>
      <c r="W152" s="15"/>
      <c r="Z152"/>
      <c r="AA152"/>
      <c r="AB152" s="15">
        <v>95</v>
      </c>
    </row>
    <row r="153" spans="1:28" s="19" customFormat="1" ht="19.149999999999999" customHeight="1" x14ac:dyDescent="0.25">
      <c r="A153" s="25" t="s">
        <v>156</v>
      </c>
      <c r="B153" s="20">
        <v>9997</v>
      </c>
      <c r="C153" s="21">
        <v>6959</v>
      </c>
      <c r="D153" s="21">
        <v>5777</v>
      </c>
      <c r="E153" s="21">
        <v>2424</v>
      </c>
      <c r="F153" s="21">
        <v>1167</v>
      </c>
      <c r="G153" s="21">
        <v>1911</v>
      </c>
      <c r="H153" s="21">
        <v>8607</v>
      </c>
      <c r="I153" s="21">
        <v>8223</v>
      </c>
      <c r="J153" s="21">
        <v>7253</v>
      </c>
      <c r="K153" s="21">
        <v>3779</v>
      </c>
      <c r="L153" s="21">
        <v>6337</v>
      </c>
      <c r="M153" s="21">
        <v>4562</v>
      </c>
      <c r="N153" s="21">
        <v>890</v>
      </c>
      <c r="O153" s="21">
        <v>27</v>
      </c>
      <c r="P153" s="21">
        <v>8386</v>
      </c>
      <c r="Q153" s="21">
        <v>6267</v>
      </c>
      <c r="R153" s="21">
        <v>3860</v>
      </c>
      <c r="S153" s="21">
        <v>3342</v>
      </c>
      <c r="T153" s="21">
        <v>7127</v>
      </c>
      <c r="U153" s="22">
        <v>9729</v>
      </c>
      <c r="W153" s="15"/>
      <c r="Z153"/>
      <c r="AA153"/>
      <c r="AB153" s="15">
        <v>96</v>
      </c>
    </row>
    <row r="154" spans="1:28" s="19" customFormat="1" ht="19.149999999999999" customHeight="1" x14ac:dyDescent="0.25">
      <c r="A154" s="25" t="s">
        <v>157</v>
      </c>
      <c r="B154" s="20">
        <v>9295</v>
      </c>
      <c r="C154" s="21">
        <v>8372</v>
      </c>
      <c r="D154" s="21">
        <v>2005</v>
      </c>
      <c r="E154" s="21">
        <v>6932</v>
      </c>
      <c r="F154" s="21">
        <v>3706</v>
      </c>
      <c r="G154" s="21">
        <v>2421</v>
      </c>
      <c r="H154" s="21">
        <v>219</v>
      </c>
      <c r="I154" s="21">
        <v>2676</v>
      </c>
      <c r="J154" s="21">
        <v>1061</v>
      </c>
      <c r="K154" s="21">
        <v>6604</v>
      </c>
      <c r="L154" s="21">
        <v>9294</v>
      </c>
      <c r="M154" s="21">
        <v>2788</v>
      </c>
      <c r="N154" s="21">
        <v>8319</v>
      </c>
      <c r="O154" s="21">
        <v>8579</v>
      </c>
      <c r="P154" s="21">
        <v>4851</v>
      </c>
      <c r="Q154" s="21">
        <v>6424</v>
      </c>
      <c r="R154" s="21">
        <v>2949</v>
      </c>
      <c r="S154" s="21">
        <v>4674</v>
      </c>
      <c r="T154" s="21">
        <v>7102</v>
      </c>
      <c r="U154" s="22">
        <v>4909</v>
      </c>
      <c r="W154" s="15"/>
      <c r="Z154"/>
      <c r="AA154"/>
      <c r="AB154" s="15">
        <v>97</v>
      </c>
    </row>
    <row r="155" spans="1:28" s="19" customFormat="1" ht="19.149999999999999" customHeight="1" x14ac:dyDescent="0.25">
      <c r="A155" s="25" t="s">
        <v>158</v>
      </c>
      <c r="B155" s="20">
        <v>6806</v>
      </c>
      <c r="C155" s="21">
        <v>3507</v>
      </c>
      <c r="D155" s="21">
        <v>8541</v>
      </c>
      <c r="E155" s="21">
        <v>6433</v>
      </c>
      <c r="F155" s="21">
        <v>3081</v>
      </c>
      <c r="G155" s="21">
        <v>5726</v>
      </c>
      <c r="H155" s="21">
        <v>160</v>
      </c>
      <c r="I155" s="21">
        <v>9193</v>
      </c>
      <c r="J155" s="21">
        <v>7509</v>
      </c>
      <c r="K155" s="21">
        <v>9147</v>
      </c>
      <c r="L155" s="21">
        <v>8726</v>
      </c>
      <c r="M155" s="21">
        <v>4612</v>
      </c>
      <c r="N155" s="21">
        <v>1531</v>
      </c>
      <c r="O155" s="21">
        <v>9881</v>
      </c>
      <c r="P155" s="21">
        <v>35</v>
      </c>
      <c r="Q155" s="21">
        <v>7845</v>
      </c>
      <c r="R155" s="21">
        <v>1475</v>
      </c>
      <c r="S155" s="21">
        <v>4922</v>
      </c>
      <c r="T155" s="21">
        <v>6329</v>
      </c>
      <c r="U155" s="22">
        <v>7099</v>
      </c>
      <c r="W155" s="15"/>
      <c r="Z155"/>
      <c r="AA155"/>
      <c r="AB155" s="15">
        <v>98</v>
      </c>
    </row>
    <row r="156" spans="1:28" s="19" customFormat="1" ht="19.149999999999999" customHeight="1" x14ac:dyDescent="0.25">
      <c r="A156" s="25" t="s">
        <v>159</v>
      </c>
      <c r="B156" s="20">
        <v>6254</v>
      </c>
      <c r="C156" s="21">
        <v>4139</v>
      </c>
      <c r="D156" s="21">
        <v>8998</v>
      </c>
      <c r="E156" s="21">
        <v>8606</v>
      </c>
      <c r="F156" s="21">
        <v>1896</v>
      </c>
      <c r="G156" s="21">
        <v>524</v>
      </c>
      <c r="H156" s="21">
        <v>3817</v>
      </c>
      <c r="I156" s="21">
        <v>2280</v>
      </c>
      <c r="J156" s="21">
        <v>2623</v>
      </c>
      <c r="K156" s="21">
        <v>6900</v>
      </c>
      <c r="L156" s="21">
        <v>6173</v>
      </c>
      <c r="M156" s="21">
        <v>4154</v>
      </c>
      <c r="N156" s="21">
        <v>3328</v>
      </c>
      <c r="O156" s="21">
        <v>2956</v>
      </c>
      <c r="P156" s="21">
        <v>8121</v>
      </c>
      <c r="Q156" s="21">
        <v>9742</v>
      </c>
      <c r="R156" s="21">
        <v>5724</v>
      </c>
      <c r="S156" s="21">
        <v>6930</v>
      </c>
      <c r="T156" s="21">
        <v>7711</v>
      </c>
      <c r="U156" s="22">
        <v>879</v>
      </c>
      <c r="W156" s="15"/>
      <c r="Z156"/>
      <c r="AA156"/>
      <c r="AB156" s="15">
        <v>99</v>
      </c>
    </row>
    <row r="157" spans="1:28" s="19" customFormat="1" ht="19.149999999999999" customHeight="1" x14ac:dyDescent="0.25">
      <c r="A157" s="25" t="s">
        <v>160</v>
      </c>
      <c r="B157" s="20">
        <v>3161</v>
      </c>
      <c r="C157" s="21">
        <v>2933</v>
      </c>
      <c r="D157" s="21">
        <v>4093</v>
      </c>
      <c r="E157" s="21">
        <v>2576</v>
      </c>
      <c r="F157" s="21">
        <v>140</v>
      </c>
      <c r="G157" s="21">
        <v>1989</v>
      </c>
      <c r="H157" s="21">
        <v>9838</v>
      </c>
      <c r="I157" s="21">
        <v>7254</v>
      </c>
      <c r="J157" s="21">
        <v>1454</v>
      </c>
      <c r="K157" s="21">
        <v>4149</v>
      </c>
      <c r="L157" s="21">
        <v>2642</v>
      </c>
      <c r="M157" s="21">
        <v>7771</v>
      </c>
      <c r="N157" s="21">
        <v>4756</v>
      </c>
      <c r="O157" s="21">
        <v>1591</v>
      </c>
      <c r="P157" s="21">
        <v>868</v>
      </c>
      <c r="Q157" s="21">
        <v>4373</v>
      </c>
      <c r="R157" s="21">
        <v>5956</v>
      </c>
      <c r="S157" s="21">
        <v>557</v>
      </c>
      <c r="T157" s="21">
        <v>8911</v>
      </c>
      <c r="U157" s="22">
        <v>1965</v>
      </c>
      <c r="W157" s="15"/>
      <c r="Z157"/>
      <c r="AA157"/>
      <c r="AB157" s="15">
        <v>100</v>
      </c>
    </row>
    <row r="158" spans="1:28" s="19" customFormat="1" ht="19.149999999999999" customHeight="1" x14ac:dyDescent="0.25">
      <c r="A158" s="25" t="s">
        <v>161</v>
      </c>
      <c r="B158" s="20">
        <v>6733</v>
      </c>
      <c r="C158" s="21">
        <v>2659</v>
      </c>
      <c r="D158" s="21">
        <v>8179</v>
      </c>
      <c r="E158" s="21">
        <v>8969</v>
      </c>
      <c r="F158" s="21">
        <v>2638</v>
      </c>
      <c r="G158" s="21">
        <v>5799</v>
      </c>
      <c r="H158" s="21">
        <v>4368</v>
      </c>
      <c r="I158" s="21">
        <v>2107</v>
      </c>
      <c r="J158" s="21">
        <v>2562</v>
      </c>
      <c r="K158" s="21">
        <v>2184</v>
      </c>
      <c r="L158" s="21">
        <v>3805</v>
      </c>
      <c r="M158" s="21">
        <v>339</v>
      </c>
      <c r="N158" s="21">
        <v>4151</v>
      </c>
      <c r="O158" s="21">
        <v>8380</v>
      </c>
      <c r="P158" s="21">
        <v>7012</v>
      </c>
      <c r="Q158" s="21">
        <v>3348</v>
      </c>
      <c r="R158" s="21">
        <v>5722</v>
      </c>
      <c r="S158" s="21">
        <v>8503</v>
      </c>
      <c r="T158" s="21">
        <v>5206</v>
      </c>
      <c r="U158" s="22">
        <v>929</v>
      </c>
      <c r="W158" s="15"/>
      <c r="Z158"/>
      <c r="AA158"/>
      <c r="AB158" s="15">
        <v>101</v>
      </c>
    </row>
    <row r="159" spans="1:28" s="19" customFormat="1" ht="19.149999999999999" customHeight="1" x14ac:dyDescent="0.25">
      <c r="A159" s="25" t="s">
        <v>162</v>
      </c>
      <c r="B159" s="20">
        <v>429</v>
      </c>
      <c r="C159" s="21">
        <v>8746</v>
      </c>
      <c r="D159" s="21">
        <v>3236</v>
      </c>
      <c r="E159" s="21">
        <v>5440</v>
      </c>
      <c r="F159" s="21">
        <v>3150</v>
      </c>
      <c r="G159" s="21">
        <v>6175</v>
      </c>
      <c r="H159" s="21">
        <v>4137</v>
      </c>
      <c r="I159" s="21">
        <v>5163</v>
      </c>
      <c r="J159" s="21">
        <v>6300</v>
      </c>
      <c r="K159" s="21">
        <v>750</v>
      </c>
      <c r="L159" s="21">
        <v>2958</v>
      </c>
      <c r="M159" s="21">
        <v>5250</v>
      </c>
      <c r="N159" s="21">
        <v>5074</v>
      </c>
      <c r="O159" s="21">
        <v>8148</v>
      </c>
      <c r="P159" s="21">
        <v>265</v>
      </c>
      <c r="Q159" s="21">
        <v>3031</v>
      </c>
      <c r="R159" s="21">
        <v>6651</v>
      </c>
      <c r="S159" s="21">
        <v>1032</v>
      </c>
      <c r="T159" s="21">
        <v>6309</v>
      </c>
      <c r="U159" s="22">
        <v>342</v>
      </c>
      <c r="W159" s="15"/>
      <c r="Z159"/>
      <c r="AA159"/>
      <c r="AB159" s="15">
        <v>102</v>
      </c>
    </row>
    <row r="160" spans="1:28" s="19" customFormat="1" ht="19.149999999999999" customHeight="1" x14ac:dyDescent="0.25">
      <c r="A160" s="25" t="s">
        <v>163</v>
      </c>
      <c r="B160" s="20">
        <v>5329</v>
      </c>
      <c r="C160" s="21">
        <v>8598</v>
      </c>
      <c r="D160" s="21">
        <v>4378</v>
      </c>
      <c r="E160" s="21">
        <v>5009</v>
      </c>
      <c r="F160" s="21">
        <v>9343</v>
      </c>
      <c r="G160" s="21">
        <v>8377</v>
      </c>
      <c r="H160" s="21">
        <v>3098</v>
      </c>
      <c r="I160" s="21">
        <v>7756</v>
      </c>
      <c r="J160" s="21">
        <v>6727</v>
      </c>
      <c r="K160" s="21">
        <v>5871</v>
      </c>
      <c r="L160" s="21">
        <v>8238</v>
      </c>
      <c r="M160" s="21">
        <v>4994</v>
      </c>
      <c r="N160" s="21">
        <v>2278</v>
      </c>
      <c r="O160" s="21">
        <v>739</v>
      </c>
      <c r="P160" s="21">
        <v>1278</v>
      </c>
      <c r="Q160" s="21">
        <v>4570</v>
      </c>
      <c r="R160" s="21">
        <v>7215</v>
      </c>
      <c r="S160" s="21">
        <v>3053</v>
      </c>
      <c r="T160" s="21">
        <v>8877</v>
      </c>
      <c r="U160" s="22">
        <v>2380</v>
      </c>
      <c r="W160" s="15"/>
      <c r="Z160"/>
      <c r="AA160"/>
      <c r="AB160" s="15">
        <v>103</v>
      </c>
    </row>
    <row r="161" spans="1:28" s="19" customFormat="1" ht="19.149999999999999" customHeight="1" x14ac:dyDescent="0.25">
      <c r="A161" s="25" t="s">
        <v>164</v>
      </c>
      <c r="B161" s="20">
        <v>703</v>
      </c>
      <c r="C161" s="21">
        <v>9426</v>
      </c>
      <c r="D161" s="21">
        <v>6736</v>
      </c>
      <c r="E161" s="21">
        <v>7787</v>
      </c>
      <c r="F161" s="21">
        <v>5206</v>
      </c>
      <c r="G161" s="21">
        <v>901</v>
      </c>
      <c r="H161" s="21">
        <v>6020</v>
      </c>
      <c r="I161" s="21">
        <v>4588</v>
      </c>
      <c r="J161" s="21">
        <v>6094</v>
      </c>
      <c r="K161" s="21">
        <v>3281</v>
      </c>
      <c r="L161" s="21">
        <v>1192</v>
      </c>
      <c r="M161" s="21">
        <v>5466</v>
      </c>
      <c r="N161" s="21">
        <v>6694</v>
      </c>
      <c r="O161" s="21">
        <v>6942</v>
      </c>
      <c r="P161" s="21">
        <v>1324</v>
      </c>
      <c r="Q161" s="21">
        <v>8218</v>
      </c>
      <c r="R161" s="21">
        <v>9818</v>
      </c>
      <c r="S161" s="21">
        <v>4380</v>
      </c>
      <c r="T161" s="21">
        <v>5928</v>
      </c>
      <c r="U161" s="22">
        <v>2379</v>
      </c>
      <c r="W161" s="15"/>
      <c r="Z161"/>
      <c r="AA161"/>
      <c r="AB161" s="15">
        <v>104</v>
      </c>
    </row>
    <row r="162" spans="1:28" s="19" customFormat="1" ht="19.149999999999999" customHeight="1" x14ac:dyDescent="0.25">
      <c r="A162" s="25" t="s">
        <v>165</v>
      </c>
      <c r="B162" s="20">
        <v>6486</v>
      </c>
      <c r="C162" s="21">
        <v>5271</v>
      </c>
      <c r="D162" s="21">
        <v>2955</v>
      </c>
      <c r="E162" s="21">
        <v>7670</v>
      </c>
      <c r="F162" s="21">
        <v>1834</v>
      </c>
      <c r="G162" s="21">
        <v>7954</v>
      </c>
      <c r="H162" s="21">
        <v>4626</v>
      </c>
      <c r="I162" s="21">
        <v>1338</v>
      </c>
      <c r="J162" s="21">
        <v>828</v>
      </c>
      <c r="K162" s="21">
        <v>6976</v>
      </c>
      <c r="L162" s="21">
        <v>728</v>
      </c>
      <c r="M162" s="21">
        <v>846</v>
      </c>
      <c r="N162" s="21">
        <v>2348</v>
      </c>
      <c r="O162" s="21">
        <v>5961</v>
      </c>
      <c r="P162" s="21">
        <v>245</v>
      </c>
      <c r="Q162" s="21">
        <v>5563</v>
      </c>
      <c r="R162" s="21">
        <v>6220</v>
      </c>
      <c r="S162" s="21">
        <v>5638</v>
      </c>
      <c r="T162" s="21">
        <v>9236</v>
      </c>
      <c r="U162" s="22">
        <v>5869</v>
      </c>
      <c r="W162" s="15"/>
      <c r="Z162"/>
      <c r="AA162"/>
      <c r="AB162" s="15">
        <v>105</v>
      </c>
    </row>
    <row r="163" spans="1:28" s="19" customFormat="1" ht="19.149999999999999" customHeight="1" x14ac:dyDescent="0.25">
      <c r="A163" s="25" t="s">
        <v>166</v>
      </c>
      <c r="B163" s="20">
        <v>5305</v>
      </c>
      <c r="C163" s="21">
        <v>4964</v>
      </c>
      <c r="D163" s="21">
        <v>5077</v>
      </c>
      <c r="E163" s="21">
        <v>6076</v>
      </c>
      <c r="F163" s="21">
        <v>1717</v>
      </c>
      <c r="G163" s="21">
        <v>9612</v>
      </c>
      <c r="H163" s="21">
        <v>9123</v>
      </c>
      <c r="I163" s="21">
        <v>4130</v>
      </c>
      <c r="J163" s="21">
        <v>8933</v>
      </c>
      <c r="K163" s="21">
        <v>562</v>
      </c>
      <c r="L163" s="21">
        <v>1980</v>
      </c>
      <c r="M163" s="21">
        <v>1042</v>
      </c>
      <c r="N163" s="21">
        <v>9335</v>
      </c>
      <c r="O163" s="21">
        <v>2486</v>
      </c>
      <c r="P163" s="21">
        <v>2325</v>
      </c>
      <c r="Q163" s="21">
        <v>4503</v>
      </c>
      <c r="R163" s="21">
        <v>2370</v>
      </c>
      <c r="S163" s="21">
        <v>6980</v>
      </c>
      <c r="T163" s="21">
        <v>7006</v>
      </c>
      <c r="U163" s="22">
        <v>6108</v>
      </c>
      <c r="W163" s="15"/>
      <c r="Z163"/>
      <c r="AA163"/>
      <c r="AB163" s="15">
        <v>106</v>
      </c>
    </row>
    <row r="164" spans="1:28" s="19" customFormat="1" ht="19.149999999999999" customHeight="1" x14ac:dyDescent="0.25">
      <c r="A164" s="25" t="s">
        <v>167</v>
      </c>
      <c r="B164" s="20">
        <v>8474</v>
      </c>
      <c r="C164" s="21">
        <v>416</v>
      </c>
      <c r="D164" s="21">
        <v>2621</v>
      </c>
      <c r="E164" s="21">
        <v>4396</v>
      </c>
      <c r="F164" s="21">
        <v>4503</v>
      </c>
      <c r="G164" s="21">
        <v>7591</v>
      </c>
      <c r="H164" s="21">
        <v>6025</v>
      </c>
      <c r="I164" s="21">
        <v>4964</v>
      </c>
      <c r="J164" s="21">
        <v>3072</v>
      </c>
      <c r="K164" s="21">
        <v>8460</v>
      </c>
      <c r="L164" s="21">
        <v>7171</v>
      </c>
      <c r="M164" s="21">
        <v>2358</v>
      </c>
      <c r="N164" s="21">
        <v>2234</v>
      </c>
      <c r="O164" s="21">
        <v>4795</v>
      </c>
      <c r="P164" s="21">
        <v>3334</v>
      </c>
      <c r="Q164" s="21">
        <v>9775</v>
      </c>
      <c r="R164" s="21">
        <v>4685</v>
      </c>
      <c r="S164" s="21">
        <v>1330</v>
      </c>
      <c r="T164" s="21">
        <v>9945</v>
      </c>
      <c r="U164" s="22">
        <v>5691</v>
      </c>
      <c r="W164" s="15"/>
      <c r="Z164"/>
      <c r="AA164"/>
      <c r="AB164" s="15">
        <v>107</v>
      </c>
    </row>
    <row r="165" spans="1:28" s="19" customFormat="1" ht="19.149999999999999" customHeight="1" x14ac:dyDescent="0.25">
      <c r="A165" s="25" t="s">
        <v>168</v>
      </c>
      <c r="B165" s="20">
        <v>9019</v>
      </c>
      <c r="C165" s="21">
        <v>4092</v>
      </c>
      <c r="D165" s="21">
        <v>3812</v>
      </c>
      <c r="E165" s="21">
        <v>5957</v>
      </c>
      <c r="F165" s="21">
        <v>6102</v>
      </c>
      <c r="G165" s="21">
        <v>2665</v>
      </c>
      <c r="H165" s="21">
        <v>4968</v>
      </c>
      <c r="I165" s="21">
        <v>260</v>
      </c>
      <c r="J165" s="21">
        <v>766</v>
      </c>
      <c r="K165" s="21">
        <v>6115</v>
      </c>
      <c r="L165" s="21">
        <v>3437</v>
      </c>
      <c r="M165" s="21">
        <v>6044</v>
      </c>
      <c r="N165" s="21">
        <v>9157</v>
      </c>
      <c r="O165" s="21">
        <v>5732</v>
      </c>
      <c r="P165" s="21">
        <v>2315</v>
      </c>
      <c r="Q165" s="21">
        <v>8442</v>
      </c>
      <c r="R165" s="21">
        <v>9787</v>
      </c>
      <c r="S165" s="21">
        <v>451</v>
      </c>
      <c r="T165" s="21">
        <v>672</v>
      </c>
      <c r="U165" s="22">
        <v>737</v>
      </c>
      <c r="W165" s="15"/>
      <c r="Z165"/>
      <c r="AA165"/>
      <c r="AB165" s="15">
        <v>108</v>
      </c>
    </row>
    <row r="166" spans="1:28" s="19" customFormat="1" ht="19.149999999999999" customHeight="1" x14ac:dyDescent="0.25">
      <c r="A166" s="25" t="s">
        <v>169</v>
      </c>
      <c r="B166" s="20">
        <v>2887</v>
      </c>
      <c r="C166" s="21">
        <v>7876</v>
      </c>
      <c r="D166" s="21">
        <v>912</v>
      </c>
      <c r="E166" s="21">
        <v>8735</v>
      </c>
      <c r="F166" s="21">
        <v>9074</v>
      </c>
      <c r="G166" s="21">
        <v>6597</v>
      </c>
      <c r="H166" s="21">
        <v>9583</v>
      </c>
      <c r="I166" s="21">
        <v>4352</v>
      </c>
      <c r="J166" s="21">
        <v>8843</v>
      </c>
      <c r="K166" s="21">
        <v>4251</v>
      </c>
      <c r="L166" s="21">
        <v>1451</v>
      </c>
      <c r="M166" s="21">
        <v>229</v>
      </c>
      <c r="N166" s="21">
        <v>2170</v>
      </c>
      <c r="O166" s="21">
        <v>4171</v>
      </c>
      <c r="P166" s="21">
        <v>6544</v>
      </c>
      <c r="Q166" s="21">
        <v>2458</v>
      </c>
      <c r="R166" s="21">
        <v>5225</v>
      </c>
      <c r="S166" s="21">
        <v>6434</v>
      </c>
      <c r="T166" s="21">
        <v>8035</v>
      </c>
      <c r="U166" s="22">
        <v>243</v>
      </c>
      <c r="W166" s="15"/>
      <c r="Z166"/>
      <c r="AA166"/>
      <c r="AB166" s="15">
        <v>109</v>
      </c>
    </row>
    <row r="167" spans="1:28" s="19" customFormat="1" ht="19.149999999999999" customHeight="1" x14ac:dyDescent="0.25">
      <c r="A167" s="25" t="s">
        <v>170</v>
      </c>
      <c r="B167" s="20">
        <v>8013</v>
      </c>
      <c r="C167" s="21">
        <v>8309</v>
      </c>
      <c r="D167" s="21">
        <v>1375</v>
      </c>
      <c r="E167" s="21">
        <v>3638</v>
      </c>
      <c r="F167" s="21">
        <v>5453</v>
      </c>
      <c r="G167" s="21">
        <v>1888</v>
      </c>
      <c r="H167" s="21">
        <v>4948</v>
      </c>
      <c r="I167" s="21">
        <v>2465</v>
      </c>
      <c r="J167" s="21">
        <v>977</v>
      </c>
      <c r="K167" s="21">
        <v>5080</v>
      </c>
      <c r="L167" s="21">
        <v>3656</v>
      </c>
      <c r="M167" s="21">
        <v>4132</v>
      </c>
      <c r="N167" s="21">
        <v>5796</v>
      </c>
      <c r="O167" s="21">
        <v>5363</v>
      </c>
      <c r="P167" s="21">
        <v>4991</v>
      </c>
      <c r="Q167" s="21">
        <v>2871</v>
      </c>
      <c r="R167" s="21">
        <v>1170</v>
      </c>
      <c r="S167" s="21">
        <v>2142</v>
      </c>
      <c r="T167" s="21">
        <v>8886</v>
      </c>
      <c r="U167" s="22">
        <v>3738</v>
      </c>
      <c r="W167" s="15"/>
      <c r="Z167"/>
      <c r="AA167"/>
      <c r="AB167" s="15">
        <v>110</v>
      </c>
    </row>
    <row r="168" spans="1:28" s="19" customFormat="1" ht="19.149999999999999" customHeight="1" x14ac:dyDescent="0.25">
      <c r="A168" s="25" t="s">
        <v>171</v>
      </c>
      <c r="B168" s="20">
        <v>8051</v>
      </c>
      <c r="C168" s="21">
        <v>5992</v>
      </c>
      <c r="D168" s="21">
        <v>3656</v>
      </c>
      <c r="E168" s="21">
        <v>8150</v>
      </c>
      <c r="F168" s="21">
        <v>3096</v>
      </c>
      <c r="G168" s="21">
        <v>6698</v>
      </c>
      <c r="H168" s="21">
        <v>9819</v>
      </c>
      <c r="I168" s="21">
        <v>7597</v>
      </c>
      <c r="J168" s="21">
        <v>6734</v>
      </c>
      <c r="K168" s="21">
        <v>4861</v>
      </c>
      <c r="L168" s="21">
        <v>2667</v>
      </c>
      <c r="M168" s="21">
        <v>5418</v>
      </c>
      <c r="N168" s="21">
        <v>3492</v>
      </c>
      <c r="O168" s="21">
        <v>3494</v>
      </c>
      <c r="P168" s="21">
        <v>4680</v>
      </c>
      <c r="Q168" s="21">
        <v>3389</v>
      </c>
      <c r="R168" s="21">
        <v>8775</v>
      </c>
      <c r="S168" s="21">
        <v>3595</v>
      </c>
      <c r="T168" s="21">
        <v>7988</v>
      </c>
      <c r="U168" s="22">
        <v>8290</v>
      </c>
      <c r="W168" s="15"/>
      <c r="Z168"/>
      <c r="AA168"/>
      <c r="AB168" s="15">
        <v>111</v>
      </c>
    </row>
    <row r="169" spans="1:28" s="19" customFormat="1" ht="19.149999999999999" customHeight="1" x14ac:dyDescent="0.25">
      <c r="A169" s="25" t="s">
        <v>172</v>
      </c>
      <c r="B169" s="20">
        <v>120</v>
      </c>
      <c r="C169" s="21">
        <v>6955</v>
      </c>
      <c r="D169" s="21">
        <v>177</v>
      </c>
      <c r="E169" s="21">
        <v>1087</v>
      </c>
      <c r="F169" s="21">
        <v>2742</v>
      </c>
      <c r="G169" s="21">
        <v>2097</v>
      </c>
      <c r="H169" s="21">
        <v>7553</v>
      </c>
      <c r="I169" s="21">
        <v>7547</v>
      </c>
      <c r="J169" s="21">
        <v>6380</v>
      </c>
      <c r="K169" s="21">
        <v>4742</v>
      </c>
      <c r="L169" s="21">
        <v>9937</v>
      </c>
      <c r="M169" s="21">
        <v>1992</v>
      </c>
      <c r="N169" s="21">
        <v>8225</v>
      </c>
      <c r="O169" s="21">
        <v>2024</v>
      </c>
      <c r="P169" s="21">
        <v>4640</v>
      </c>
      <c r="Q169" s="21">
        <v>5084</v>
      </c>
      <c r="R169" s="21">
        <v>5549</v>
      </c>
      <c r="S169" s="21">
        <v>134</v>
      </c>
      <c r="T169" s="21">
        <v>3482</v>
      </c>
      <c r="U169" s="22">
        <v>5171</v>
      </c>
      <c r="W169" s="15"/>
      <c r="Z169"/>
      <c r="AA169"/>
      <c r="AB169" s="15">
        <v>112</v>
      </c>
    </row>
    <row r="170" spans="1:28" s="19" customFormat="1" ht="19.149999999999999" customHeight="1" x14ac:dyDescent="0.25">
      <c r="A170" s="25" t="s">
        <v>173</v>
      </c>
      <c r="B170" s="20">
        <v>2787</v>
      </c>
      <c r="C170" s="21">
        <v>1221</v>
      </c>
      <c r="D170" s="21">
        <v>6144</v>
      </c>
      <c r="E170" s="21">
        <v>7735</v>
      </c>
      <c r="F170" s="21">
        <v>6478</v>
      </c>
      <c r="G170" s="21">
        <v>5259</v>
      </c>
      <c r="H170" s="21">
        <v>1533</v>
      </c>
      <c r="I170" s="21">
        <v>5463</v>
      </c>
      <c r="J170" s="21">
        <v>5651</v>
      </c>
      <c r="K170" s="21">
        <v>3999</v>
      </c>
      <c r="L170" s="21">
        <v>4387</v>
      </c>
      <c r="M170" s="21">
        <v>3507</v>
      </c>
      <c r="N170" s="21">
        <v>4795</v>
      </c>
      <c r="O170" s="21">
        <v>5512</v>
      </c>
      <c r="P170" s="21">
        <v>494</v>
      </c>
      <c r="Q170" s="21">
        <v>5525</v>
      </c>
      <c r="R170" s="21">
        <v>272</v>
      </c>
      <c r="S170" s="21">
        <v>8444</v>
      </c>
      <c r="T170" s="21">
        <v>6527</v>
      </c>
      <c r="U170" s="22">
        <v>6744</v>
      </c>
      <c r="W170" s="15"/>
      <c r="Z170"/>
      <c r="AA170"/>
      <c r="AB170" s="15">
        <v>113</v>
      </c>
    </row>
    <row r="171" spans="1:28" s="19" customFormat="1" ht="19.149999999999999" customHeight="1" x14ac:dyDescent="0.25">
      <c r="A171" s="25" t="s">
        <v>174</v>
      </c>
      <c r="B171" s="20">
        <v>4517</v>
      </c>
      <c r="C171" s="21">
        <v>1988</v>
      </c>
      <c r="D171" s="21">
        <v>9979</v>
      </c>
      <c r="E171" s="21">
        <v>6190</v>
      </c>
      <c r="F171" s="21">
        <v>5806</v>
      </c>
      <c r="G171" s="21">
        <v>3832</v>
      </c>
      <c r="H171" s="21">
        <v>4433</v>
      </c>
      <c r="I171" s="21">
        <v>5270</v>
      </c>
      <c r="J171" s="21">
        <v>4589</v>
      </c>
      <c r="K171" s="21">
        <v>6536</v>
      </c>
      <c r="L171" s="21">
        <v>3672</v>
      </c>
      <c r="M171" s="21">
        <v>6658</v>
      </c>
      <c r="N171" s="21">
        <v>689</v>
      </c>
      <c r="O171" s="21">
        <v>6612</v>
      </c>
      <c r="P171" s="21">
        <v>6542</v>
      </c>
      <c r="Q171" s="21">
        <v>5205</v>
      </c>
      <c r="R171" s="21">
        <v>5673</v>
      </c>
      <c r="S171" s="21">
        <v>9388</v>
      </c>
      <c r="T171" s="21">
        <v>809</v>
      </c>
      <c r="U171" s="22">
        <v>2248</v>
      </c>
      <c r="W171" s="15"/>
      <c r="Z171"/>
      <c r="AA171"/>
      <c r="AB171" s="15">
        <v>114</v>
      </c>
    </row>
    <row r="172" spans="1:28" s="19" customFormat="1" ht="19.149999999999999" customHeight="1" x14ac:dyDescent="0.25">
      <c r="A172" s="25" t="s">
        <v>175</v>
      </c>
      <c r="B172" s="20">
        <v>356</v>
      </c>
      <c r="C172" s="21">
        <v>4136</v>
      </c>
      <c r="D172" s="21">
        <v>2537</v>
      </c>
      <c r="E172" s="21">
        <v>5971</v>
      </c>
      <c r="F172" s="21">
        <v>8319</v>
      </c>
      <c r="G172" s="21">
        <v>7600</v>
      </c>
      <c r="H172" s="21">
        <v>291</v>
      </c>
      <c r="I172" s="21">
        <v>4434</v>
      </c>
      <c r="J172" s="21">
        <v>6139</v>
      </c>
      <c r="K172" s="21">
        <v>9411</v>
      </c>
      <c r="L172" s="21">
        <v>4433</v>
      </c>
      <c r="M172" s="21">
        <v>1396</v>
      </c>
      <c r="N172" s="21">
        <v>9594</v>
      </c>
      <c r="O172" s="21">
        <v>5317</v>
      </c>
      <c r="P172" s="21">
        <v>8107</v>
      </c>
      <c r="Q172" s="21">
        <v>3444</v>
      </c>
      <c r="R172" s="21">
        <v>107</v>
      </c>
      <c r="S172" s="21">
        <v>3957</v>
      </c>
      <c r="T172" s="21">
        <v>626</v>
      </c>
      <c r="U172" s="22">
        <v>3408</v>
      </c>
      <c r="W172" s="15"/>
      <c r="Z172"/>
      <c r="AA172"/>
      <c r="AB172" s="15">
        <v>115</v>
      </c>
    </row>
    <row r="173" spans="1:28" s="19" customFormat="1" ht="19.149999999999999" customHeight="1" x14ac:dyDescent="0.25">
      <c r="A173" s="25" t="s">
        <v>176</v>
      </c>
      <c r="B173" s="20">
        <v>1703</v>
      </c>
      <c r="C173" s="21">
        <v>4742</v>
      </c>
      <c r="D173" s="21">
        <v>5896</v>
      </c>
      <c r="E173" s="21">
        <v>4366</v>
      </c>
      <c r="F173" s="21">
        <v>1844</v>
      </c>
      <c r="G173" s="21">
        <v>8859</v>
      </c>
      <c r="H173" s="21">
        <v>8299</v>
      </c>
      <c r="I173" s="21">
        <v>7397</v>
      </c>
      <c r="J173" s="21">
        <v>5882</v>
      </c>
      <c r="K173" s="21">
        <v>3685</v>
      </c>
      <c r="L173" s="21">
        <v>7733</v>
      </c>
      <c r="M173" s="21">
        <v>340</v>
      </c>
      <c r="N173" s="21">
        <v>7503</v>
      </c>
      <c r="O173" s="21">
        <v>9339</v>
      </c>
      <c r="P173" s="21">
        <v>8420</v>
      </c>
      <c r="Q173" s="21">
        <v>5609</v>
      </c>
      <c r="R173" s="21">
        <v>8387</v>
      </c>
      <c r="S173" s="21">
        <v>6647</v>
      </c>
      <c r="T173" s="21">
        <v>7747</v>
      </c>
      <c r="U173" s="22">
        <v>5314</v>
      </c>
      <c r="W173" s="15"/>
      <c r="Z173"/>
      <c r="AA173"/>
      <c r="AB173" s="15">
        <v>116</v>
      </c>
    </row>
    <row r="174" spans="1:28" s="19" customFormat="1" ht="19.149999999999999" customHeight="1" x14ac:dyDescent="0.25">
      <c r="A174" s="25" t="s">
        <v>177</v>
      </c>
      <c r="B174" s="20">
        <v>6830</v>
      </c>
      <c r="C174" s="21">
        <v>4309</v>
      </c>
      <c r="D174" s="21">
        <v>4622</v>
      </c>
      <c r="E174" s="21">
        <v>3602</v>
      </c>
      <c r="F174" s="21">
        <v>3399</v>
      </c>
      <c r="G174" s="21">
        <v>7702</v>
      </c>
      <c r="H174" s="21">
        <v>2135</v>
      </c>
      <c r="I174" s="21">
        <v>364</v>
      </c>
      <c r="J174" s="21">
        <v>1770</v>
      </c>
      <c r="K174" s="21">
        <v>9692</v>
      </c>
      <c r="L174" s="21">
        <v>121</v>
      </c>
      <c r="M174" s="21">
        <v>1295</v>
      </c>
      <c r="N174" s="21">
        <v>470</v>
      </c>
      <c r="O174" s="21">
        <v>7283</v>
      </c>
      <c r="P174" s="21">
        <v>1055</v>
      </c>
      <c r="Q174" s="21">
        <v>6074</v>
      </c>
      <c r="R174" s="21">
        <v>9095</v>
      </c>
      <c r="S174" s="21">
        <v>8281</v>
      </c>
      <c r="T174" s="21">
        <v>9429</v>
      </c>
      <c r="U174" s="22">
        <v>5356</v>
      </c>
      <c r="W174" s="15"/>
      <c r="Z174"/>
      <c r="AA174"/>
      <c r="AB174" s="15">
        <v>117</v>
      </c>
    </row>
    <row r="175" spans="1:28" s="19" customFormat="1" ht="19.149999999999999" customHeight="1" x14ac:dyDescent="0.25">
      <c r="A175" s="25" t="s">
        <v>178</v>
      </c>
      <c r="B175" s="20">
        <v>4298</v>
      </c>
      <c r="C175" s="21">
        <v>4535</v>
      </c>
      <c r="D175" s="21">
        <v>5466</v>
      </c>
      <c r="E175" s="21">
        <v>3644</v>
      </c>
      <c r="F175" s="21">
        <v>9532</v>
      </c>
      <c r="G175" s="21">
        <v>6142</v>
      </c>
      <c r="H175" s="21">
        <v>536</v>
      </c>
      <c r="I175" s="21">
        <v>1460</v>
      </c>
      <c r="J175" s="21">
        <v>9098</v>
      </c>
      <c r="K175" s="21">
        <v>6475</v>
      </c>
      <c r="L175" s="21">
        <v>3142</v>
      </c>
      <c r="M175" s="21">
        <v>10</v>
      </c>
      <c r="N175" s="21">
        <v>2489</v>
      </c>
      <c r="O175" s="21">
        <v>4385</v>
      </c>
      <c r="P175" s="21">
        <v>4977</v>
      </c>
      <c r="Q175" s="21">
        <v>5100</v>
      </c>
      <c r="R175" s="21">
        <v>7102</v>
      </c>
      <c r="S175" s="21">
        <v>8614</v>
      </c>
      <c r="T175" s="21">
        <v>2324</v>
      </c>
      <c r="U175" s="22">
        <v>76</v>
      </c>
      <c r="W175" s="15"/>
      <c r="Z175"/>
      <c r="AA175"/>
      <c r="AB175" s="15">
        <v>118</v>
      </c>
    </row>
    <row r="176" spans="1:28" s="19" customFormat="1" ht="19.149999999999999" customHeight="1" x14ac:dyDescent="0.25">
      <c r="A176" s="25" t="s">
        <v>179</v>
      </c>
      <c r="B176" s="20">
        <v>8366</v>
      </c>
      <c r="C176" s="21">
        <v>6146</v>
      </c>
      <c r="D176" s="21">
        <v>7861</v>
      </c>
      <c r="E176" s="21">
        <v>8009</v>
      </c>
      <c r="F176" s="21">
        <v>8299</v>
      </c>
      <c r="G176" s="21">
        <v>5</v>
      </c>
      <c r="H176" s="21">
        <v>2355</v>
      </c>
      <c r="I176" s="21">
        <v>5797</v>
      </c>
      <c r="J176" s="21">
        <v>7580</v>
      </c>
      <c r="K176" s="21">
        <v>4118</v>
      </c>
      <c r="L176" s="21">
        <v>4790</v>
      </c>
      <c r="M176" s="21">
        <v>2026</v>
      </c>
      <c r="N176" s="21">
        <v>6018</v>
      </c>
      <c r="O176" s="21">
        <v>6870</v>
      </c>
      <c r="P176" s="21">
        <v>4496</v>
      </c>
      <c r="Q176" s="21">
        <v>8337</v>
      </c>
      <c r="R176" s="21">
        <v>4215</v>
      </c>
      <c r="S176" s="21">
        <v>1357</v>
      </c>
      <c r="T176" s="21">
        <v>3572</v>
      </c>
      <c r="U176" s="22">
        <v>8580</v>
      </c>
      <c r="W176" s="15"/>
      <c r="Z176"/>
      <c r="AA176"/>
      <c r="AB176" s="15">
        <v>119</v>
      </c>
    </row>
    <row r="177" spans="1:28" s="19" customFormat="1" ht="19.149999999999999" customHeight="1" x14ac:dyDescent="0.25">
      <c r="A177" s="25" t="s">
        <v>180</v>
      </c>
      <c r="B177" s="20">
        <v>599</v>
      </c>
      <c r="C177" s="21">
        <v>6384</v>
      </c>
      <c r="D177" s="21">
        <v>7719</v>
      </c>
      <c r="E177" s="21">
        <v>3039</v>
      </c>
      <c r="F177" s="21">
        <v>4233</v>
      </c>
      <c r="G177" s="21">
        <v>1509</v>
      </c>
      <c r="H177" s="21">
        <v>8533</v>
      </c>
      <c r="I177" s="21">
        <v>7672</v>
      </c>
      <c r="J177" s="21">
        <v>2406</v>
      </c>
      <c r="K177" s="21">
        <v>8320</v>
      </c>
      <c r="L177" s="21">
        <v>9915</v>
      </c>
      <c r="M177" s="21">
        <v>7051</v>
      </c>
      <c r="N177" s="21">
        <v>1398</v>
      </c>
      <c r="O177" s="21">
        <v>5351</v>
      </c>
      <c r="P177" s="21">
        <v>4503</v>
      </c>
      <c r="Q177" s="21">
        <v>588</v>
      </c>
      <c r="R177" s="21">
        <v>8929</v>
      </c>
      <c r="S177" s="21">
        <v>4107</v>
      </c>
      <c r="T177" s="21">
        <v>4632</v>
      </c>
      <c r="U177" s="22">
        <v>550</v>
      </c>
      <c r="W177" s="15"/>
      <c r="Z177"/>
      <c r="AA177"/>
      <c r="AB177" s="15">
        <v>120</v>
      </c>
    </row>
    <row r="178" spans="1:28" s="19" customFormat="1" ht="19.149999999999999" customHeight="1" x14ac:dyDescent="0.25">
      <c r="A178" s="25" t="s">
        <v>181</v>
      </c>
      <c r="B178" s="20">
        <v>7320</v>
      </c>
      <c r="C178" s="21">
        <v>3599</v>
      </c>
      <c r="D178" s="21">
        <v>4043</v>
      </c>
      <c r="E178" s="21">
        <v>9017</v>
      </c>
      <c r="F178" s="21">
        <v>5647</v>
      </c>
      <c r="G178" s="21">
        <v>529</v>
      </c>
      <c r="H178" s="21">
        <v>3281</v>
      </c>
      <c r="I178" s="21">
        <v>4640</v>
      </c>
      <c r="J178" s="21">
        <v>3019</v>
      </c>
      <c r="K178" s="21">
        <v>9851</v>
      </c>
      <c r="L178" s="21">
        <v>2737</v>
      </c>
      <c r="M178" s="21">
        <v>7746</v>
      </c>
      <c r="N178" s="21">
        <v>7943</v>
      </c>
      <c r="O178" s="21">
        <v>5998</v>
      </c>
      <c r="P178" s="21">
        <v>588</v>
      </c>
      <c r="Q178" s="21">
        <v>6679</v>
      </c>
      <c r="R178" s="21">
        <v>6443</v>
      </c>
      <c r="S178" s="21">
        <v>9501</v>
      </c>
      <c r="T178" s="21">
        <v>2859</v>
      </c>
      <c r="U178" s="22">
        <v>3774</v>
      </c>
      <c r="W178" s="15"/>
      <c r="Z178"/>
      <c r="AA178"/>
      <c r="AB178" s="15">
        <v>121</v>
      </c>
    </row>
    <row r="179" spans="1:28" s="19" customFormat="1" ht="19.149999999999999" customHeight="1" x14ac:dyDescent="0.25">
      <c r="A179" s="25" t="s">
        <v>182</v>
      </c>
      <c r="B179" s="20">
        <v>7249</v>
      </c>
      <c r="C179" s="21">
        <v>4553</v>
      </c>
      <c r="D179" s="21">
        <v>2591</v>
      </c>
      <c r="E179" s="21">
        <v>2066</v>
      </c>
      <c r="F179" s="21">
        <v>2200</v>
      </c>
      <c r="G179" s="21">
        <v>2137</v>
      </c>
      <c r="H179" s="21">
        <v>4018</v>
      </c>
      <c r="I179" s="21">
        <v>4381</v>
      </c>
      <c r="J179" s="21">
        <v>9522</v>
      </c>
      <c r="K179" s="21">
        <v>9781</v>
      </c>
      <c r="L179" s="21">
        <v>6964</v>
      </c>
      <c r="M179" s="21">
        <v>6837</v>
      </c>
      <c r="N179" s="21">
        <v>2950</v>
      </c>
      <c r="O179" s="21">
        <v>9708</v>
      </c>
      <c r="P179" s="21">
        <v>607</v>
      </c>
      <c r="Q179" s="21">
        <v>9085</v>
      </c>
      <c r="R179" s="21">
        <v>1992</v>
      </c>
      <c r="S179" s="21">
        <v>1572</v>
      </c>
      <c r="T179" s="21">
        <v>9730</v>
      </c>
      <c r="U179" s="22">
        <v>8720</v>
      </c>
      <c r="W179" s="15"/>
      <c r="Z179"/>
      <c r="AA179"/>
      <c r="AB179" s="15">
        <v>122</v>
      </c>
    </row>
    <row r="180" spans="1:28" s="19" customFormat="1" ht="19.149999999999999" customHeight="1" x14ac:dyDescent="0.25">
      <c r="A180" s="25" t="s">
        <v>183</v>
      </c>
      <c r="B180" s="20">
        <v>5205</v>
      </c>
      <c r="C180" s="21">
        <v>4234</v>
      </c>
      <c r="D180" s="21">
        <v>8073</v>
      </c>
      <c r="E180" s="21">
        <v>8626</v>
      </c>
      <c r="F180" s="21">
        <v>857</v>
      </c>
      <c r="G180" s="21">
        <v>7079</v>
      </c>
      <c r="H180" s="21">
        <v>1577</v>
      </c>
      <c r="I180" s="21">
        <v>4810</v>
      </c>
      <c r="J180" s="21">
        <v>3038</v>
      </c>
      <c r="K180" s="21">
        <v>4344</v>
      </c>
      <c r="L180" s="21">
        <v>8556</v>
      </c>
      <c r="M180" s="21">
        <v>5118</v>
      </c>
      <c r="N180" s="21">
        <v>4760</v>
      </c>
      <c r="O180" s="21">
        <v>2469</v>
      </c>
      <c r="P180" s="21">
        <v>5314</v>
      </c>
      <c r="Q180" s="21">
        <v>3677</v>
      </c>
      <c r="R180" s="21">
        <v>9172</v>
      </c>
      <c r="S180" s="21">
        <v>1607</v>
      </c>
      <c r="T180" s="21">
        <v>6145</v>
      </c>
      <c r="U180" s="22">
        <v>4832</v>
      </c>
      <c r="W180" s="15"/>
      <c r="Z180"/>
      <c r="AA180"/>
      <c r="AB180" s="15">
        <v>123</v>
      </c>
    </row>
    <row r="181" spans="1:28" s="19" customFormat="1" ht="19.149999999999999" customHeight="1" x14ac:dyDescent="0.25">
      <c r="A181" s="25" t="s">
        <v>184</v>
      </c>
      <c r="B181" s="20">
        <v>7656</v>
      </c>
      <c r="C181" s="21">
        <v>6745</v>
      </c>
      <c r="D181" s="21">
        <v>8644</v>
      </c>
      <c r="E181" s="21">
        <v>342</v>
      </c>
      <c r="F181" s="21">
        <v>9126</v>
      </c>
      <c r="G181" s="21">
        <v>4590</v>
      </c>
      <c r="H181" s="21">
        <v>5675</v>
      </c>
      <c r="I181" s="21">
        <v>416</v>
      </c>
      <c r="J181" s="21">
        <v>1682</v>
      </c>
      <c r="K181" s="21">
        <v>9640</v>
      </c>
      <c r="L181" s="21">
        <v>8415</v>
      </c>
      <c r="M181" s="21">
        <v>7544</v>
      </c>
      <c r="N181" s="21">
        <v>946</v>
      </c>
      <c r="O181" s="21">
        <v>3946</v>
      </c>
      <c r="P181" s="21">
        <v>3937</v>
      </c>
      <c r="Q181" s="21">
        <v>2013</v>
      </c>
      <c r="R181" s="21">
        <v>3855</v>
      </c>
      <c r="S181" s="21">
        <v>1199</v>
      </c>
      <c r="T181" s="21">
        <v>1945</v>
      </c>
      <c r="U181" s="22">
        <v>3498</v>
      </c>
      <c r="W181" s="15"/>
      <c r="Z181"/>
      <c r="AA181"/>
      <c r="AB181" s="15">
        <v>124</v>
      </c>
    </row>
    <row r="182" spans="1:28" s="19" customFormat="1" ht="19.149999999999999" customHeight="1" x14ac:dyDescent="0.25">
      <c r="A182" s="25" t="s">
        <v>185</v>
      </c>
      <c r="B182" s="20">
        <v>394</v>
      </c>
      <c r="C182" s="21">
        <v>9954</v>
      </c>
      <c r="D182" s="21">
        <v>7422</v>
      </c>
      <c r="E182" s="21">
        <v>5681</v>
      </c>
      <c r="F182" s="21">
        <v>4155</v>
      </c>
      <c r="G182" s="21">
        <v>412</v>
      </c>
      <c r="H182" s="21">
        <v>3114</v>
      </c>
      <c r="I182" s="21">
        <v>1855</v>
      </c>
      <c r="J182" s="21">
        <v>9449</v>
      </c>
      <c r="K182" s="21">
        <v>2268</v>
      </c>
      <c r="L182" s="21">
        <v>5314</v>
      </c>
      <c r="M182" s="21">
        <v>5142</v>
      </c>
      <c r="N182" s="21">
        <v>6847</v>
      </c>
      <c r="O182" s="21">
        <v>8393</v>
      </c>
      <c r="P182" s="21">
        <v>4382</v>
      </c>
      <c r="Q182" s="21">
        <v>7440</v>
      </c>
      <c r="R182" s="21">
        <v>5979</v>
      </c>
      <c r="S182" s="21">
        <v>1206</v>
      </c>
      <c r="T182" s="21">
        <v>2138</v>
      </c>
      <c r="U182" s="22">
        <v>8171</v>
      </c>
      <c r="W182" s="15"/>
      <c r="Z182"/>
      <c r="AA182"/>
      <c r="AB182" s="15">
        <v>125</v>
      </c>
    </row>
    <row r="183" spans="1:28" s="19" customFormat="1" ht="19.149999999999999" customHeight="1" x14ac:dyDescent="0.25">
      <c r="A183" s="25" t="s">
        <v>186</v>
      </c>
      <c r="B183" s="20">
        <v>7481</v>
      </c>
      <c r="C183" s="21">
        <v>5445</v>
      </c>
      <c r="D183" s="21">
        <v>727</v>
      </c>
      <c r="E183" s="21">
        <v>3902</v>
      </c>
      <c r="F183" s="21">
        <v>9988</v>
      </c>
      <c r="G183" s="21">
        <v>9834</v>
      </c>
      <c r="H183" s="21">
        <v>9002</v>
      </c>
      <c r="I183" s="21">
        <v>5403</v>
      </c>
      <c r="J183" s="21">
        <v>8459</v>
      </c>
      <c r="K183" s="21">
        <v>9359</v>
      </c>
      <c r="L183" s="21">
        <v>730</v>
      </c>
      <c r="M183" s="21">
        <v>3626</v>
      </c>
      <c r="N183" s="21">
        <v>4603</v>
      </c>
      <c r="O183" s="21">
        <v>7247</v>
      </c>
      <c r="P183" s="21">
        <v>2524</v>
      </c>
      <c r="Q183" s="21">
        <v>8296</v>
      </c>
      <c r="R183" s="21">
        <v>3259</v>
      </c>
      <c r="S183" s="21">
        <v>2972</v>
      </c>
      <c r="T183" s="21">
        <v>8132</v>
      </c>
      <c r="U183" s="22">
        <v>3114</v>
      </c>
      <c r="W183" s="15"/>
      <c r="Z183"/>
      <c r="AA183"/>
      <c r="AB183" s="15">
        <v>126</v>
      </c>
    </row>
    <row r="184" spans="1:28" s="19" customFormat="1" ht="19.149999999999999" customHeight="1" x14ac:dyDescent="0.25">
      <c r="A184" s="25" t="s">
        <v>187</v>
      </c>
      <c r="B184" s="20">
        <v>6838</v>
      </c>
      <c r="C184" s="21">
        <v>3028</v>
      </c>
      <c r="D184" s="21">
        <v>9621</v>
      </c>
      <c r="E184" s="21">
        <v>2082</v>
      </c>
      <c r="F184" s="21">
        <v>2131</v>
      </c>
      <c r="G184" s="21">
        <v>5482</v>
      </c>
      <c r="H184" s="21">
        <v>7773</v>
      </c>
      <c r="I184" s="21">
        <v>6816</v>
      </c>
      <c r="J184" s="21">
        <v>712</v>
      </c>
      <c r="K184" s="21">
        <v>2806</v>
      </c>
      <c r="L184" s="21">
        <v>9526</v>
      </c>
      <c r="M184" s="21">
        <v>7017</v>
      </c>
      <c r="N184" s="21">
        <v>5057</v>
      </c>
      <c r="O184" s="21">
        <v>2811</v>
      </c>
      <c r="P184" s="21">
        <v>4764</v>
      </c>
      <c r="Q184" s="21">
        <v>2172</v>
      </c>
      <c r="R184" s="21">
        <v>6679</v>
      </c>
      <c r="S184" s="21">
        <v>4806</v>
      </c>
      <c r="T184" s="21">
        <v>748</v>
      </c>
      <c r="U184" s="22">
        <v>9155</v>
      </c>
      <c r="W184" s="15"/>
      <c r="Z184"/>
      <c r="AA184"/>
      <c r="AB184" s="15">
        <v>127</v>
      </c>
    </row>
    <row r="185" spans="1:28" s="19" customFormat="1" ht="19.149999999999999" customHeight="1" x14ac:dyDescent="0.25">
      <c r="A185" s="25" t="s">
        <v>188</v>
      </c>
      <c r="B185" s="20">
        <v>6741</v>
      </c>
      <c r="C185" s="21">
        <v>1076</v>
      </c>
      <c r="D185" s="21">
        <v>4151</v>
      </c>
      <c r="E185" s="21">
        <v>8270</v>
      </c>
      <c r="F185" s="21">
        <v>3353</v>
      </c>
      <c r="G185" s="21">
        <v>5972</v>
      </c>
      <c r="H185" s="21">
        <v>8496</v>
      </c>
      <c r="I185" s="21">
        <v>8582</v>
      </c>
      <c r="J185" s="21">
        <v>7844</v>
      </c>
      <c r="K185" s="21">
        <v>2116</v>
      </c>
      <c r="L185" s="21">
        <v>5088</v>
      </c>
      <c r="M185" s="21">
        <v>6220</v>
      </c>
      <c r="N185" s="21">
        <v>3937</v>
      </c>
      <c r="O185" s="21">
        <v>4636</v>
      </c>
      <c r="P185" s="21">
        <v>1791</v>
      </c>
      <c r="Q185" s="21">
        <v>4901</v>
      </c>
      <c r="R185" s="21">
        <v>2669</v>
      </c>
      <c r="S185" s="21">
        <v>2316</v>
      </c>
      <c r="T185" s="21">
        <v>9442</v>
      </c>
      <c r="U185" s="22">
        <v>5057</v>
      </c>
      <c r="W185" s="15"/>
      <c r="Z185"/>
      <c r="AA185"/>
      <c r="AB185" s="15">
        <v>128</v>
      </c>
    </row>
    <row r="186" spans="1:28" s="19" customFormat="1" ht="19.149999999999999" customHeight="1" x14ac:dyDescent="0.25">
      <c r="A186" s="25" t="s">
        <v>189</v>
      </c>
      <c r="B186" s="20">
        <v>4245</v>
      </c>
      <c r="C186" s="21">
        <v>3519</v>
      </c>
      <c r="D186" s="21">
        <v>4705</v>
      </c>
      <c r="E186" s="21">
        <v>6733</v>
      </c>
      <c r="F186" s="21">
        <v>5725</v>
      </c>
      <c r="G186" s="21">
        <v>3761</v>
      </c>
      <c r="H186" s="21">
        <v>5487</v>
      </c>
      <c r="I186" s="21">
        <v>6865</v>
      </c>
      <c r="J186" s="21">
        <v>3159</v>
      </c>
      <c r="K186" s="21">
        <v>5821</v>
      </c>
      <c r="L186" s="21">
        <v>1506</v>
      </c>
      <c r="M186" s="21">
        <v>7645</v>
      </c>
      <c r="N186" s="21">
        <v>652</v>
      </c>
      <c r="O186" s="21">
        <v>5949</v>
      </c>
      <c r="P186" s="21">
        <v>4404</v>
      </c>
      <c r="Q186" s="21">
        <v>9290</v>
      </c>
      <c r="R186" s="21">
        <v>9420</v>
      </c>
      <c r="S186" s="21">
        <v>167</v>
      </c>
      <c r="T186" s="21">
        <v>7918</v>
      </c>
      <c r="U186" s="22">
        <v>9173</v>
      </c>
      <c r="W186" s="15"/>
      <c r="Z186"/>
      <c r="AA186"/>
      <c r="AB186" s="15">
        <v>129</v>
      </c>
    </row>
    <row r="187" spans="1:28" s="19" customFormat="1" ht="19.149999999999999" customHeight="1" x14ac:dyDescent="0.25">
      <c r="A187" s="25" t="s">
        <v>190</v>
      </c>
      <c r="B187" s="20">
        <v>3106</v>
      </c>
      <c r="C187" s="21">
        <v>7177</v>
      </c>
      <c r="D187" s="21">
        <v>4654</v>
      </c>
      <c r="E187" s="21">
        <v>3933</v>
      </c>
      <c r="F187" s="21">
        <v>412</v>
      </c>
      <c r="G187" s="21">
        <v>1104</v>
      </c>
      <c r="H187" s="21">
        <v>73</v>
      </c>
      <c r="I187" s="21">
        <v>1392</v>
      </c>
      <c r="J187" s="21">
        <v>5198</v>
      </c>
      <c r="K187" s="21">
        <v>2421</v>
      </c>
      <c r="L187" s="21">
        <v>2961</v>
      </c>
      <c r="M187" s="21">
        <v>758</v>
      </c>
      <c r="N187" s="21">
        <v>7476</v>
      </c>
      <c r="O187" s="21">
        <v>3391</v>
      </c>
      <c r="P187" s="21">
        <v>8001</v>
      </c>
      <c r="Q187" s="21">
        <v>7084</v>
      </c>
      <c r="R187" s="21">
        <v>8395</v>
      </c>
      <c r="S187" s="21">
        <v>8971</v>
      </c>
      <c r="T187" s="21">
        <v>3104</v>
      </c>
      <c r="U187" s="22">
        <v>4359</v>
      </c>
      <c r="W187" s="15"/>
      <c r="Z187"/>
      <c r="AA187"/>
      <c r="AB187" s="15">
        <v>130</v>
      </c>
    </row>
    <row r="188" spans="1:28" s="19" customFormat="1" ht="19.149999999999999" customHeight="1" x14ac:dyDescent="0.25">
      <c r="A188" s="25" t="s">
        <v>191</v>
      </c>
      <c r="B188" s="20">
        <v>6878</v>
      </c>
      <c r="C188" s="21">
        <v>54</v>
      </c>
      <c r="D188" s="21">
        <v>5238</v>
      </c>
      <c r="E188" s="21">
        <v>136</v>
      </c>
      <c r="F188" s="21">
        <v>3459</v>
      </c>
      <c r="G188" s="21">
        <v>2894</v>
      </c>
      <c r="H188" s="21">
        <v>4561</v>
      </c>
      <c r="I188" s="21">
        <v>377</v>
      </c>
      <c r="J188" s="21">
        <v>5068</v>
      </c>
      <c r="K188" s="21">
        <v>8203</v>
      </c>
      <c r="L188" s="21">
        <v>5088</v>
      </c>
      <c r="M188" s="21">
        <v>2908</v>
      </c>
      <c r="N188" s="21">
        <v>5267</v>
      </c>
      <c r="O188" s="21">
        <v>26</v>
      </c>
      <c r="P188" s="21">
        <v>2113</v>
      </c>
      <c r="Q188" s="21">
        <v>888</v>
      </c>
      <c r="R188" s="21">
        <v>4729</v>
      </c>
      <c r="S188" s="21">
        <v>2495</v>
      </c>
      <c r="T188" s="21">
        <v>7630</v>
      </c>
      <c r="U188" s="22">
        <v>7057</v>
      </c>
      <c r="W188" s="15"/>
      <c r="Z188"/>
      <c r="AA188"/>
      <c r="AB188" s="15">
        <v>131</v>
      </c>
    </row>
    <row r="189" spans="1:28" s="19" customFormat="1" ht="19.149999999999999" customHeight="1" x14ac:dyDescent="0.25">
      <c r="A189" s="25" t="s">
        <v>192</v>
      </c>
      <c r="B189" s="20">
        <v>7385</v>
      </c>
      <c r="C189" s="21">
        <v>7934</v>
      </c>
      <c r="D189" s="21">
        <v>4554</v>
      </c>
      <c r="E189" s="21">
        <v>2614</v>
      </c>
      <c r="F189" s="21">
        <v>6246</v>
      </c>
      <c r="G189" s="21">
        <v>2291</v>
      </c>
      <c r="H189" s="21">
        <v>3992</v>
      </c>
      <c r="I189" s="21">
        <v>9888</v>
      </c>
      <c r="J189" s="21">
        <v>5669</v>
      </c>
      <c r="K189" s="21">
        <v>6983</v>
      </c>
      <c r="L189" s="21">
        <v>2547</v>
      </c>
      <c r="M189" s="21">
        <v>2425</v>
      </c>
      <c r="N189" s="21">
        <v>4051</v>
      </c>
      <c r="O189" s="21">
        <v>7116</v>
      </c>
      <c r="P189" s="21">
        <v>9684</v>
      </c>
      <c r="Q189" s="21">
        <v>1378</v>
      </c>
      <c r="R189" s="21">
        <v>3572</v>
      </c>
      <c r="S189" s="21">
        <v>9604</v>
      </c>
      <c r="T189" s="21">
        <v>763</v>
      </c>
      <c r="U189" s="22">
        <v>5280</v>
      </c>
      <c r="W189" s="15"/>
      <c r="Z189"/>
      <c r="AA189"/>
      <c r="AB189" s="15">
        <v>132</v>
      </c>
    </row>
    <row r="190" spans="1:28" s="19" customFormat="1" ht="19.149999999999999" customHeight="1" x14ac:dyDescent="0.25">
      <c r="A190" s="25" t="s">
        <v>193</v>
      </c>
      <c r="B190" s="20">
        <v>5446</v>
      </c>
      <c r="C190" s="21">
        <v>4706</v>
      </c>
      <c r="D190" s="21">
        <v>5251</v>
      </c>
      <c r="E190" s="21">
        <v>7640</v>
      </c>
      <c r="F190" s="21">
        <v>1934</v>
      </c>
      <c r="G190" s="21">
        <v>5240</v>
      </c>
      <c r="H190" s="21">
        <v>736</v>
      </c>
      <c r="I190" s="21">
        <v>2437</v>
      </c>
      <c r="J190" s="21">
        <v>8447</v>
      </c>
      <c r="K190" s="21">
        <v>6135</v>
      </c>
      <c r="L190" s="21">
        <v>8330</v>
      </c>
      <c r="M190" s="21">
        <v>9773</v>
      </c>
      <c r="N190" s="21">
        <v>3782</v>
      </c>
      <c r="O190" s="21">
        <v>7078</v>
      </c>
      <c r="P190" s="21">
        <v>7295</v>
      </c>
      <c r="Q190" s="21">
        <v>1499</v>
      </c>
      <c r="R190" s="21">
        <v>5162</v>
      </c>
      <c r="S190" s="21">
        <v>2854</v>
      </c>
      <c r="T190" s="21">
        <v>1548</v>
      </c>
      <c r="U190" s="22">
        <v>5900</v>
      </c>
      <c r="W190" s="15"/>
      <c r="Z190"/>
      <c r="AA190"/>
      <c r="AB190" s="15">
        <v>133</v>
      </c>
    </row>
    <row r="191" spans="1:28" s="19" customFormat="1" ht="19.149999999999999" customHeight="1" x14ac:dyDescent="0.25">
      <c r="A191" s="25" t="s">
        <v>194</v>
      </c>
      <c r="B191" s="20">
        <v>149</v>
      </c>
      <c r="C191" s="21">
        <v>7711</v>
      </c>
      <c r="D191" s="21">
        <v>9171</v>
      </c>
      <c r="E191" s="21">
        <v>3594</v>
      </c>
      <c r="F191" s="21">
        <v>3904</v>
      </c>
      <c r="G191" s="21">
        <v>4526</v>
      </c>
      <c r="H191" s="21">
        <v>9083</v>
      </c>
      <c r="I191" s="21">
        <v>8790</v>
      </c>
      <c r="J191" s="21">
        <v>1256</v>
      </c>
      <c r="K191" s="21">
        <v>8316</v>
      </c>
      <c r="L191" s="21">
        <v>7631</v>
      </c>
      <c r="M191" s="21">
        <v>6772</v>
      </c>
      <c r="N191" s="21">
        <v>6970</v>
      </c>
      <c r="O191" s="21">
        <v>5764</v>
      </c>
      <c r="P191" s="21">
        <v>7082</v>
      </c>
      <c r="Q191" s="21">
        <v>9126</v>
      </c>
      <c r="R191" s="21">
        <v>657</v>
      </c>
      <c r="S191" s="21">
        <v>4861</v>
      </c>
      <c r="T191" s="21">
        <v>1634</v>
      </c>
      <c r="U191" s="22">
        <v>6151</v>
      </c>
      <c r="W191" s="15"/>
      <c r="Z191"/>
      <c r="AA191"/>
      <c r="AB191" s="15">
        <v>134</v>
      </c>
    </row>
    <row r="192" spans="1:28" s="19" customFormat="1" ht="19.149999999999999" customHeight="1" x14ac:dyDescent="0.25">
      <c r="A192" s="25" t="s">
        <v>195</v>
      </c>
      <c r="B192" s="20">
        <v>5097</v>
      </c>
      <c r="C192" s="21">
        <v>1291</v>
      </c>
      <c r="D192" s="21">
        <v>6278</v>
      </c>
      <c r="E192" s="21">
        <v>7328</v>
      </c>
      <c r="F192" s="21">
        <v>5079</v>
      </c>
      <c r="G192" s="21">
        <v>4267</v>
      </c>
      <c r="H192" s="21">
        <v>9426</v>
      </c>
      <c r="I192" s="21">
        <v>5587</v>
      </c>
      <c r="J192" s="21">
        <v>1186</v>
      </c>
      <c r="K192" s="21">
        <v>1779</v>
      </c>
      <c r="L192" s="21">
        <v>258</v>
      </c>
      <c r="M192" s="21">
        <v>8910</v>
      </c>
      <c r="N192" s="21">
        <v>1819</v>
      </c>
      <c r="O192" s="21">
        <v>7312</v>
      </c>
      <c r="P192" s="21">
        <v>9488</v>
      </c>
      <c r="Q192" s="21">
        <v>9428</v>
      </c>
      <c r="R192" s="21">
        <v>8431</v>
      </c>
      <c r="S192" s="21">
        <v>3563</v>
      </c>
      <c r="T192" s="21">
        <v>5892</v>
      </c>
      <c r="U192" s="22">
        <v>3475</v>
      </c>
      <c r="W192" s="15"/>
      <c r="Z192"/>
      <c r="AA192"/>
      <c r="AB192" s="15">
        <v>135</v>
      </c>
    </row>
    <row r="193" spans="1:28" s="19" customFormat="1" ht="19.149999999999999" customHeight="1" x14ac:dyDescent="0.25">
      <c r="A193" s="25" t="s">
        <v>196</v>
      </c>
      <c r="B193" s="20">
        <v>9298</v>
      </c>
      <c r="C193" s="21">
        <v>4213</v>
      </c>
      <c r="D193" s="21">
        <v>196</v>
      </c>
      <c r="E193" s="21">
        <v>5487</v>
      </c>
      <c r="F193" s="21">
        <v>1766</v>
      </c>
      <c r="G193" s="21">
        <v>8404</v>
      </c>
      <c r="H193" s="21">
        <v>5970</v>
      </c>
      <c r="I193" s="21">
        <v>4558</v>
      </c>
      <c r="J193" s="21">
        <v>9412</v>
      </c>
      <c r="K193" s="21">
        <v>7746</v>
      </c>
      <c r="L193" s="21">
        <v>3930</v>
      </c>
      <c r="M193" s="21">
        <v>2415</v>
      </c>
      <c r="N193" s="21">
        <v>2243</v>
      </c>
      <c r="O193" s="21">
        <v>942</v>
      </c>
      <c r="P193" s="21">
        <v>8764</v>
      </c>
      <c r="Q193" s="21">
        <v>6050</v>
      </c>
      <c r="R193" s="21">
        <v>8657</v>
      </c>
      <c r="S193" s="21">
        <v>6825</v>
      </c>
      <c r="T193" s="21">
        <v>7731</v>
      </c>
      <c r="U193" s="22">
        <v>2639</v>
      </c>
      <c r="W193" s="15"/>
      <c r="Z193"/>
      <c r="AA193"/>
      <c r="AB193" s="15">
        <v>136</v>
      </c>
    </row>
    <row r="194" spans="1:28" s="19" customFormat="1" ht="19.149999999999999" customHeight="1" x14ac:dyDescent="0.25">
      <c r="A194" s="25" t="s">
        <v>197</v>
      </c>
      <c r="B194" s="20">
        <v>8930</v>
      </c>
      <c r="C194" s="21">
        <v>2305</v>
      </c>
      <c r="D194" s="21">
        <v>6684</v>
      </c>
      <c r="E194" s="21">
        <v>945</v>
      </c>
      <c r="F194" s="21">
        <v>397</v>
      </c>
      <c r="G194" s="21">
        <v>2999</v>
      </c>
      <c r="H194" s="21">
        <v>4944</v>
      </c>
      <c r="I194" s="21">
        <v>1608</v>
      </c>
      <c r="J194" s="21">
        <v>3319</v>
      </c>
      <c r="K194" s="21">
        <v>9614</v>
      </c>
      <c r="L194" s="21">
        <v>8881</v>
      </c>
      <c r="M194" s="21">
        <v>9008</v>
      </c>
      <c r="N194" s="21">
        <v>5093</v>
      </c>
      <c r="O194" s="21">
        <v>1174</v>
      </c>
      <c r="P194" s="21">
        <v>3024</v>
      </c>
      <c r="Q194" s="21">
        <v>1000</v>
      </c>
      <c r="R194" s="21">
        <v>9789</v>
      </c>
      <c r="S194" s="21">
        <v>6870</v>
      </c>
      <c r="T194" s="21">
        <v>1297</v>
      </c>
      <c r="U194" s="22">
        <v>4584</v>
      </c>
      <c r="W194" s="15"/>
      <c r="Z194"/>
      <c r="AA194"/>
      <c r="AB194" s="15">
        <v>137</v>
      </c>
    </row>
    <row r="195" spans="1:28" s="19" customFormat="1" ht="19.149999999999999" customHeight="1" x14ac:dyDescent="0.25">
      <c r="A195" s="25" t="s">
        <v>198</v>
      </c>
      <c r="B195" s="20">
        <v>17</v>
      </c>
      <c r="C195" s="21">
        <v>6167</v>
      </c>
      <c r="D195" s="21">
        <v>121</v>
      </c>
      <c r="E195" s="21">
        <v>7583</v>
      </c>
      <c r="F195" s="21">
        <v>1733</v>
      </c>
      <c r="G195" s="21">
        <v>1918</v>
      </c>
      <c r="H195" s="21">
        <v>7280</v>
      </c>
      <c r="I195" s="21">
        <v>2018</v>
      </c>
      <c r="J195" s="21">
        <v>6224</v>
      </c>
      <c r="K195" s="21">
        <v>8384</v>
      </c>
      <c r="L195" s="21">
        <v>8413</v>
      </c>
      <c r="M195" s="21">
        <v>4440</v>
      </c>
      <c r="N195" s="21">
        <v>456</v>
      </c>
      <c r="O195" s="21">
        <v>9034</v>
      </c>
      <c r="P195" s="21">
        <v>6352</v>
      </c>
      <c r="Q195" s="21">
        <v>4727</v>
      </c>
      <c r="R195" s="21">
        <v>2887</v>
      </c>
      <c r="S195" s="21">
        <v>1724</v>
      </c>
      <c r="T195" s="21">
        <v>9925</v>
      </c>
      <c r="U195" s="22">
        <v>4708</v>
      </c>
      <c r="W195" s="15"/>
      <c r="Z195"/>
      <c r="AA195"/>
      <c r="AB195" s="15">
        <v>138</v>
      </c>
    </row>
    <row r="196" spans="1:28" s="19" customFormat="1" ht="19.149999999999999" customHeight="1" x14ac:dyDescent="0.25">
      <c r="A196" s="25" t="s">
        <v>199</v>
      </c>
      <c r="B196" s="20">
        <v>740</v>
      </c>
      <c r="C196" s="21">
        <v>9470</v>
      </c>
      <c r="D196" s="21">
        <v>1301</v>
      </c>
      <c r="E196" s="21">
        <v>9128</v>
      </c>
      <c r="F196" s="21">
        <v>3586</v>
      </c>
      <c r="G196" s="21">
        <v>8517</v>
      </c>
      <c r="H196" s="21">
        <v>3894</v>
      </c>
      <c r="I196" s="21">
        <v>3781</v>
      </c>
      <c r="J196" s="21">
        <v>980</v>
      </c>
      <c r="K196" s="21">
        <v>204</v>
      </c>
      <c r="L196" s="21">
        <v>2297</v>
      </c>
      <c r="M196" s="21">
        <v>2047</v>
      </c>
      <c r="N196" s="21">
        <v>3298</v>
      </c>
      <c r="O196" s="21">
        <v>3144</v>
      </c>
      <c r="P196" s="21">
        <v>1823</v>
      </c>
      <c r="Q196" s="21">
        <v>2480</v>
      </c>
      <c r="R196" s="21">
        <v>8896</v>
      </c>
      <c r="S196" s="21">
        <v>5551</v>
      </c>
      <c r="T196" s="21">
        <v>9115</v>
      </c>
      <c r="U196" s="22">
        <v>7741</v>
      </c>
      <c r="W196" s="15"/>
      <c r="Z196"/>
      <c r="AA196"/>
      <c r="AB196" s="15">
        <v>139</v>
      </c>
    </row>
    <row r="197" spans="1:28" s="19" customFormat="1" ht="19.149999999999999" customHeight="1" x14ac:dyDescent="0.25">
      <c r="A197" s="25" t="s">
        <v>200</v>
      </c>
      <c r="B197" s="20">
        <v>7143</v>
      </c>
      <c r="C197" s="21">
        <v>6392</v>
      </c>
      <c r="D197" s="21">
        <v>6210</v>
      </c>
      <c r="E197" s="21">
        <v>3068</v>
      </c>
      <c r="F197" s="21">
        <v>9639</v>
      </c>
      <c r="G197" s="21">
        <v>3575</v>
      </c>
      <c r="H197" s="21">
        <v>2554</v>
      </c>
      <c r="I197" s="21">
        <v>2776</v>
      </c>
      <c r="J197" s="21">
        <v>6574</v>
      </c>
      <c r="K197" s="21">
        <v>9578</v>
      </c>
      <c r="L197" s="21">
        <v>5599</v>
      </c>
      <c r="M197" s="21">
        <v>6251</v>
      </c>
      <c r="N197" s="21">
        <v>1408</v>
      </c>
      <c r="O197" s="21">
        <v>507</v>
      </c>
      <c r="P197" s="21">
        <v>7262</v>
      </c>
      <c r="Q197" s="21">
        <v>8342</v>
      </c>
      <c r="R197" s="21">
        <v>7696</v>
      </c>
      <c r="S197" s="21">
        <v>8106</v>
      </c>
      <c r="T197" s="21">
        <v>3101</v>
      </c>
      <c r="U197" s="22">
        <v>3559</v>
      </c>
      <c r="W197" s="15"/>
      <c r="Z197"/>
      <c r="AA197"/>
      <c r="AB197" s="15">
        <v>140</v>
      </c>
    </row>
    <row r="198" spans="1:28" s="19" customFormat="1" ht="19.149999999999999" customHeight="1" x14ac:dyDescent="0.25">
      <c r="A198" s="25" t="s">
        <v>201</v>
      </c>
      <c r="B198" s="20">
        <v>566</v>
      </c>
      <c r="C198" s="21">
        <v>7940</v>
      </c>
      <c r="D198" s="21">
        <v>3212</v>
      </c>
      <c r="E198" s="21">
        <v>19</v>
      </c>
      <c r="F198" s="21">
        <v>9888</v>
      </c>
      <c r="G198" s="21">
        <v>881</v>
      </c>
      <c r="H198" s="21">
        <v>638</v>
      </c>
      <c r="I198" s="21">
        <v>5936</v>
      </c>
      <c r="J198" s="21">
        <v>3063</v>
      </c>
      <c r="K198" s="21">
        <v>8476</v>
      </c>
      <c r="L198" s="21">
        <v>7515</v>
      </c>
      <c r="M198" s="21">
        <v>4938</v>
      </c>
      <c r="N198" s="21">
        <v>5089</v>
      </c>
      <c r="O198" s="21">
        <v>2760</v>
      </c>
      <c r="P198" s="21">
        <v>9198</v>
      </c>
      <c r="Q198" s="21">
        <v>715</v>
      </c>
      <c r="R198" s="21">
        <v>5465</v>
      </c>
      <c r="S198" s="21">
        <v>7803</v>
      </c>
      <c r="T198" s="21">
        <v>7746</v>
      </c>
      <c r="U198" s="22">
        <v>369</v>
      </c>
      <c r="W198" s="15"/>
      <c r="Z198"/>
      <c r="AA198"/>
      <c r="AB198" s="15">
        <v>141</v>
      </c>
    </row>
    <row r="199" spans="1:28" s="19" customFormat="1" ht="19.149999999999999" customHeight="1" x14ac:dyDescent="0.25">
      <c r="A199" s="25" t="s">
        <v>202</v>
      </c>
      <c r="B199" s="20">
        <v>1079</v>
      </c>
      <c r="C199" s="21">
        <v>8274</v>
      </c>
      <c r="D199" s="21">
        <v>1120</v>
      </c>
      <c r="E199" s="21">
        <v>7060</v>
      </c>
      <c r="F199" s="21">
        <v>4249</v>
      </c>
      <c r="G199" s="21">
        <v>7835</v>
      </c>
      <c r="H199" s="21">
        <v>1051</v>
      </c>
      <c r="I199" s="21">
        <v>7070</v>
      </c>
      <c r="J199" s="21">
        <v>4063</v>
      </c>
      <c r="K199" s="21">
        <v>2340</v>
      </c>
      <c r="L199" s="21">
        <v>3453</v>
      </c>
      <c r="M199" s="21">
        <v>3129</v>
      </c>
      <c r="N199" s="21">
        <v>3732</v>
      </c>
      <c r="O199" s="21">
        <v>5476</v>
      </c>
      <c r="P199" s="21">
        <v>3712</v>
      </c>
      <c r="Q199" s="21">
        <v>1399</v>
      </c>
      <c r="R199" s="21">
        <v>794</v>
      </c>
      <c r="S199" s="21">
        <v>6056</v>
      </c>
      <c r="T199" s="21">
        <v>375</v>
      </c>
      <c r="U199" s="22">
        <v>6705</v>
      </c>
      <c r="W199" s="15"/>
      <c r="Z199"/>
      <c r="AA199"/>
      <c r="AB199" s="15">
        <v>142</v>
      </c>
    </row>
    <row r="200" spans="1:28" s="19" customFormat="1" ht="19.149999999999999" customHeight="1" x14ac:dyDescent="0.25">
      <c r="A200" s="25" t="s">
        <v>203</v>
      </c>
      <c r="B200" s="20">
        <v>9653</v>
      </c>
      <c r="C200" s="21">
        <v>5470</v>
      </c>
      <c r="D200" s="21">
        <v>9186</v>
      </c>
      <c r="E200" s="21">
        <v>8511</v>
      </c>
      <c r="F200" s="21">
        <v>3292</v>
      </c>
      <c r="G200" s="21">
        <v>2128</v>
      </c>
      <c r="H200" s="21">
        <v>8183</v>
      </c>
      <c r="I200" s="21">
        <v>4643</v>
      </c>
      <c r="J200" s="21">
        <v>6391</v>
      </c>
      <c r="K200" s="21">
        <v>7797</v>
      </c>
      <c r="L200" s="21">
        <v>8012</v>
      </c>
      <c r="M200" s="21">
        <v>6628</v>
      </c>
      <c r="N200" s="21">
        <v>7390</v>
      </c>
      <c r="O200" s="21">
        <v>8671</v>
      </c>
      <c r="P200" s="21">
        <v>5622</v>
      </c>
      <c r="Q200" s="21">
        <v>8119</v>
      </c>
      <c r="R200" s="21">
        <v>9016</v>
      </c>
      <c r="S200" s="21">
        <v>7225</v>
      </c>
      <c r="T200" s="21">
        <v>4801</v>
      </c>
      <c r="U200" s="22">
        <v>6281</v>
      </c>
      <c r="W200" s="15"/>
      <c r="Z200"/>
      <c r="AA200"/>
      <c r="AB200" s="15">
        <v>143</v>
      </c>
    </row>
    <row r="201" spans="1:28" s="19" customFormat="1" ht="19.149999999999999" customHeight="1" x14ac:dyDescent="0.25">
      <c r="A201" s="25" t="s">
        <v>204</v>
      </c>
      <c r="B201" s="20">
        <v>6959</v>
      </c>
      <c r="C201" s="21">
        <v>2725</v>
      </c>
      <c r="D201" s="21">
        <v>1549</v>
      </c>
      <c r="E201" s="21">
        <v>8580</v>
      </c>
      <c r="F201" s="21">
        <v>2014</v>
      </c>
      <c r="G201" s="21">
        <v>2692</v>
      </c>
      <c r="H201" s="21">
        <v>6386</v>
      </c>
      <c r="I201" s="21">
        <v>2239</v>
      </c>
      <c r="J201" s="21">
        <v>458</v>
      </c>
      <c r="K201" s="21">
        <v>6880</v>
      </c>
      <c r="L201" s="21">
        <v>6360</v>
      </c>
      <c r="M201" s="21">
        <v>1276</v>
      </c>
      <c r="N201" s="21">
        <v>1093</v>
      </c>
      <c r="O201" s="21">
        <v>6752</v>
      </c>
      <c r="P201" s="21">
        <v>2219</v>
      </c>
      <c r="Q201" s="21">
        <v>2507</v>
      </c>
      <c r="R201" s="21">
        <v>6389</v>
      </c>
      <c r="S201" s="21">
        <v>8645</v>
      </c>
      <c r="T201" s="21">
        <v>1747</v>
      </c>
      <c r="U201" s="22">
        <v>5226</v>
      </c>
      <c r="W201" s="15"/>
      <c r="Z201"/>
      <c r="AA201"/>
      <c r="AB201" s="15">
        <v>144</v>
      </c>
    </row>
    <row r="202" spans="1:28" s="19" customFormat="1" ht="19.149999999999999" customHeight="1" x14ac:dyDescent="0.25">
      <c r="A202" s="25" t="s">
        <v>205</v>
      </c>
      <c r="B202" s="20">
        <v>4754</v>
      </c>
      <c r="C202" s="21">
        <v>4672</v>
      </c>
      <c r="D202" s="21">
        <v>3987</v>
      </c>
      <c r="E202" s="21">
        <v>9169</v>
      </c>
      <c r="F202" s="21">
        <v>9412</v>
      </c>
      <c r="G202" s="21">
        <v>3265</v>
      </c>
      <c r="H202" s="21">
        <v>7858</v>
      </c>
      <c r="I202" s="21">
        <v>9177</v>
      </c>
      <c r="J202" s="21">
        <v>8493</v>
      </c>
      <c r="K202" s="21">
        <v>5680</v>
      </c>
      <c r="L202" s="21">
        <v>499</v>
      </c>
      <c r="M202" s="21">
        <v>2696</v>
      </c>
      <c r="N202" s="21">
        <v>2863</v>
      </c>
      <c r="O202" s="21">
        <v>9587</v>
      </c>
      <c r="P202" s="21">
        <v>8467</v>
      </c>
      <c r="Q202" s="21">
        <v>81</v>
      </c>
      <c r="R202" s="21">
        <v>4972</v>
      </c>
      <c r="S202" s="21">
        <v>933</v>
      </c>
      <c r="T202" s="21">
        <v>3349</v>
      </c>
      <c r="U202" s="22">
        <v>8940</v>
      </c>
      <c r="W202" s="15"/>
      <c r="Z202"/>
      <c r="AA202"/>
      <c r="AB202" s="15">
        <v>145</v>
      </c>
    </row>
    <row r="203" spans="1:28" s="19" customFormat="1" ht="19.149999999999999" customHeight="1" x14ac:dyDescent="0.25">
      <c r="A203" s="25" t="s">
        <v>206</v>
      </c>
      <c r="B203" s="20">
        <v>7639</v>
      </c>
      <c r="C203" s="21">
        <v>9103</v>
      </c>
      <c r="D203" s="21">
        <v>3616</v>
      </c>
      <c r="E203" s="21">
        <v>807</v>
      </c>
      <c r="F203" s="21">
        <v>6058</v>
      </c>
      <c r="G203" s="21">
        <v>3179</v>
      </c>
      <c r="H203" s="21">
        <v>6447</v>
      </c>
      <c r="I203" s="21">
        <v>6450</v>
      </c>
      <c r="J203" s="21">
        <v>3892</v>
      </c>
      <c r="K203" s="21">
        <v>7042</v>
      </c>
      <c r="L203" s="21">
        <v>6114</v>
      </c>
      <c r="M203" s="21">
        <v>6576</v>
      </c>
      <c r="N203" s="21">
        <v>2841</v>
      </c>
      <c r="O203" s="21">
        <v>5732</v>
      </c>
      <c r="P203" s="21">
        <v>5699</v>
      </c>
      <c r="Q203" s="21">
        <v>3704</v>
      </c>
      <c r="R203" s="21">
        <v>5317</v>
      </c>
      <c r="S203" s="21">
        <v>3713</v>
      </c>
      <c r="T203" s="21">
        <v>1406</v>
      </c>
      <c r="U203" s="22">
        <v>8299</v>
      </c>
      <c r="W203" s="15"/>
      <c r="Z203"/>
      <c r="AA203"/>
      <c r="AB203" s="15">
        <v>146</v>
      </c>
    </row>
    <row r="204" spans="1:28" s="19" customFormat="1" ht="19.149999999999999" customHeight="1" x14ac:dyDescent="0.25">
      <c r="A204" s="25" t="s">
        <v>207</v>
      </c>
      <c r="B204" s="20">
        <v>7775</v>
      </c>
      <c r="C204" s="21">
        <v>2875</v>
      </c>
      <c r="D204" s="21">
        <v>7485</v>
      </c>
      <c r="E204" s="21">
        <v>3092</v>
      </c>
      <c r="F204" s="21">
        <v>826</v>
      </c>
      <c r="G204" s="21">
        <v>4426</v>
      </c>
      <c r="H204" s="21">
        <v>114</v>
      </c>
      <c r="I204" s="21">
        <v>1352</v>
      </c>
      <c r="J204" s="21">
        <v>7050</v>
      </c>
      <c r="K204" s="21">
        <v>5366</v>
      </c>
      <c r="L204" s="21">
        <v>8150</v>
      </c>
      <c r="M204" s="21">
        <v>6722</v>
      </c>
      <c r="N204" s="21">
        <v>2080</v>
      </c>
      <c r="O204" s="21">
        <v>4529</v>
      </c>
      <c r="P204" s="21">
        <v>472</v>
      </c>
      <c r="Q204" s="21">
        <v>4970</v>
      </c>
      <c r="R204" s="21">
        <v>8528</v>
      </c>
      <c r="S204" s="21">
        <v>3245</v>
      </c>
      <c r="T204" s="21">
        <v>9775</v>
      </c>
      <c r="U204" s="22">
        <v>1940</v>
      </c>
      <c r="W204" s="15"/>
      <c r="Z204"/>
      <c r="AA204"/>
      <c r="AB204" s="15">
        <v>147</v>
      </c>
    </row>
    <row r="205" spans="1:28" s="19" customFormat="1" ht="19.149999999999999" customHeight="1" x14ac:dyDescent="0.25">
      <c r="A205" s="25" t="s">
        <v>208</v>
      </c>
      <c r="B205" s="20">
        <v>4877</v>
      </c>
      <c r="C205" s="21">
        <v>873</v>
      </c>
      <c r="D205" s="21">
        <v>1681</v>
      </c>
      <c r="E205" s="21">
        <v>9396</v>
      </c>
      <c r="F205" s="21">
        <v>2372</v>
      </c>
      <c r="G205" s="21">
        <v>239</v>
      </c>
      <c r="H205" s="21">
        <v>8767</v>
      </c>
      <c r="I205" s="21">
        <v>7351</v>
      </c>
      <c r="J205" s="21">
        <v>2714</v>
      </c>
      <c r="K205" s="21">
        <v>1375</v>
      </c>
      <c r="L205" s="21">
        <v>9439</v>
      </c>
      <c r="M205" s="21">
        <v>1986</v>
      </c>
      <c r="N205" s="21">
        <v>1198</v>
      </c>
      <c r="O205" s="21">
        <v>3199</v>
      </c>
      <c r="P205" s="21">
        <v>4870</v>
      </c>
      <c r="Q205" s="21">
        <v>9534</v>
      </c>
      <c r="R205" s="21">
        <v>3252</v>
      </c>
      <c r="S205" s="21">
        <v>7808</v>
      </c>
      <c r="T205" s="21">
        <v>6953</v>
      </c>
      <c r="U205" s="22">
        <v>9002</v>
      </c>
      <c r="W205" s="15"/>
      <c r="Z205"/>
      <c r="AA205"/>
      <c r="AB205" s="15">
        <v>148</v>
      </c>
    </row>
    <row r="206" spans="1:28" s="19" customFormat="1" ht="19.149999999999999" customHeight="1" x14ac:dyDescent="0.25">
      <c r="A206" s="25" t="s">
        <v>209</v>
      </c>
      <c r="B206" s="20">
        <v>5868</v>
      </c>
      <c r="C206" s="21">
        <v>7465</v>
      </c>
      <c r="D206" s="21">
        <v>1089</v>
      </c>
      <c r="E206" s="21">
        <v>4750</v>
      </c>
      <c r="F206" s="21">
        <v>7371</v>
      </c>
      <c r="G206" s="21">
        <v>8071</v>
      </c>
      <c r="H206" s="21">
        <v>4884</v>
      </c>
      <c r="I206" s="21">
        <v>9397</v>
      </c>
      <c r="J206" s="21">
        <v>4674</v>
      </c>
      <c r="K206" s="21">
        <v>1456</v>
      </c>
      <c r="L206" s="21">
        <v>6359</v>
      </c>
      <c r="M206" s="21">
        <v>6020</v>
      </c>
      <c r="N206" s="21">
        <v>3514</v>
      </c>
      <c r="O206" s="21">
        <v>9510</v>
      </c>
      <c r="P206" s="21">
        <v>2289</v>
      </c>
      <c r="Q206" s="21">
        <v>5586</v>
      </c>
      <c r="R206" s="21">
        <v>9926</v>
      </c>
      <c r="S206" s="21">
        <v>483</v>
      </c>
      <c r="T206" s="21">
        <v>2119</v>
      </c>
      <c r="U206" s="22">
        <v>1041</v>
      </c>
      <c r="W206" s="15"/>
      <c r="Z206"/>
      <c r="AA206"/>
      <c r="AB206" s="15">
        <v>149</v>
      </c>
    </row>
    <row r="207" spans="1:28" s="19" customFormat="1" ht="19.149999999999999" customHeight="1" x14ac:dyDescent="0.25">
      <c r="A207" s="25" t="s">
        <v>210</v>
      </c>
      <c r="B207" s="20">
        <v>8885</v>
      </c>
      <c r="C207" s="21">
        <v>7677</v>
      </c>
      <c r="D207" s="21">
        <v>7294</v>
      </c>
      <c r="E207" s="21">
        <v>6376</v>
      </c>
      <c r="F207" s="21">
        <v>4345</v>
      </c>
      <c r="G207" s="21">
        <v>1480</v>
      </c>
      <c r="H207" s="21">
        <v>8767</v>
      </c>
      <c r="I207" s="21">
        <v>7910</v>
      </c>
      <c r="J207" s="21">
        <v>9622</v>
      </c>
      <c r="K207" s="21">
        <v>9934</v>
      </c>
      <c r="L207" s="21">
        <v>6715</v>
      </c>
      <c r="M207" s="21">
        <v>2338</v>
      </c>
      <c r="N207" s="21">
        <v>9712</v>
      </c>
      <c r="O207" s="21">
        <v>1449</v>
      </c>
      <c r="P207" s="21">
        <v>8507</v>
      </c>
      <c r="Q207" s="21">
        <v>390</v>
      </c>
      <c r="R207" s="21">
        <v>4376</v>
      </c>
      <c r="S207" s="21">
        <v>4430</v>
      </c>
      <c r="T207" s="21">
        <v>5636</v>
      </c>
      <c r="U207" s="22">
        <v>297</v>
      </c>
      <c r="W207" s="15"/>
      <c r="Z207"/>
      <c r="AA207"/>
      <c r="AB207" s="15">
        <v>150</v>
      </c>
    </row>
    <row r="208" spans="1:28" s="19" customFormat="1" ht="19.149999999999999" customHeight="1" x14ac:dyDescent="0.25">
      <c r="A208" s="25" t="s">
        <v>211</v>
      </c>
      <c r="B208" s="20">
        <v>8781</v>
      </c>
      <c r="C208" s="21">
        <v>1438</v>
      </c>
      <c r="D208" s="21">
        <v>7365</v>
      </c>
      <c r="E208" s="21">
        <v>2930</v>
      </c>
      <c r="F208" s="21">
        <v>591</v>
      </c>
      <c r="G208" s="21">
        <v>2882</v>
      </c>
      <c r="H208" s="21">
        <v>1160</v>
      </c>
      <c r="I208" s="21">
        <v>9763</v>
      </c>
      <c r="J208" s="21">
        <v>5850</v>
      </c>
      <c r="K208" s="21">
        <v>1825</v>
      </c>
      <c r="L208" s="21">
        <v>1851</v>
      </c>
      <c r="M208" s="21">
        <v>4729</v>
      </c>
      <c r="N208" s="21">
        <v>418</v>
      </c>
      <c r="O208" s="21">
        <v>9500</v>
      </c>
      <c r="P208" s="21">
        <v>8557</v>
      </c>
      <c r="Q208" s="21">
        <v>9078</v>
      </c>
      <c r="R208" s="21">
        <v>8380</v>
      </c>
      <c r="S208" s="21">
        <v>1398</v>
      </c>
      <c r="T208" s="21">
        <v>8683</v>
      </c>
      <c r="U208" s="22">
        <v>7802</v>
      </c>
      <c r="W208" s="15"/>
      <c r="Z208"/>
      <c r="AA208"/>
      <c r="AB208" s="15">
        <v>151</v>
      </c>
    </row>
    <row r="209" spans="1:28" s="19" customFormat="1" ht="19.149999999999999" customHeight="1" x14ac:dyDescent="0.25">
      <c r="A209" s="25" t="s">
        <v>212</v>
      </c>
      <c r="B209" s="20">
        <v>7945</v>
      </c>
      <c r="C209" s="21">
        <v>1350</v>
      </c>
      <c r="D209" s="21">
        <v>4319</v>
      </c>
      <c r="E209" s="21">
        <v>6383</v>
      </c>
      <c r="F209" s="21">
        <v>8791</v>
      </c>
      <c r="G209" s="21">
        <v>9846</v>
      </c>
      <c r="H209" s="21">
        <v>3739</v>
      </c>
      <c r="I209" s="21">
        <v>5130</v>
      </c>
      <c r="J209" s="21">
        <v>8998</v>
      </c>
      <c r="K209" s="21">
        <v>1431</v>
      </c>
      <c r="L209" s="21">
        <v>6141</v>
      </c>
      <c r="M209" s="21">
        <v>9647</v>
      </c>
      <c r="N209" s="21">
        <v>8057</v>
      </c>
      <c r="O209" s="21">
        <v>651</v>
      </c>
      <c r="P209" s="21">
        <v>2836</v>
      </c>
      <c r="Q209" s="21">
        <v>3795</v>
      </c>
      <c r="R209" s="21">
        <v>5325</v>
      </c>
      <c r="S209" s="21">
        <v>8182</v>
      </c>
      <c r="T209" s="21">
        <v>9715</v>
      </c>
      <c r="U209" s="22">
        <v>6491</v>
      </c>
      <c r="W209" s="15"/>
      <c r="Z209"/>
      <c r="AA209"/>
      <c r="AB209" s="15">
        <v>152</v>
      </c>
    </row>
    <row r="210" spans="1:28" s="19" customFormat="1" ht="19.149999999999999" customHeight="1" x14ac:dyDescent="0.25">
      <c r="A210" s="25" t="s">
        <v>213</v>
      </c>
      <c r="B210" s="20">
        <v>4680</v>
      </c>
      <c r="C210" s="21">
        <v>3176</v>
      </c>
      <c r="D210" s="21">
        <v>2016</v>
      </c>
      <c r="E210" s="21">
        <v>8211</v>
      </c>
      <c r="F210" s="21">
        <v>54</v>
      </c>
      <c r="G210" s="21">
        <v>7102</v>
      </c>
      <c r="H210" s="21">
        <v>4385</v>
      </c>
      <c r="I210" s="21">
        <v>3375</v>
      </c>
      <c r="J210" s="21">
        <v>7939</v>
      </c>
      <c r="K210" s="21">
        <v>253</v>
      </c>
      <c r="L210" s="21">
        <v>3357</v>
      </c>
      <c r="M210" s="21">
        <v>1942</v>
      </c>
      <c r="N210" s="21">
        <v>1172</v>
      </c>
      <c r="O210" s="21">
        <v>8043</v>
      </c>
      <c r="P210" s="21">
        <v>8750</v>
      </c>
      <c r="Q210" s="21">
        <v>1215</v>
      </c>
      <c r="R210" s="21">
        <v>3473</v>
      </c>
      <c r="S210" s="21">
        <v>9382</v>
      </c>
      <c r="T210" s="21">
        <v>6108</v>
      </c>
      <c r="U210" s="22">
        <v>1212</v>
      </c>
      <c r="W210" s="15"/>
      <c r="Z210"/>
      <c r="AA210"/>
      <c r="AB210" s="15">
        <v>153</v>
      </c>
    </row>
    <row r="211" spans="1:28" s="19" customFormat="1" ht="19.149999999999999" customHeight="1" x14ac:dyDescent="0.25">
      <c r="A211" s="25" t="s">
        <v>214</v>
      </c>
      <c r="B211" s="20">
        <v>1056</v>
      </c>
      <c r="C211" s="21">
        <v>2551</v>
      </c>
      <c r="D211" s="21">
        <v>1976</v>
      </c>
      <c r="E211" s="21">
        <v>9540</v>
      </c>
      <c r="F211" s="21">
        <v>1900</v>
      </c>
      <c r="G211" s="21">
        <v>2755</v>
      </c>
      <c r="H211" s="21">
        <v>652</v>
      </c>
      <c r="I211" s="21">
        <v>6467</v>
      </c>
      <c r="J211" s="21">
        <v>3981</v>
      </c>
      <c r="K211" s="21">
        <v>6434</v>
      </c>
      <c r="L211" s="21">
        <v>8482</v>
      </c>
      <c r="M211" s="21">
        <v>8019</v>
      </c>
      <c r="N211" s="21">
        <v>9787</v>
      </c>
      <c r="O211" s="21">
        <v>6976</v>
      </c>
      <c r="P211" s="21">
        <v>3174</v>
      </c>
      <c r="Q211" s="21">
        <v>7728</v>
      </c>
      <c r="R211" s="21">
        <v>1157</v>
      </c>
      <c r="S211" s="21">
        <v>3485</v>
      </c>
      <c r="T211" s="21">
        <v>9921</v>
      </c>
      <c r="U211" s="22">
        <v>3842</v>
      </c>
      <c r="W211" s="15"/>
      <c r="Z211"/>
      <c r="AA211"/>
      <c r="AB211" s="15">
        <v>154</v>
      </c>
    </row>
    <row r="212" spans="1:28" s="19" customFormat="1" ht="19.149999999999999" customHeight="1" x14ac:dyDescent="0.25">
      <c r="A212" s="25" t="s">
        <v>215</v>
      </c>
      <c r="B212" s="20">
        <v>9121</v>
      </c>
      <c r="C212" s="21">
        <v>3252</v>
      </c>
      <c r="D212" s="21">
        <v>6303</v>
      </c>
      <c r="E212" s="21">
        <v>640</v>
      </c>
      <c r="F212" s="21">
        <v>4653</v>
      </c>
      <c r="G212" s="21">
        <v>6745</v>
      </c>
      <c r="H212" s="21">
        <v>687</v>
      </c>
      <c r="I212" s="21">
        <v>102</v>
      </c>
      <c r="J212" s="21">
        <v>7094</v>
      </c>
      <c r="K212" s="21">
        <v>3966</v>
      </c>
      <c r="L212" s="21">
        <v>1499</v>
      </c>
      <c r="M212" s="21">
        <v>5489</v>
      </c>
      <c r="N212" s="21">
        <v>5791</v>
      </c>
      <c r="O212" s="21">
        <v>7154</v>
      </c>
      <c r="P212" s="21">
        <v>9258</v>
      </c>
      <c r="Q212" s="21">
        <v>2247</v>
      </c>
      <c r="R212" s="21">
        <v>684</v>
      </c>
      <c r="S212" s="21">
        <v>8141</v>
      </c>
      <c r="T212" s="21">
        <v>2946</v>
      </c>
      <c r="U212" s="22">
        <v>2505</v>
      </c>
      <c r="W212" s="15"/>
      <c r="Z212"/>
      <c r="AA212"/>
      <c r="AB212" s="15">
        <v>155</v>
      </c>
    </row>
    <row r="213" spans="1:28" s="19" customFormat="1" ht="19.149999999999999" customHeight="1" x14ac:dyDescent="0.25">
      <c r="A213" s="25" t="s">
        <v>216</v>
      </c>
      <c r="B213" s="20">
        <v>7602</v>
      </c>
      <c r="C213" s="21">
        <v>6761</v>
      </c>
      <c r="D213" s="21">
        <v>6644</v>
      </c>
      <c r="E213" s="21">
        <v>4227</v>
      </c>
      <c r="F213" s="21">
        <v>8537</v>
      </c>
      <c r="G213" s="21">
        <v>7434</v>
      </c>
      <c r="H213" s="21">
        <v>3070</v>
      </c>
      <c r="I213" s="21">
        <v>182</v>
      </c>
      <c r="J213" s="21">
        <v>2782</v>
      </c>
      <c r="K213" s="21">
        <v>7228</v>
      </c>
      <c r="L213" s="21">
        <v>4809</v>
      </c>
      <c r="M213" s="21">
        <v>1741</v>
      </c>
      <c r="N213" s="21">
        <v>9433</v>
      </c>
      <c r="O213" s="21">
        <v>9162</v>
      </c>
      <c r="P213" s="21">
        <v>7551</v>
      </c>
      <c r="Q213" s="21">
        <v>3482</v>
      </c>
      <c r="R213" s="21">
        <v>9875</v>
      </c>
      <c r="S213" s="21">
        <v>3070</v>
      </c>
      <c r="T213" s="21">
        <v>5141</v>
      </c>
      <c r="U213" s="22">
        <v>7827</v>
      </c>
      <c r="W213" s="15"/>
      <c r="Z213"/>
      <c r="AA213"/>
      <c r="AB213" s="15">
        <v>156</v>
      </c>
    </row>
    <row r="214" spans="1:28" s="19" customFormat="1" ht="19.149999999999999" customHeight="1" x14ac:dyDescent="0.25">
      <c r="A214" s="25" t="s">
        <v>217</v>
      </c>
      <c r="B214" s="20">
        <v>3519</v>
      </c>
      <c r="C214" s="21">
        <v>4848</v>
      </c>
      <c r="D214" s="21">
        <v>5699</v>
      </c>
      <c r="E214" s="21">
        <v>4739</v>
      </c>
      <c r="F214" s="21">
        <v>2475</v>
      </c>
      <c r="G214" s="21">
        <v>978</v>
      </c>
      <c r="H214" s="21">
        <v>3824</v>
      </c>
      <c r="I214" s="21">
        <v>6302</v>
      </c>
      <c r="J214" s="21">
        <v>9147</v>
      </c>
      <c r="K214" s="21">
        <v>7460</v>
      </c>
      <c r="L214" s="21">
        <v>5594</v>
      </c>
      <c r="M214" s="21">
        <v>8373</v>
      </c>
      <c r="N214" s="21">
        <v>9897</v>
      </c>
      <c r="O214" s="21">
        <v>2516</v>
      </c>
      <c r="P214" s="21">
        <v>6716</v>
      </c>
      <c r="Q214" s="21">
        <v>4054</v>
      </c>
      <c r="R214" s="21">
        <v>2089</v>
      </c>
      <c r="S214" s="21">
        <v>5994</v>
      </c>
      <c r="T214" s="21">
        <v>586</v>
      </c>
      <c r="U214" s="22">
        <v>6677</v>
      </c>
      <c r="W214" s="15"/>
      <c r="Z214"/>
      <c r="AA214"/>
      <c r="AB214" s="15">
        <v>157</v>
      </c>
    </row>
    <row r="215" spans="1:28" s="19" customFormat="1" ht="19.149999999999999" customHeight="1" x14ac:dyDescent="0.25">
      <c r="A215" s="25" t="s">
        <v>218</v>
      </c>
      <c r="B215" s="20">
        <v>90</v>
      </c>
      <c r="C215" s="21">
        <v>4802</v>
      </c>
      <c r="D215" s="21">
        <v>271</v>
      </c>
      <c r="E215" s="21">
        <v>1168</v>
      </c>
      <c r="F215" s="21">
        <v>6705</v>
      </c>
      <c r="G215" s="21">
        <v>7989</v>
      </c>
      <c r="H215" s="21">
        <v>5726</v>
      </c>
      <c r="I215" s="21">
        <v>540</v>
      </c>
      <c r="J215" s="21">
        <v>9435</v>
      </c>
      <c r="K215" s="21">
        <v>1195</v>
      </c>
      <c r="L215" s="21">
        <v>762</v>
      </c>
      <c r="M215" s="21">
        <v>1669</v>
      </c>
      <c r="N215" s="21">
        <v>691</v>
      </c>
      <c r="O215" s="21">
        <v>2399</v>
      </c>
      <c r="P215" s="21">
        <v>1095</v>
      </c>
      <c r="Q215" s="21">
        <v>5047</v>
      </c>
      <c r="R215" s="21">
        <v>349</v>
      </c>
      <c r="S215" s="21">
        <v>5820</v>
      </c>
      <c r="T215" s="21">
        <v>3153</v>
      </c>
      <c r="U215" s="22">
        <v>1520</v>
      </c>
      <c r="W215" s="15"/>
      <c r="Z215"/>
      <c r="AA215"/>
      <c r="AB215" s="15">
        <v>158</v>
      </c>
    </row>
    <row r="216" spans="1:28" s="19" customFormat="1" ht="19.149999999999999" customHeight="1" x14ac:dyDescent="0.25">
      <c r="A216" s="25" t="s">
        <v>219</v>
      </c>
      <c r="B216" s="20">
        <v>4016</v>
      </c>
      <c r="C216" s="21">
        <v>9527</v>
      </c>
      <c r="D216" s="21">
        <v>7240</v>
      </c>
      <c r="E216" s="21">
        <v>3095</v>
      </c>
      <c r="F216" s="21">
        <v>8077</v>
      </c>
      <c r="G216" s="21">
        <v>76</v>
      </c>
      <c r="H216" s="21">
        <v>6104</v>
      </c>
      <c r="I216" s="21">
        <v>7375</v>
      </c>
      <c r="J216" s="21">
        <v>7816</v>
      </c>
      <c r="K216" s="21">
        <v>3155</v>
      </c>
      <c r="L216" s="21">
        <v>6140</v>
      </c>
      <c r="M216" s="21">
        <v>1892</v>
      </c>
      <c r="N216" s="21">
        <v>3517</v>
      </c>
      <c r="O216" s="21">
        <v>9490</v>
      </c>
      <c r="P216" s="21">
        <v>8711</v>
      </c>
      <c r="Q216" s="21">
        <v>413</v>
      </c>
      <c r="R216" s="21">
        <v>9311</v>
      </c>
      <c r="S216" s="21">
        <v>7652</v>
      </c>
      <c r="T216" s="21">
        <v>657</v>
      </c>
      <c r="U216" s="22">
        <v>9615</v>
      </c>
      <c r="W216" s="15"/>
      <c r="Z216"/>
      <c r="AA216"/>
      <c r="AB216" s="15">
        <v>159</v>
      </c>
    </row>
    <row r="217" spans="1:28" s="19" customFormat="1" ht="19.149999999999999" customHeight="1" x14ac:dyDescent="0.25">
      <c r="A217" s="25" t="s">
        <v>220</v>
      </c>
      <c r="B217" s="20">
        <v>853</v>
      </c>
      <c r="C217" s="21">
        <v>1964</v>
      </c>
      <c r="D217" s="21">
        <v>6294</v>
      </c>
      <c r="E217" s="21">
        <v>1164</v>
      </c>
      <c r="F217" s="21">
        <v>8495</v>
      </c>
      <c r="G217" s="21">
        <v>7945</v>
      </c>
      <c r="H217" s="21">
        <v>7568</v>
      </c>
      <c r="I217" s="21">
        <v>8329</v>
      </c>
      <c r="J217" s="21">
        <v>6172</v>
      </c>
      <c r="K217" s="21">
        <v>702</v>
      </c>
      <c r="L217" s="21">
        <v>1001</v>
      </c>
      <c r="M217" s="21">
        <v>7006</v>
      </c>
      <c r="N217" s="21">
        <v>7409</v>
      </c>
      <c r="O217" s="21">
        <v>9847</v>
      </c>
      <c r="P217" s="21">
        <v>9659</v>
      </c>
      <c r="Q217" s="21">
        <v>9415</v>
      </c>
      <c r="R217" s="21">
        <v>4342</v>
      </c>
      <c r="S217" s="21">
        <v>8717</v>
      </c>
      <c r="T217" s="21">
        <v>5048</v>
      </c>
      <c r="U217" s="22">
        <v>9187</v>
      </c>
      <c r="W217" s="15"/>
      <c r="Z217"/>
      <c r="AA217"/>
      <c r="AB217" s="15">
        <v>160</v>
      </c>
    </row>
    <row r="218" spans="1:28" s="19" customFormat="1" ht="19.149999999999999" customHeight="1" x14ac:dyDescent="0.25">
      <c r="A218" s="25" t="s">
        <v>221</v>
      </c>
      <c r="B218" s="20">
        <v>4749</v>
      </c>
      <c r="C218" s="21">
        <v>9902</v>
      </c>
      <c r="D218" s="21">
        <v>541</v>
      </c>
      <c r="E218" s="21">
        <v>9993</v>
      </c>
      <c r="F218" s="21">
        <v>98</v>
      </c>
      <c r="G218" s="21">
        <v>9536</v>
      </c>
      <c r="H218" s="21">
        <v>8793</v>
      </c>
      <c r="I218" s="21">
        <v>4096</v>
      </c>
      <c r="J218" s="21">
        <v>6702</v>
      </c>
      <c r="K218" s="21">
        <v>9906</v>
      </c>
      <c r="L218" s="21">
        <v>8950</v>
      </c>
      <c r="M218" s="21">
        <v>3090</v>
      </c>
      <c r="N218" s="21">
        <v>712</v>
      </c>
      <c r="O218" s="21">
        <v>3239</v>
      </c>
      <c r="P218" s="21">
        <v>3859</v>
      </c>
      <c r="Q218" s="21">
        <v>7161</v>
      </c>
      <c r="R218" s="21">
        <v>4032</v>
      </c>
      <c r="S218" s="21">
        <v>2486</v>
      </c>
      <c r="T218" s="21">
        <v>4400</v>
      </c>
      <c r="U218" s="22">
        <v>3491</v>
      </c>
      <c r="W218" s="15"/>
      <c r="Z218"/>
      <c r="AA218"/>
      <c r="AB218" s="15">
        <v>161</v>
      </c>
    </row>
    <row r="219" spans="1:28" s="19" customFormat="1" ht="19.149999999999999" customHeight="1" x14ac:dyDescent="0.25">
      <c r="A219" s="25" t="s">
        <v>222</v>
      </c>
      <c r="B219" s="20">
        <v>4304</v>
      </c>
      <c r="C219" s="21">
        <v>3662</v>
      </c>
      <c r="D219" s="21">
        <v>2256</v>
      </c>
      <c r="E219" s="21">
        <v>2636</v>
      </c>
      <c r="F219" s="21">
        <v>1283</v>
      </c>
      <c r="G219" s="21">
        <v>4912</v>
      </c>
      <c r="H219" s="21">
        <v>1486</v>
      </c>
      <c r="I219" s="21">
        <v>1477</v>
      </c>
      <c r="J219" s="21">
        <v>4500</v>
      </c>
      <c r="K219" s="21">
        <v>3308</v>
      </c>
      <c r="L219" s="21">
        <v>5727</v>
      </c>
      <c r="M219" s="21">
        <v>8783</v>
      </c>
      <c r="N219" s="21">
        <v>2762</v>
      </c>
      <c r="O219" s="21">
        <v>9257</v>
      </c>
      <c r="P219" s="21">
        <v>4432</v>
      </c>
      <c r="Q219" s="21">
        <v>8891</v>
      </c>
      <c r="R219" s="21">
        <v>2493</v>
      </c>
      <c r="S219" s="21">
        <v>8672</v>
      </c>
      <c r="T219" s="21">
        <v>7335</v>
      </c>
      <c r="U219" s="22">
        <v>394</v>
      </c>
      <c r="W219" s="15"/>
      <c r="Z219"/>
      <c r="AA219"/>
      <c r="AB219" s="15">
        <v>162</v>
      </c>
    </row>
    <row r="220" spans="1:28" s="19" customFormat="1" ht="19.149999999999999" customHeight="1" x14ac:dyDescent="0.25">
      <c r="A220" s="25" t="s">
        <v>223</v>
      </c>
      <c r="B220" s="20">
        <v>8635</v>
      </c>
      <c r="C220" s="21">
        <v>9332</v>
      </c>
      <c r="D220" s="21">
        <v>7128</v>
      </c>
      <c r="E220" s="21">
        <v>1450</v>
      </c>
      <c r="F220" s="21">
        <v>4944</v>
      </c>
      <c r="G220" s="21">
        <v>4564</v>
      </c>
      <c r="H220" s="21">
        <v>1638</v>
      </c>
      <c r="I220" s="21">
        <v>7773</v>
      </c>
      <c r="J220" s="21">
        <v>9407</v>
      </c>
      <c r="K220" s="21">
        <v>7217</v>
      </c>
      <c r="L220" s="21">
        <v>7436</v>
      </c>
      <c r="M220" s="21">
        <v>8852</v>
      </c>
      <c r="N220" s="21">
        <v>3677</v>
      </c>
      <c r="O220" s="21">
        <v>9249</v>
      </c>
      <c r="P220" s="21">
        <v>1974</v>
      </c>
      <c r="Q220" s="21">
        <v>1511</v>
      </c>
      <c r="R220" s="21">
        <v>1851</v>
      </c>
      <c r="S220" s="21">
        <v>853</v>
      </c>
      <c r="T220" s="21">
        <v>5966</v>
      </c>
      <c r="U220" s="22">
        <v>6585</v>
      </c>
      <c r="W220" s="15"/>
      <c r="Z220"/>
      <c r="AA220"/>
      <c r="AB220" s="15">
        <v>163</v>
      </c>
    </row>
    <row r="221" spans="1:28" s="19" customFormat="1" ht="19.149999999999999" customHeight="1" x14ac:dyDescent="0.25">
      <c r="A221" s="25" t="s">
        <v>224</v>
      </c>
      <c r="B221" s="20">
        <v>8818</v>
      </c>
      <c r="C221" s="21">
        <v>1182</v>
      </c>
      <c r="D221" s="21">
        <v>5601</v>
      </c>
      <c r="E221" s="21">
        <v>7996</v>
      </c>
      <c r="F221" s="21">
        <v>2313</v>
      </c>
      <c r="G221" s="21">
        <v>5540</v>
      </c>
      <c r="H221" s="21">
        <v>5303</v>
      </c>
      <c r="I221" s="21">
        <v>1221</v>
      </c>
      <c r="J221" s="21">
        <v>360</v>
      </c>
      <c r="K221" s="21">
        <v>3378</v>
      </c>
      <c r="L221" s="21">
        <v>3257</v>
      </c>
      <c r="M221" s="21">
        <v>8968</v>
      </c>
      <c r="N221" s="21">
        <v>5149</v>
      </c>
      <c r="O221" s="21">
        <v>6448</v>
      </c>
      <c r="P221" s="21">
        <v>8918</v>
      </c>
      <c r="Q221" s="21">
        <v>4119</v>
      </c>
      <c r="R221" s="21">
        <v>1735</v>
      </c>
      <c r="S221" s="21">
        <v>6341</v>
      </c>
      <c r="T221" s="21">
        <v>642</v>
      </c>
      <c r="U221" s="22">
        <v>1637</v>
      </c>
      <c r="W221" s="15"/>
      <c r="Z221"/>
      <c r="AA221"/>
      <c r="AB221" s="15">
        <v>164</v>
      </c>
    </row>
    <row r="222" spans="1:28" s="19" customFormat="1" ht="19.149999999999999" customHeight="1" x14ac:dyDescent="0.25">
      <c r="A222" s="25" t="s">
        <v>225</v>
      </c>
      <c r="B222" s="20">
        <v>5545</v>
      </c>
      <c r="C222" s="21">
        <v>4177</v>
      </c>
      <c r="D222" s="21">
        <v>4412</v>
      </c>
      <c r="E222" s="21">
        <v>7878</v>
      </c>
      <c r="F222" s="21">
        <v>5212</v>
      </c>
      <c r="G222" s="21">
        <v>4873</v>
      </c>
      <c r="H222" s="21">
        <v>7073</v>
      </c>
      <c r="I222" s="21">
        <v>7066</v>
      </c>
      <c r="J222" s="21">
        <v>7716</v>
      </c>
      <c r="K222" s="21">
        <v>7514</v>
      </c>
      <c r="L222" s="21">
        <v>2989</v>
      </c>
      <c r="M222" s="21">
        <v>2925</v>
      </c>
      <c r="N222" s="21">
        <v>1858</v>
      </c>
      <c r="O222" s="21">
        <v>9449</v>
      </c>
      <c r="P222" s="21">
        <v>121</v>
      </c>
      <c r="Q222" s="21">
        <v>2276</v>
      </c>
      <c r="R222" s="21">
        <v>5058</v>
      </c>
      <c r="S222" s="21">
        <v>2749</v>
      </c>
      <c r="T222" s="21">
        <v>5874</v>
      </c>
      <c r="U222" s="22">
        <v>9304</v>
      </c>
      <c r="W222" s="15"/>
      <c r="Z222"/>
      <c r="AA222"/>
      <c r="AB222" s="15">
        <v>165</v>
      </c>
    </row>
    <row r="223" spans="1:28" s="19" customFormat="1" ht="19.149999999999999" customHeight="1" x14ac:dyDescent="0.25">
      <c r="A223" s="25" t="s">
        <v>226</v>
      </c>
      <c r="B223" s="20">
        <v>359</v>
      </c>
      <c r="C223" s="21">
        <v>9899</v>
      </c>
      <c r="D223" s="21">
        <v>405</v>
      </c>
      <c r="E223" s="21">
        <v>6052</v>
      </c>
      <c r="F223" s="21">
        <v>7873</v>
      </c>
      <c r="G223" s="21">
        <v>9455</v>
      </c>
      <c r="H223" s="21">
        <v>2383</v>
      </c>
      <c r="I223" s="21">
        <v>5950</v>
      </c>
      <c r="J223" s="21">
        <v>3753</v>
      </c>
      <c r="K223" s="21">
        <v>8884</v>
      </c>
      <c r="L223" s="21">
        <v>5509</v>
      </c>
      <c r="M223" s="21">
        <v>9780</v>
      </c>
      <c r="N223" s="21">
        <v>6456</v>
      </c>
      <c r="O223" s="21">
        <v>7339</v>
      </c>
      <c r="P223" s="21">
        <v>1212</v>
      </c>
      <c r="Q223" s="21">
        <v>9905</v>
      </c>
      <c r="R223" s="21">
        <v>3500</v>
      </c>
      <c r="S223" s="21">
        <v>5206</v>
      </c>
      <c r="T223" s="21">
        <v>957</v>
      </c>
      <c r="U223" s="22">
        <v>6639</v>
      </c>
      <c r="W223" s="15"/>
      <c r="Z223"/>
      <c r="AA223"/>
      <c r="AB223" s="15">
        <v>166</v>
      </c>
    </row>
    <row r="224" spans="1:28" s="19" customFormat="1" ht="19.149999999999999" customHeight="1" x14ac:dyDescent="0.25">
      <c r="A224" s="25" t="s">
        <v>227</v>
      </c>
      <c r="B224" s="20">
        <v>9881</v>
      </c>
      <c r="C224" s="21">
        <v>4455</v>
      </c>
      <c r="D224" s="21">
        <v>4878</v>
      </c>
      <c r="E224" s="21">
        <v>2325</v>
      </c>
      <c r="F224" s="21">
        <v>1780</v>
      </c>
      <c r="G224" s="21">
        <v>5100</v>
      </c>
      <c r="H224" s="21">
        <v>5262</v>
      </c>
      <c r="I224" s="21">
        <v>6284</v>
      </c>
      <c r="J224" s="21">
        <v>2554</v>
      </c>
      <c r="K224" s="21">
        <v>406</v>
      </c>
      <c r="L224" s="21">
        <v>831</v>
      </c>
      <c r="M224" s="21">
        <v>9387</v>
      </c>
      <c r="N224" s="21">
        <v>3028</v>
      </c>
      <c r="O224" s="21">
        <v>5079</v>
      </c>
      <c r="P224" s="21">
        <v>7002</v>
      </c>
      <c r="Q224" s="21">
        <v>797</v>
      </c>
      <c r="R224" s="21">
        <v>7043</v>
      </c>
      <c r="S224" s="21">
        <v>3613</v>
      </c>
      <c r="T224" s="21">
        <v>6683</v>
      </c>
      <c r="U224" s="22">
        <v>2016</v>
      </c>
      <c r="W224" s="15"/>
      <c r="Z224"/>
      <c r="AA224"/>
      <c r="AB224" s="15">
        <v>167</v>
      </c>
    </row>
    <row r="225" spans="1:28" s="19" customFormat="1" ht="19.149999999999999" customHeight="1" x14ac:dyDescent="0.25">
      <c r="A225" s="25" t="s">
        <v>228</v>
      </c>
      <c r="B225" s="20">
        <v>7477</v>
      </c>
      <c r="C225" s="21">
        <v>1721</v>
      </c>
      <c r="D225" s="21">
        <v>5520</v>
      </c>
      <c r="E225" s="21">
        <v>4131</v>
      </c>
      <c r="F225" s="21">
        <v>1257</v>
      </c>
      <c r="G225" s="21">
        <v>235</v>
      </c>
      <c r="H225" s="21">
        <v>6777</v>
      </c>
      <c r="I225" s="21">
        <v>3022</v>
      </c>
      <c r="J225" s="21">
        <v>530</v>
      </c>
      <c r="K225" s="21">
        <v>6800</v>
      </c>
      <c r="L225" s="21">
        <v>2183</v>
      </c>
      <c r="M225" s="21">
        <v>3106</v>
      </c>
      <c r="N225" s="21">
        <v>6928</v>
      </c>
      <c r="O225" s="21">
        <v>3561</v>
      </c>
      <c r="P225" s="21">
        <v>8451</v>
      </c>
      <c r="Q225" s="21">
        <v>6305</v>
      </c>
      <c r="R225" s="21">
        <v>3207</v>
      </c>
      <c r="S225" s="21">
        <v>776</v>
      </c>
      <c r="T225" s="21">
        <v>8773</v>
      </c>
      <c r="U225" s="22">
        <v>9728</v>
      </c>
      <c r="W225" s="15"/>
      <c r="Z225"/>
      <c r="AA225"/>
      <c r="AB225" s="15">
        <v>168</v>
      </c>
    </row>
    <row r="226" spans="1:28" s="19" customFormat="1" ht="19.149999999999999" customHeight="1" x14ac:dyDescent="0.25">
      <c r="A226" s="25" t="s">
        <v>229</v>
      </c>
      <c r="B226" s="20">
        <v>4309</v>
      </c>
      <c r="C226" s="21">
        <v>687</v>
      </c>
      <c r="D226" s="21">
        <v>8253</v>
      </c>
      <c r="E226" s="21">
        <v>3982</v>
      </c>
      <c r="F226" s="21">
        <v>7799</v>
      </c>
      <c r="G226" s="21">
        <v>2848</v>
      </c>
      <c r="H226" s="21">
        <v>9059</v>
      </c>
      <c r="I226" s="21">
        <v>1294</v>
      </c>
      <c r="J226" s="21">
        <v>973</v>
      </c>
      <c r="K226" s="21">
        <v>7223</v>
      </c>
      <c r="L226" s="21">
        <v>894</v>
      </c>
      <c r="M226" s="21">
        <v>3019</v>
      </c>
      <c r="N226" s="21">
        <v>1980</v>
      </c>
      <c r="O226" s="21">
        <v>6450</v>
      </c>
      <c r="P226" s="21">
        <v>2055</v>
      </c>
      <c r="Q226" s="21">
        <v>8447</v>
      </c>
      <c r="R226" s="21">
        <v>7135</v>
      </c>
      <c r="S226" s="21">
        <v>1833</v>
      </c>
      <c r="T226" s="21">
        <v>6852</v>
      </c>
      <c r="U226" s="22">
        <v>4120</v>
      </c>
      <c r="W226" s="15"/>
      <c r="Z226"/>
      <c r="AA226"/>
      <c r="AB226" s="15">
        <v>169</v>
      </c>
    </row>
    <row r="227" spans="1:28" s="19" customFormat="1" ht="19.149999999999999" customHeight="1" x14ac:dyDescent="0.25">
      <c r="A227" s="25" t="s">
        <v>230</v>
      </c>
      <c r="B227" s="20">
        <v>9499</v>
      </c>
      <c r="C227" s="21">
        <v>1474</v>
      </c>
      <c r="D227" s="21">
        <v>7815</v>
      </c>
      <c r="E227" s="21">
        <v>6063</v>
      </c>
      <c r="F227" s="21">
        <v>6372</v>
      </c>
      <c r="G227" s="21">
        <v>5959</v>
      </c>
      <c r="H227" s="21">
        <v>8368</v>
      </c>
      <c r="I227" s="21">
        <v>6475</v>
      </c>
      <c r="J227" s="21">
        <v>6944</v>
      </c>
      <c r="K227" s="21">
        <v>8342</v>
      </c>
      <c r="L227" s="21">
        <v>3316</v>
      </c>
      <c r="M227" s="21">
        <v>5888</v>
      </c>
      <c r="N227" s="21">
        <v>1104</v>
      </c>
      <c r="O227" s="21">
        <v>8140</v>
      </c>
      <c r="P227" s="21">
        <v>4144</v>
      </c>
      <c r="Q227" s="21">
        <v>7027</v>
      </c>
      <c r="R227" s="21">
        <v>1336</v>
      </c>
      <c r="S227" s="21">
        <v>2834</v>
      </c>
      <c r="T227" s="21">
        <v>5390</v>
      </c>
      <c r="U227" s="22">
        <v>3415</v>
      </c>
      <c r="W227" s="15"/>
      <c r="Z227"/>
      <c r="AA227"/>
      <c r="AB227" s="15">
        <v>170</v>
      </c>
    </row>
    <row r="228" spans="1:28" s="19" customFormat="1" ht="19.149999999999999" customHeight="1" x14ac:dyDescent="0.25">
      <c r="A228" s="25" t="s">
        <v>231</v>
      </c>
      <c r="B228" s="20">
        <v>219</v>
      </c>
      <c r="C228" s="21">
        <v>9003</v>
      </c>
      <c r="D228" s="21">
        <v>1363</v>
      </c>
      <c r="E228" s="21">
        <v>146</v>
      </c>
      <c r="F228" s="21">
        <v>3785</v>
      </c>
      <c r="G228" s="21">
        <v>4275</v>
      </c>
      <c r="H228" s="21">
        <v>3296</v>
      </c>
      <c r="I228" s="21">
        <v>6915</v>
      </c>
      <c r="J228" s="21">
        <v>9151</v>
      </c>
      <c r="K228" s="21">
        <v>9402</v>
      </c>
      <c r="L228" s="21">
        <v>8302</v>
      </c>
      <c r="M228" s="21">
        <v>5784</v>
      </c>
      <c r="N228" s="21">
        <v>1751</v>
      </c>
      <c r="O228" s="21">
        <v>1085</v>
      </c>
      <c r="P228" s="21">
        <v>9256</v>
      </c>
      <c r="Q228" s="21">
        <v>259</v>
      </c>
      <c r="R228" s="21">
        <v>2553</v>
      </c>
      <c r="S228" s="21">
        <v>649</v>
      </c>
      <c r="T228" s="21">
        <v>4066</v>
      </c>
      <c r="U228" s="22">
        <v>5854</v>
      </c>
      <c r="W228" s="15"/>
      <c r="Z228"/>
      <c r="AA228"/>
      <c r="AB228" s="15">
        <v>171</v>
      </c>
    </row>
    <row r="229" spans="1:28" s="19" customFormat="1" ht="19.149999999999999" customHeight="1" x14ac:dyDescent="0.25">
      <c r="A229" s="25" t="s">
        <v>232</v>
      </c>
      <c r="B229" s="20">
        <v>9403</v>
      </c>
      <c r="C229" s="21">
        <v>6622</v>
      </c>
      <c r="D229" s="21">
        <v>9466</v>
      </c>
      <c r="E229" s="21">
        <v>1769</v>
      </c>
      <c r="F229" s="21">
        <v>2966</v>
      </c>
      <c r="G229" s="21">
        <v>4692</v>
      </c>
      <c r="H229" s="21">
        <v>7825</v>
      </c>
      <c r="I229" s="21">
        <v>5023</v>
      </c>
      <c r="J229" s="21">
        <v>2675</v>
      </c>
      <c r="K229" s="21">
        <v>1269</v>
      </c>
      <c r="L229" s="21">
        <v>6262</v>
      </c>
      <c r="M229" s="21">
        <v>15</v>
      </c>
      <c r="N229" s="21">
        <v>6031</v>
      </c>
      <c r="O229" s="21">
        <v>9429</v>
      </c>
      <c r="P229" s="21">
        <v>2381</v>
      </c>
      <c r="Q229" s="21">
        <v>5535</v>
      </c>
      <c r="R229" s="21">
        <v>6542</v>
      </c>
      <c r="S229" s="21">
        <v>1420</v>
      </c>
      <c r="T229" s="21">
        <v>8345</v>
      </c>
      <c r="U229" s="22">
        <v>6637</v>
      </c>
      <c r="W229" s="15"/>
      <c r="Z229"/>
      <c r="AA229"/>
      <c r="AB229" s="15">
        <v>172</v>
      </c>
    </row>
    <row r="230" spans="1:28" s="19" customFormat="1" ht="19.149999999999999" customHeight="1" x14ac:dyDescent="0.25">
      <c r="A230" s="25" t="s">
        <v>233</v>
      </c>
      <c r="B230" s="20">
        <v>2233</v>
      </c>
      <c r="C230" s="21">
        <v>3284</v>
      </c>
      <c r="D230" s="21">
        <v>6752</v>
      </c>
      <c r="E230" s="21">
        <v>5507</v>
      </c>
      <c r="F230" s="21">
        <v>6225</v>
      </c>
      <c r="G230" s="21">
        <v>8787</v>
      </c>
      <c r="H230" s="21">
        <v>4238</v>
      </c>
      <c r="I230" s="21">
        <v>7854</v>
      </c>
      <c r="J230" s="21">
        <v>3860</v>
      </c>
      <c r="K230" s="21">
        <v>1353</v>
      </c>
      <c r="L230" s="21">
        <v>3372</v>
      </c>
      <c r="M230" s="21">
        <v>6393</v>
      </c>
      <c r="N230" s="21">
        <v>3298</v>
      </c>
      <c r="O230" s="21">
        <v>8123</v>
      </c>
      <c r="P230" s="21">
        <v>1857</v>
      </c>
      <c r="Q230" s="21">
        <v>7400</v>
      </c>
      <c r="R230" s="21">
        <v>8136</v>
      </c>
      <c r="S230" s="21">
        <v>7750</v>
      </c>
      <c r="T230" s="21">
        <v>2716</v>
      </c>
      <c r="U230" s="22">
        <v>9575</v>
      </c>
      <c r="W230" s="15"/>
      <c r="Z230"/>
      <c r="AA230"/>
      <c r="AB230" s="15">
        <v>173</v>
      </c>
    </row>
    <row r="231" spans="1:28" s="19" customFormat="1" ht="19.149999999999999" customHeight="1" x14ac:dyDescent="0.25">
      <c r="A231" s="25" t="s">
        <v>234</v>
      </c>
      <c r="B231" s="20">
        <v>919</v>
      </c>
      <c r="C231" s="21">
        <v>2369</v>
      </c>
      <c r="D231" s="21">
        <v>8656</v>
      </c>
      <c r="E231" s="21">
        <v>7527</v>
      </c>
      <c r="F231" s="21">
        <v>7216</v>
      </c>
      <c r="G231" s="21">
        <v>3181</v>
      </c>
      <c r="H231" s="21">
        <v>3312</v>
      </c>
      <c r="I231" s="21">
        <v>4027</v>
      </c>
      <c r="J231" s="21">
        <v>2306</v>
      </c>
      <c r="K231" s="21">
        <v>4164</v>
      </c>
      <c r="L231" s="21">
        <v>6169</v>
      </c>
      <c r="M231" s="21">
        <v>1795</v>
      </c>
      <c r="N231" s="21">
        <v>9509</v>
      </c>
      <c r="O231" s="21">
        <v>8141</v>
      </c>
      <c r="P231" s="21">
        <v>1550</v>
      </c>
      <c r="Q231" s="21">
        <v>2224</v>
      </c>
      <c r="R231" s="21">
        <v>6768</v>
      </c>
      <c r="S231" s="21">
        <v>959</v>
      </c>
      <c r="T231" s="21">
        <v>4512</v>
      </c>
      <c r="U231" s="22">
        <v>5343</v>
      </c>
      <c r="W231" s="15"/>
      <c r="Z231"/>
      <c r="AA231"/>
      <c r="AB231" s="15">
        <v>174</v>
      </c>
    </row>
    <row r="232" spans="1:28" s="19" customFormat="1" ht="19.149999999999999" customHeight="1" x14ac:dyDescent="0.25">
      <c r="A232" s="25" t="s">
        <v>235</v>
      </c>
      <c r="B232" s="20">
        <v>2376</v>
      </c>
      <c r="C232" s="21">
        <v>3590</v>
      </c>
      <c r="D232" s="21">
        <v>6238</v>
      </c>
      <c r="E232" s="21">
        <v>8101</v>
      </c>
      <c r="F232" s="21">
        <v>4453</v>
      </c>
      <c r="G232" s="21">
        <v>270</v>
      </c>
      <c r="H232" s="21">
        <v>6294</v>
      </c>
      <c r="I232" s="21">
        <v>1706</v>
      </c>
      <c r="J232" s="21">
        <v>7809</v>
      </c>
      <c r="K232" s="21">
        <v>7669</v>
      </c>
      <c r="L232" s="21">
        <v>2220</v>
      </c>
      <c r="M232" s="21">
        <v>9924</v>
      </c>
      <c r="N232" s="21">
        <v>6953</v>
      </c>
      <c r="O232" s="21">
        <v>1991</v>
      </c>
      <c r="P232" s="21">
        <v>5915</v>
      </c>
      <c r="Q232" s="21">
        <v>9937</v>
      </c>
      <c r="R232" s="21">
        <v>5365</v>
      </c>
      <c r="S232" s="21">
        <v>1951</v>
      </c>
      <c r="T232" s="21">
        <v>7248</v>
      </c>
      <c r="U232" s="22">
        <v>8291</v>
      </c>
      <c r="W232" s="15"/>
      <c r="Z232"/>
      <c r="AA232"/>
      <c r="AB232" s="15">
        <v>175</v>
      </c>
    </row>
    <row r="233" spans="1:28" s="19" customFormat="1" ht="19.149999999999999" customHeight="1" x14ac:dyDescent="0.25">
      <c r="A233" s="25" t="s">
        <v>236</v>
      </c>
      <c r="B233" s="20">
        <v>1215</v>
      </c>
      <c r="C233" s="21">
        <v>214</v>
      </c>
      <c r="D233" s="21">
        <v>183</v>
      </c>
      <c r="E233" s="21">
        <v>1254</v>
      </c>
      <c r="F233" s="21">
        <v>3479</v>
      </c>
      <c r="G233" s="21">
        <v>482</v>
      </c>
      <c r="H233" s="21">
        <v>9776</v>
      </c>
      <c r="I233" s="21">
        <v>8895</v>
      </c>
      <c r="J233" s="21">
        <v>6598</v>
      </c>
      <c r="K233" s="21">
        <v>8232</v>
      </c>
      <c r="L233" s="21">
        <v>6635</v>
      </c>
      <c r="M233" s="21">
        <v>5711</v>
      </c>
      <c r="N233" s="21">
        <v>9260</v>
      </c>
      <c r="O233" s="21">
        <v>6623</v>
      </c>
      <c r="P233" s="21">
        <v>4256</v>
      </c>
      <c r="Q233" s="21">
        <v>4924</v>
      </c>
      <c r="R233" s="21">
        <v>7015</v>
      </c>
      <c r="S233" s="21">
        <v>2864</v>
      </c>
      <c r="T233" s="21">
        <v>659</v>
      </c>
      <c r="U233" s="22">
        <v>8024</v>
      </c>
      <c r="W233" s="15"/>
      <c r="Z233"/>
      <c r="AA233"/>
      <c r="AB233" s="15">
        <v>176</v>
      </c>
    </row>
    <row r="234" spans="1:28" s="19" customFormat="1" ht="19.149999999999999" customHeight="1" x14ac:dyDescent="0.25">
      <c r="A234" s="25" t="s">
        <v>237</v>
      </c>
      <c r="B234" s="20">
        <v>2211</v>
      </c>
      <c r="C234" s="21">
        <v>3524</v>
      </c>
      <c r="D234" s="21">
        <v>8869</v>
      </c>
      <c r="E234" s="21">
        <v>5949</v>
      </c>
      <c r="F234" s="21">
        <v>6429</v>
      </c>
      <c r="G234" s="21">
        <v>5370</v>
      </c>
      <c r="H234" s="21">
        <v>1554</v>
      </c>
      <c r="I234" s="21">
        <v>6648</v>
      </c>
      <c r="J234" s="21">
        <v>3647</v>
      </c>
      <c r="K234" s="21">
        <v>6857</v>
      </c>
      <c r="L234" s="21">
        <v>7821</v>
      </c>
      <c r="M234" s="21">
        <v>3898</v>
      </c>
      <c r="N234" s="21">
        <v>844</v>
      </c>
      <c r="O234" s="21">
        <v>7901</v>
      </c>
      <c r="P234" s="21">
        <v>670</v>
      </c>
      <c r="Q234" s="21">
        <v>8150</v>
      </c>
      <c r="R234" s="21">
        <v>7191</v>
      </c>
      <c r="S234" s="21">
        <v>2933</v>
      </c>
      <c r="T234" s="21">
        <v>284</v>
      </c>
      <c r="U234" s="22">
        <v>2861</v>
      </c>
      <c r="W234" s="15"/>
      <c r="Z234"/>
      <c r="AA234"/>
      <c r="AB234" s="15">
        <v>177</v>
      </c>
    </row>
    <row r="235" spans="1:28" s="19" customFormat="1" ht="19.149999999999999" customHeight="1" x14ac:dyDescent="0.25">
      <c r="A235" s="25" t="s">
        <v>238</v>
      </c>
      <c r="B235" s="20">
        <v>6673</v>
      </c>
      <c r="C235" s="21">
        <v>765</v>
      </c>
      <c r="D235" s="21">
        <v>1662</v>
      </c>
      <c r="E235" s="21">
        <v>8925</v>
      </c>
      <c r="F235" s="21">
        <v>8758</v>
      </c>
      <c r="G235" s="21">
        <v>2504</v>
      </c>
      <c r="H235" s="21">
        <v>717</v>
      </c>
      <c r="I235" s="21">
        <v>4277</v>
      </c>
      <c r="J235" s="21">
        <v>6785</v>
      </c>
      <c r="K235" s="21">
        <v>6933</v>
      </c>
      <c r="L235" s="21">
        <v>3057</v>
      </c>
      <c r="M235" s="21">
        <v>26</v>
      </c>
      <c r="N235" s="21">
        <v>1007</v>
      </c>
      <c r="O235" s="21">
        <v>3587</v>
      </c>
      <c r="P235" s="21">
        <v>1122</v>
      </c>
      <c r="Q235" s="21">
        <v>6754</v>
      </c>
      <c r="R235" s="21">
        <v>6987</v>
      </c>
      <c r="S235" s="21">
        <v>2441</v>
      </c>
      <c r="T235" s="21">
        <v>487</v>
      </c>
      <c r="U235" s="22">
        <v>491</v>
      </c>
      <c r="W235" s="15"/>
      <c r="Z235"/>
      <c r="AA235"/>
      <c r="AB235" s="15">
        <v>178</v>
      </c>
    </row>
    <row r="236" spans="1:28" s="19" customFormat="1" ht="19.149999999999999" customHeight="1" x14ac:dyDescent="0.25">
      <c r="A236" s="25" t="s">
        <v>239</v>
      </c>
      <c r="B236" s="20">
        <v>5089</v>
      </c>
      <c r="C236" s="21">
        <v>3943</v>
      </c>
      <c r="D236" s="21">
        <v>2496</v>
      </c>
      <c r="E236" s="21">
        <v>1680</v>
      </c>
      <c r="F236" s="21">
        <v>1201</v>
      </c>
      <c r="G236" s="21">
        <v>8424</v>
      </c>
      <c r="H236" s="21">
        <v>1009</v>
      </c>
      <c r="I236" s="21">
        <v>226</v>
      </c>
      <c r="J236" s="21">
        <v>4069</v>
      </c>
      <c r="K236" s="21">
        <v>4974</v>
      </c>
      <c r="L236" s="21">
        <v>1282</v>
      </c>
      <c r="M236" s="21">
        <v>8281</v>
      </c>
      <c r="N236" s="21">
        <v>7263</v>
      </c>
      <c r="O236" s="21">
        <v>7346</v>
      </c>
      <c r="P236" s="21">
        <v>5305</v>
      </c>
      <c r="Q236" s="21">
        <v>2479</v>
      </c>
      <c r="R236" s="21">
        <v>9163</v>
      </c>
      <c r="S236" s="21">
        <v>1717</v>
      </c>
      <c r="T236" s="21">
        <v>3080</v>
      </c>
      <c r="U236" s="22">
        <v>3761</v>
      </c>
      <c r="W236" s="15"/>
      <c r="Z236"/>
      <c r="AA236"/>
      <c r="AB236" s="15">
        <v>179</v>
      </c>
    </row>
    <row r="237" spans="1:28" s="19" customFormat="1" ht="19.149999999999999" customHeight="1" x14ac:dyDescent="0.25">
      <c r="A237" s="25" t="s">
        <v>240</v>
      </c>
      <c r="B237" s="20">
        <v>2073</v>
      </c>
      <c r="C237" s="21">
        <v>9186</v>
      </c>
      <c r="D237" s="21">
        <v>5391</v>
      </c>
      <c r="E237" s="21">
        <v>7712</v>
      </c>
      <c r="F237" s="21">
        <v>9791</v>
      </c>
      <c r="G237" s="21">
        <v>1774</v>
      </c>
      <c r="H237" s="21">
        <v>9650</v>
      </c>
      <c r="I237" s="21">
        <v>1494</v>
      </c>
      <c r="J237" s="21">
        <v>3056</v>
      </c>
      <c r="K237" s="21">
        <v>3725</v>
      </c>
      <c r="L237" s="21">
        <v>8815</v>
      </c>
      <c r="M237" s="21">
        <v>1509</v>
      </c>
      <c r="N237" s="21">
        <v>1182</v>
      </c>
      <c r="O237" s="21">
        <v>9748</v>
      </c>
      <c r="P237" s="21">
        <v>2809</v>
      </c>
      <c r="Q237" s="21">
        <v>3256</v>
      </c>
      <c r="R237" s="21">
        <v>321</v>
      </c>
      <c r="S237" s="21">
        <v>6689</v>
      </c>
      <c r="T237" s="21">
        <v>9393</v>
      </c>
      <c r="U237" s="22">
        <v>135</v>
      </c>
      <c r="W237" s="15"/>
      <c r="Z237"/>
      <c r="AA237"/>
      <c r="AB237" s="15">
        <v>180</v>
      </c>
    </row>
    <row r="238" spans="1:28" s="19" customFormat="1" ht="19.149999999999999" customHeight="1" x14ac:dyDescent="0.25">
      <c r="A238" s="25" t="s">
        <v>241</v>
      </c>
      <c r="B238" s="20">
        <v>645</v>
      </c>
      <c r="C238" s="21">
        <v>7322</v>
      </c>
      <c r="D238" s="21">
        <v>9878</v>
      </c>
      <c r="E238" s="21">
        <v>3317</v>
      </c>
      <c r="F238" s="21">
        <v>669</v>
      </c>
      <c r="G238" s="21">
        <v>1850</v>
      </c>
      <c r="H238" s="21">
        <v>9610</v>
      </c>
      <c r="I238" s="21">
        <v>1321</v>
      </c>
      <c r="J238" s="21">
        <v>6905</v>
      </c>
      <c r="K238" s="21">
        <v>8783</v>
      </c>
      <c r="L238" s="21">
        <v>968</v>
      </c>
      <c r="M238" s="21">
        <v>1652</v>
      </c>
      <c r="N238" s="21">
        <v>8537</v>
      </c>
      <c r="O238" s="21">
        <v>1571</v>
      </c>
      <c r="P238" s="21">
        <v>3620</v>
      </c>
      <c r="Q238" s="21">
        <v>9703</v>
      </c>
      <c r="R238" s="21">
        <v>4352</v>
      </c>
      <c r="S238" s="21">
        <v>5918</v>
      </c>
      <c r="T238" s="21">
        <v>3312</v>
      </c>
      <c r="U238" s="22">
        <v>1710</v>
      </c>
      <c r="W238" s="15"/>
      <c r="Z238"/>
      <c r="AA238"/>
      <c r="AB238" s="15">
        <v>181</v>
      </c>
    </row>
    <row r="239" spans="1:28" s="19" customFormat="1" ht="19.149999999999999" customHeight="1" x14ac:dyDescent="0.25">
      <c r="A239" s="25" t="s">
        <v>242</v>
      </c>
      <c r="B239" s="20">
        <v>8438</v>
      </c>
      <c r="C239" s="21">
        <v>2196</v>
      </c>
      <c r="D239" s="21">
        <v>2615</v>
      </c>
      <c r="E239" s="21">
        <v>3563</v>
      </c>
      <c r="F239" s="21">
        <v>7231</v>
      </c>
      <c r="G239" s="21">
        <v>2263</v>
      </c>
      <c r="H239" s="21">
        <v>7916</v>
      </c>
      <c r="I239" s="21">
        <v>6058</v>
      </c>
      <c r="J239" s="21">
        <v>4528</v>
      </c>
      <c r="K239" s="21">
        <v>9841</v>
      </c>
      <c r="L239" s="21">
        <v>6964</v>
      </c>
      <c r="M239" s="21">
        <v>6016</v>
      </c>
      <c r="N239" s="21">
        <v>40</v>
      </c>
      <c r="O239" s="21">
        <v>3186</v>
      </c>
      <c r="P239" s="21">
        <v>9714</v>
      </c>
      <c r="Q239" s="21">
        <v>7260</v>
      </c>
      <c r="R239" s="21">
        <v>26</v>
      </c>
      <c r="S239" s="21">
        <v>3061</v>
      </c>
      <c r="T239" s="21">
        <v>2756</v>
      </c>
      <c r="U239" s="22">
        <v>7180</v>
      </c>
      <c r="W239" s="15"/>
      <c r="Z239"/>
      <c r="AA239"/>
      <c r="AB239" s="15">
        <v>182</v>
      </c>
    </row>
    <row r="240" spans="1:28" s="19" customFormat="1" ht="19.149999999999999" customHeight="1" x14ac:dyDescent="0.25">
      <c r="A240" s="25" t="s">
        <v>243</v>
      </c>
      <c r="B240" s="20">
        <v>6673</v>
      </c>
      <c r="C240" s="21">
        <v>1418</v>
      </c>
      <c r="D240" s="21">
        <v>9163</v>
      </c>
      <c r="E240" s="21">
        <v>4202</v>
      </c>
      <c r="F240" s="21">
        <v>3174</v>
      </c>
      <c r="G240" s="21">
        <v>9062</v>
      </c>
      <c r="H240" s="21">
        <v>2029</v>
      </c>
      <c r="I240" s="21">
        <v>6054</v>
      </c>
      <c r="J240" s="21">
        <v>1684</v>
      </c>
      <c r="K240" s="21">
        <v>2852</v>
      </c>
      <c r="L240" s="21">
        <v>7905</v>
      </c>
      <c r="M240" s="21">
        <v>3386</v>
      </c>
      <c r="N240" s="21">
        <v>6433</v>
      </c>
      <c r="O240" s="21">
        <v>3054</v>
      </c>
      <c r="P240" s="21">
        <v>3599</v>
      </c>
      <c r="Q240" s="21">
        <v>2048</v>
      </c>
      <c r="R240" s="21">
        <v>3342</v>
      </c>
      <c r="S240" s="21">
        <v>5659</v>
      </c>
      <c r="T240" s="21">
        <v>2286</v>
      </c>
      <c r="U240" s="22">
        <v>1435</v>
      </c>
      <c r="W240" s="15"/>
      <c r="Z240"/>
      <c r="AA240"/>
      <c r="AB240" s="15">
        <v>183</v>
      </c>
    </row>
    <row r="241" spans="1:28" s="19" customFormat="1" ht="19.149999999999999" customHeight="1" x14ac:dyDescent="0.25">
      <c r="A241" s="25" t="s">
        <v>244</v>
      </c>
      <c r="B241" s="20">
        <v>6925</v>
      </c>
      <c r="C241" s="21">
        <v>3813</v>
      </c>
      <c r="D241" s="21">
        <v>9691</v>
      </c>
      <c r="E241" s="21">
        <v>936</v>
      </c>
      <c r="F241" s="21">
        <v>2946</v>
      </c>
      <c r="G241" s="21">
        <v>8931</v>
      </c>
      <c r="H241" s="21">
        <v>4867</v>
      </c>
      <c r="I241" s="21">
        <v>9321</v>
      </c>
      <c r="J241" s="21">
        <v>4261</v>
      </c>
      <c r="K241" s="21">
        <v>5561</v>
      </c>
      <c r="L241" s="21">
        <v>651</v>
      </c>
      <c r="M241" s="21">
        <v>3887</v>
      </c>
      <c r="N241" s="21">
        <v>8977</v>
      </c>
      <c r="O241" s="21">
        <v>3862</v>
      </c>
      <c r="P241" s="21">
        <v>2599</v>
      </c>
      <c r="Q241" s="21">
        <v>7020</v>
      </c>
      <c r="R241" s="21">
        <v>7024</v>
      </c>
      <c r="S241" s="21">
        <v>2426</v>
      </c>
      <c r="T241" s="21">
        <v>9340</v>
      </c>
      <c r="U241" s="22">
        <v>3365</v>
      </c>
      <c r="W241" s="15"/>
      <c r="Z241"/>
      <c r="AA241"/>
      <c r="AB241" s="15">
        <v>184</v>
      </c>
    </row>
    <row r="242" spans="1:28" s="19" customFormat="1" ht="19.149999999999999" customHeight="1" x14ac:dyDescent="0.25">
      <c r="A242" s="25" t="s">
        <v>245</v>
      </c>
      <c r="B242" s="20">
        <v>6640</v>
      </c>
      <c r="C242" s="21">
        <v>5677</v>
      </c>
      <c r="D242" s="21">
        <v>839</v>
      </c>
      <c r="E242" s="21">
        <v>9160</v>
      </c>
      <c r="F242" s="21">
        <v>7165</v>
      </c>
      <c r="G242" s="21">
        <v>966</v>
      </c>
      <c r="H242" s="21">
        <v>6350</v>
      </c>
      <c r="I242" s="21">
        <v>2800</v>
      </c>
      <c r="J242" s="21">
        <v>6826</v>
      </c>
      <c r="K242" s="21">
        <v>9377</v>
      </c>
      <c r="L242" s="21">
        <v>3198</v>
      </c>
      <c r="M242" s="21">
        <v>4509</v>
      </c>
      <c r="N242" s="21">
        <v>7794</v>
      </c>
      <c r="O242" s="21">
        <v>4933</v>
      </c>
      <c r="P242" s="21">
        <v>7346</v>
      </c>
      <c r="Q242" s="21">
        <v>4935</v>
      </c>
      <c r="R242" s="21">
        <v>1220</v>
      </c>
      <c r="S242" s="21">
        <v>8425</v>
      </c>
      <c r="T242" s="21">
        <v>7313</v>
      </c>
      <c r="U242" s="22">
        <v>7966</v>
      </c>
      <c r="W242" s="15"/>
      <c r="Z242"/>
      <c r="AA242"/>
      <c r="AB242" s="15">
        <v>185</v>
      </c>
    </row>
    <row r="243" spans="1:28" s="19" customFormat="1" ht="19.149999999999999" customHeight="1" x14ac:dyDescent="0.25">
      <c r="A243" s="25" t="s">
        <v>246</v>
      </c>
      <c r="B243" s="20">
        <v>7297</v>
      </c>
      <c r="C243" s="21">
        <v>1095</v>
      </c>
      <c r="D243" s="21">
        <v>5110</v>
      </c>
      <c r="E243" s="21">
        <v>901</v>
      </c>
      <c r="F243" s="21">
        <v>2380</v>
      </c>
      <c r="G243" s="21">
        <v>3019</v>
      </c>
      <c r="H243" s="21">
        <v>2369</v>
      </c>
      <c r="I243" s="21">
        <v>6947</v>
      </c>
      <c r="J243" s="21">
        <v>7277</v>
      </c>
      <c r="K243" s="21">
        <v>9663</v>
      </c>
      <c r="L243" s="21">
        <v>4979</v>
      </c>
      <c r="M243" s="21">
        <v>7690</v>
      </c>
      <c r="N243" s="21">
        <v>178</v>
      </c>
      <c r="O243" s="21">
        <v>9400</v>
      </c>
      <c r="P243" s="21">
        <v>8330</v>
      </c>
      <c r="Q243" s="21">
        <v>1350</v>
      </c>
      <c r="R243" s="21">
        <v>8624</v>
      </c>
      <c r="S243" s="21">
        <v>9740</v>
      </c>
      <c r="T243" s="21">
        <v>7661</v>
      </c>
      <c r="U243" s="22">
        <v>8256</v>
      </c>
      <c r="W243" s="15"/>
      <c r="Z243"/>
      <c r="AA243"/>
      <c r="AB243" s="15">
        <v>186</v>
      </c>
    </row>
    <row r="244" spans="1:28" s="19" customFormat="1" ht="19.149999999999999" customHeight="1" x14ac:dyDescent="0.25">
      <c r="A244" s="25" t="s">
        <v>247</v>
      </c>
      <c r="B244" s="20">
        <v>6719</v>
      </c>
      <c r="C244" s="21">
        <v>1748</v>
      </c>
      <c r="D244" s="21">
        <v>1663</v>
      </c>
      <c r="E244" s="21">
        <v>4516</v>
      </c>
      <c r="F244" s="21">
        <v>410</v>
      </c>
      <c r="G244" s="21">
        <v>6165</v>
      </c>
      <c r="H244" s="21">
        <v>5467</v>
      </c>
      <c r="I244" s="21">
        <v>3906</v>
      </c>
      <c r="J244" s="21">
        <v>6891</v>
      </c>
      <c r="K244" s="21">
        <v>4393</v>
      </c>
      <c r="L244" s="21">
        <v>3247</v>
      </c>
      <c r="M244" s="21">
        <v>4389</v>
      </c>
      <c r="N244" s="21">
        <v>9901</v>
      </c>
      <c r="O244" s="21">
        <v>7573</v>
      </c>
      <c r="P244" s="21">
        <v>1731</v>
      </c>
      <c r="Q244" s="21">
        <v>7248</v>
      </c>
      <c r="R244" s="21">
        <v>5412</v>
      </c>
      <c r="S244" s="21">
        <v>1884</v>
      </c>
      <c r="T244" s="21">
        <v>3062</v>
      </c>
      <c r="U244" s="22">
        <v>2221</v>
      </c>
      <c r="W244" s="15"/>
      <c r="Z244"/>
      <c r="AA244"/>
      <c r="AB244" s="15">
        <v>187</v>
      </c>
    </row>
    <row r="245" spans="1:28" s="19" customFormat="1" ht="19.149999999999999" customHeight="1" x14ac:dyDescent="0.25">
      <c r="A245" s="25" t="s">
        <v>248</v>
      </c>
      <c r="B245" s="20">
        <v>496</v>
      </c>
      <c r="C245" s="21">
        <v>8966</v>
      </c>
      <c r="D245" s="21">
        <v>6561</v>
      </c>
      <c r="E245" s="21">
        <v>8061</v>
      </c>
      <c r="F245" s="21">
        <v>5410</v>
      </c>
      <c r="G245" s="21">
        <v>5004</v>
      </c>
      <c r="H245" s="21">
        <v>3570</v>
      </c>
      <c r="I245" s="21">
        <v>766</v>
      </c>
      <c r="J245" s="21">
        <v>109</v>
      </c>
      <c r="K245" s="21">
        <v>4169</v>
      </c>
      <c r="L245" s="21">
        <v>4687</v>
      </c>
      <c r="M245" s="21">
        <v>4320</v>
      </c>
      <c r="N245" s="21">
        <v>4481</v>
      </c>
      <c r="O245" s="21">
        <v>7659</v>
      </c>
      <c r="P245" s="21">
        <v>5310</v>
      </c>
      <c r="Q245" s="21">
        <v>5688</v>
      </c>
      <c r="R245" s="21">
        <v>5578</v>
      </c>
      <c r="S245" s="21">
        <v>2869</v>
      </c>
      <c r="T245" s="21">
        <v>5148</v>
      </c>
      <c r="U245" s="22">
        <v>6361</v>
      </c>
      <c r="W245" s="15"/>
      <c r="Z245"/>
      <c r="AA245"/>
      <c r="AB245" s="15">
        <v>188</v>
      </c>
    </row>
    <row r="246" spans="1:28" s="19" customFormat="1" ht="19.149999999999999" customHeight="1" x14ac:dyDescent="0.25">
      <c r="A246" s="25" t="s">
        <v>249</v>
      </c>
      <c r="B246" s="20">
        <v>2783</v>
      </c>
      <c r="C246" s="21">
        <v>7309</v>
      </c>
      <c r="D246" s="21">
        <v>9209</v>
      </c>
      <c r="E246" s="21">
        <v>3546</v>
      </c>
      <c r="F246" s="21">
        <v>9665</v>
      </c>
      <c r="G246" s="21">
        <v>2352</v>
      </c>
      <c r="H246" s="21">
        <v>5512</v>
      </c>
      <c r="I246" s="21">
        <v>3761</v>
      </c>
      <c r="J246" s="21">
        <v>6175</v>
      </c>
      <c r="K246" s="21">
        <v>4166</v>
      </c>
      <c r="L246" s="21">
        <v>2873</v>
      </c>
      <c r="M246" s="21">
        <v>254</v>
      </c>
      <c r="N246" s="21">
        <v>4528</v>
      </c>
      <c r="O246" s="21">
        <v>5038</v>
      </c>
      <c r="P246" s="21">
        <v>4838</v>
      </c>
      <c r="Q246" s="21">
        <v>9708</v>
      </c>
      <c r="R246" s="21">
        <v>7031</v>
      </c>
      <c r="S246" s="21">
        <v>663</v>
      </c>
      <c r="T246" s="21">
        <v>5653</v>
      </c>
      <c r="U246" s="22">
        <v>7791</v>
      </c>
      <c r="W246" s="15"/>
      <c r="Z246"/>
      <c r="AA246"/>
      <c r="AB246" s="15">
        <v>189</v>
      </c>
    </row>
    <row r="247" spans="1:28" s="19" customFormat="1" ht="19.149999999999999" customHeight="1" x14ac:dyDescent="0.25">
      <c r="A247" s="25" t="s">
        <v>250</v>
      </c>
      <c r="B247" s="20">
        <v>8863</v>
      </c>
      <c r="C247" s="21">
        <v>1036</v>
      </c>
      <c r="D247" s="21">
        <v>8385</v>
      </c>
      <c r="E247" s="21">
        <v>2654</v>
      </c>
      <c r="F247" s="21">
        <v>7626</v>
      </c>
      <c r="G247" s="21">
        <v>5020</v>
      </c>
      <c r="H247" s="21">
        <v>97</v>
      </c>
      <c r="I247" s="21">
        <v>1313</v>
      </c>
      <c r="J247" s="21">
        <v>4581</v>
      </c>
      <c r="K247" s="21">
        <v>7367</v>
      </c>
      <c r="L247" s="21">
        <v>6146</v>
      </c>
      <c r="M247" s="21">
        <v>7596</v>
      </c>
      <c r="N247" s="21">
        <v>9805</v>
      </c>
      <c r="O247" s="21">
        <v>9401</v>
      </c>
      <c r="P247" s="21">
        <v>3331</v>
      </c>
      <c r="Q247" s="21">
        <v>1344</v>
      </c>
      <c r="R247" s="21">
        <v>7135</v>
      </c>
      <c r="S247" s="21">
        <v>5897</v>
      </c>
      <c r="T247" s="21">
        <v>5618</v>
      </c>
      <c r="U247" s="22">
        <v>2158</v>
      </c>
      <c r="W247" s="15"/>
      <c r="Z247"/>
      <c r="AA247"/>
      <c r="AB247" s="15">
        <v>190</v>
      </c>
    </row>
    <row r="248" spans="1:28" s="19" customFormat="1" ht="19.149999999999999" customHeight="1" x14ac:dyDescent="0.25">
      <c r="A248" s="25" t="s">
        <v>251</v>
      </c>
      <c r="B248" s="20">
        <v>6220</v>
      </c>
      <c r="C248" s="21">
        <v>3309</v>
      </c>
      <c r="D248" s="21">
        <v>5682</v>
      </c>
      <c r="E248" s="21">
        <v>4550</v>
      </c>
      <c r="F248" s="21">
        <v>9748</v>
      </c>
      <c r="G248" s="21">
        <v>8354</v>
      </c>
      <c r="H248" s="21">
        <v>8632</v>
      </c>
      <c r="I248" s="21">
        <v>1242</v>
      </c>
      <c r="J248" s="21">
        <v>8725</v>
      </c>
      <c r="K248" s="21">
        <v>802</v>
      </c>
      <c r="L248" s="21">
        <v>7008</v>
      </c>
      <c r="M248" s="21">
        <v>3965</v>
      </c>
      <c r="N248" s="21">
        <v>630</v>
      </c>
      <c r="O248" s="21">
        <v>2967</v>
      </c>
      <c r="P248" s="21">
        <v>1763</v>
      </c>
      <c r="Q248" s="21">
        <v>9538</v>
      </c>
      <c r="R248" s="21">
        <v>8361</v>
      </c>
      <c r="S248" s="21">
        <v>3293</v>
      </c>
      <c r="T248" s="21">
        <v>242</v>
      </c>
      <c r="U248" s="22">
        <v>2053</v>
      </c>
      <c r="W248" s="15"/>
      <c r="Z248"/>
      <c r="AA248"/>
      <c r="AB248" s="15">
        <v>191</v>
      </c>
    </row>
    <row r="249" spans="1:28" s="19" customFormat="1" ht="19.149999999999999" customHeight="1" x14ac:dyDescent="0.25">
      <c r="A249" s="25" t="s">
        <v>252</v>
      </c>
      <c r="B249" s="20">
        <v>4424</v>
      </c>
      <c r="C249" s="21">
        <v>2908</v>
      </c>
      <c r="D249" s="21">
        <v>8903</v>
      </c>
      <c r="E249" s="21">
        <v>7470</v>
      </c>
      <c r="F249" s="21">
        <v>8647</v>
      </c>
      <c r="G249" s="21">
        <v>1424</v>
      </c>
      <c r="H249" s="21">
        <v>6748</v>
      </c>
      <c r="I249" s="21">
        <v>2478</v>
      </c>
      <c r="J249" s="21">
        <v>3430</v>
      </c>
      <c r="K249" s="21">
        <v>6872</v>
      </c>
      <c r="L249" s="21">
        <v>2299</v>
      </c>
      <c r="M249" s="21">
        <v>4203</v>
      </c>
      <c r="N249" s="21">
        <v>2418</v>
      </c>
      <c r="O249" s="21">
        <v>7809</v>
      </c>
      <c r="P249" s="21">
        <v>101</v>
      </c>
      <c r="Q249" s="21">
        <v>2042</v>
      </c>
      <c r="R249" s="21">
        <v>1294</v>
      </c>
      <c r="S249" s="21">
        <v>3674</v>
      </c>
      <c r="T249" s="21">
        <v>440</v>
      </c>
      <c r="U249" s="22">
        <v>2570</v>
      </c>
      <c r="W249" s="15"/>
      <c r="Z249"/>
      <c r="AA249"/>
      <c r="AB249" s="15">
        <v>192</v>
      </c>
    </row>
    <row r="250" spans="1:28" s="19" customFormat="1" ht="19.149999999999999" customHeight="1" x14ac:dyDescent="0.25">
      <c r="A250" s="25" t="s">
        <v>253</v>
      </c>
      <c r="B250" s="20">
        <v>231</v>
      </c>
      <c r="C250" s="21">
        <v>4627</v>
      </c>
      <c r="D250" s="21">
        <v>9612</v>
      </c>
      <c r="E250" s="21">
        <v>529</v>
      </c>
      <c r="F250" s="21">
        <v>4362</v>
      </c>
      <c r="G250" s="21">
        <v>9624</v>
      </c>
      <c r="H250" s="21">
        <v>1946</v>
      </c>
      <c r="I250" s="21">
        <v>2776</v>
      </c>
      <c r="J250" s="21">
        <v>2938</v>
      </c>
      <c r="K250" s="21">
        <v>6998</v>
      </c>
      <c r="L250" s="21">
        <v>4405</v>
      </c>
      <c r="M250" s="21">
        <v>5107</v>
      </c>
      <c r="N250" s="21">
        <v>2172</v>
      </c>
      <c r="O250" s="21">
        <v>5290</v>
      </c>
      <c r="P250" s="21">
        <v>4161</v>
      </c>
      <c r="Q250" s="21">
        <v>384</v>
      </c>
      <c r="R250" s="21">
        <v>9549</v>
      </c>
      <c r="S250" s="21">
        <v>5831</v>
      </c>
      <c r="T250" s="21">
        <v>8461</v>
      </c>
      <c r="U250" s="22">
        <v>4183</v>
      </c>
      <c r="W250" s="15"/>
      <c r="Z250"/>
      <c r="AA250"/>
      <c r="AB250" s="15">
        <v>193</v>
      </c>
    </row>
    <row r="251" spans="1:28" s="19" customFormat="1" ht="19.149999999999999" customHeight="1" x14ac:dyDescent="0.25">
      <c r="A251" s="25" t="s">
        <v>254</v>
      </c>
      <c r="B251" s="20">
        <v>1074</v>
      </c>
      <c r="C251" s="21">
        <v>2280</v>
      </c>
      <c r="D251" s="21">
        <v>9943</v>
      </c>
      <c r="E251" s="21">
        <v>930</v>
      </c>
      <c r="F251" s="21">
        <v>530</v>
      </c>
      <c r="G251" s="21">
        <v>7744</v>
      </c>
      <c r="H251" s="21">
        <v>4053</v>
      </c>
      <c r="I251" s="21">
        <v>950</v>
      </c>
      <c r="J251" s="21">
        <v>314</v>
      </c>
      <c r="K251" s="21">
        <v>282</v>
      </c>
      <c r="L251" s="21">
        <v>1578</v>
      </c>
      <c r="M251" s="21">
        <v>9931</v>
      </c>
      <c r="N251" s="21">
        <v>6414</v>
      </c>
      <c r="O251" s="21">
        <v>9782</v>
      </c>
      <c r="P251" s="21">
        <v>8060</v>
      </c>
      <c r="Q251" s="21">
        <v>5575</v>
      </c>
      <c r="R251" s="21">
        <v>4071</v>
      </c>
      <c r="S251" s="21">
        <v>750</v>
      </c>
      <c r="T251" s="21">
        <v>5269</v>
      </c>
      <c r="U251" s="22">
        <v>5596</v>
      </c>
      <c r="W251" s="15"/>
      <c r="Z251"/>
      <c r="AA251"/>
      <c r="AB251" s="15">
        <v>194</v>
      </c>
    </row>
    <row r="252" spans="1:28" s="19" customFormat="1" ht="19.149999999999999" customHeight="1" x14ac:dyDescent="0.25">
      <c r="A252" s="25" t="s">
        <v>255</v>
      </c>
      <c r="B252" s="20">
        <v>4870</v>
      </c>
      <c r="C252" s="21">
        <v>6243</v>
      </c>
      <c r="D252" s="21">
        <v>4244</v>
      </c>
      <c r="E252" s="21">
        <v>1477</v>
      </c>
      <c r="F252" s="21">
        <v>5390</v>
      </c>
      <c r="G252" s="21">
        <v>9156</v>
      </c>
      <c r="H252" s="21">
        <v>4199</v>
      </c>
      <c r="I252" s="21">
        <v>7701</v>
      </c>
      <c r="J252" s="21">
        <v>1792</v>
      </c>
      <c r="K252" s="21">
        <v>9392</v>
      </c>
      <c r="L252" s="21">
        <v>5260</v>
      </c>
      <c r="M252" s="21">
        <v>6181</v>
      </c>
      <c r="N252" s="21">
        <v>8461</v>
      </c>
      <c r="O252" s="21">
        <v>8689</v>
      </c>
      <c r="P252" s="21">
        <v>7728</v>
      </c>
      <c r="Q252" s="21">
        <v>6317</v>
      </c>
      <c r="R252" s="21">
        <v>4068</v>
      </c>
      <c r="S252" s="21">
        <v>1478</v>
      </c>
      <c r="T252" s="21">
        <v>6111</v>
      </c>
      <c r="U252" s="22">
        <v>8144</v>
      </c>
      <c r="W252" s="15"/>
      <c r="Z252"/>
      <c r="AA252"/>
      <c r="AB252" s="15">
        <v>195</v>
      </c>
    </row>
    <row r="253" spans="1:28" s="19" customFormat="1" ht="19.149999999999999" customHeight="1" x14ac:dyDescent="0.25">
      <c r="A253" s="25" t="s">
        <v>256</v>
      </c>
      <c r="B253" s="20">
        <v>6081</v>
      </c>
      <c r="C253" s="21">
        <v>2585</v>
      </c>
      <c r="D253" s="21">
        <v>449</v>
      </c>
      <c r="E253" s="21">
        <v>6195</v>
      </c>
      <c r="F253" s="21">
        <v>912</v>
      </c>
      <c r="G253" s="21">
        <v>5918</v>
      </c>
      <c r="H253" s="21">
        <v>6667</v>
      </c>
      <c r="I253" s="21">
        <v>8142</v>
      </c>
      <c r="J253" s="21">
        <v>8098</v>
      </c>
      <c r="K253" s="21">
        <v>5759</v>
      </c>
      <c r="L253" s="21">
        <v>4840</v>
      </c>
      <c r="M253" s="21">
        <v>4593</v>
      </c>
      <c r="N253" s="21">
        <v>3451</v>
      </c>
      <c r="O253" s="21">
        <v>8240</v>
      </c>
      <c r="P253" s="21">
        <v>5206</v>
      </c>
      <c r="Q253" s="21">
        <v>6415</v>
      </c>
      <c r="R253" s="21">
        <v>2302</v>
      </c>
      <c r="S253" s="21">
        <v>9350</v>
      </c>
      <c r="T253" s="21">
        <v>7213</v>
      </c>
      <c r="U253" s="22">
        <v>3693</v>
      </c>
      <c r="W253" s="15"/>
      <c r="Z253"/>
      <c r="AA253"/>
      <c r="AB253" s="15">
        <v>196</v>
      </c>
    </row>
    <row r="254" spans="1:28" s="19" customFormat="1" ht="19.149999999999999" customHeight="1" x14ac:dyDescent="0.25">
      <c r="A254" s="25" t="s">
        <v>257</v>
      </c>
      <c r="B254" s="20">
        <v>4329</v>
      </c>
      <c r="C254" s="21">
        <v>5699</v>
      </c>
      <c r="D254" s="21">
        <v>1895</v>
      </c>
      <c r="E254" s="21">
        <v>1269</v>
      </c>
      <c r="F254" s="21">
        <v>4876</v>
      </c>
      <c r="G254" s="21">
        <v>9885</v>
      </c>
      <c r="H254" s="21">
        <v>215</v>
      </c>
      <c r="I254" s="21">
        <v>6551</v>
      </c>
      <c r="J254" s="21">
        <v>2950</v>
      </c>
      <c r="K254" s="21">
        <v>6332</v>
      </c>
      <c r="L254" s="21">
        <v>6942</v>
      </c>
      <c r="M254" s="21">
        <v>9829</v>
      </c>
      <c r="N254" s="21">
        <v>2406</v>
      </c>
      <c r="O254" s="21">
        <v>9527</v>
      </c>
      <c r="P254" s="21">
        <v>9968</v>
      </c>
      <c r="Q254" s="21">
        <v>6080</v>
      </c>
      <c r="R254" s="21">
        <v>7645</v>
      </c>
      <c r="S254" s="21">
        <v>5172</v>
      </c>
      <c r="T254" s="21">
        <v>8514</v>
      </c>
      <c r="U254" s="22">
        <v>6814</v>
      </c>
      <c r="W254" s="15"/>
      <c r="Z254"/>
      <c r="AA254"/>
      <c r="AB254" s="15">
        <v>197</v>
      </c>
    </row>
    <row r="255" spans="1:28" s="19" customFormat="1" ht="19.149999999999999" customHeight="1" x14ac:dyDescent="0.25">
      <c r="A255" s="25" t="s">
        <v>258</v>
      </c>
      <c r="B255" s="20">
        <v>5731</v>
      </c>
      <c r="C255" s="21">
        <v>3662</v>
      </c>
      <c r="D255" s="21">
        <v>394</v>
      </c>
      <c r="E255" s="21">
        <v>1764</v>
      </c>
      <c r="F255" s="21">
        <v>162</v>
      </c>
      <c r="G255" s="21">
        <v>9831</v>
      </c>
      <c r="H255" s="21">
        <v>1569</v>
      </c>
      <c r="I255" s="21">
        <v>1445</v>
      </c>
      <c r="J255" s="21">
        <v>634</v>
      </c>
      <c r="K255" s="21">
        <v>9135</v>
      </c>
      <c r="L255" s="21">
        <v>7387</v>
      </c>
      <c r="M255" s="21">
        <v>8334</v>
      </c>
      <c r="N255" s="21">
        <v>5984</v>
      </c>
      <c r="O255" s="21">
        <v>2001</v>
      </c>
      <c r="P255" s="21">
        <v>4956</v>
      </c>
      <c r="Q255" s="21">
        <v>9675</v>
      </c>
      <c r="R255" s="21">
        <v>3742</v>
      </c>
      <c r="S255" s="21">
        <v>80</v>
      </c>
      <c r="T255" s="21">
        <v>8538</v>
      </c>
      <c r="U255" s="22">
        <v>3880</v>
      </c>
      <c r="W255" s="15"/>
      <c r="Z255"/>
      <c r="AA255"/>
      <c r="AB255" s="15">
        <v>198</v>
      </c>
    </row>
    <row r="256" spans="1:28" s="19" customFormat="1" ht="19.149999999999999" customHeight="1" x14ac:dyDescent="0.25">
      <c r="A256" s="25" t="s">
        <v>259</v>
      </c>
      <c r="B256" s="20">
        <v>7179</v>
      </c>
      <c r="C256" s="21">
        <v>3662</v>
      </c>
      <c r="D256" s="21">
        <v>6323</v>
      </c>
      <c r="E256" s="21">
        <v>6063</v>
      </c>
      <c r="F256" s="21">
        <v>5947</v>
      </c>
      <c r="G256" s="21">
        <v>4719</v>
      </c>
      <c r="H256" s="21">
        <v>2002</v>
      </c>
      <c r="I256" s="21">
        <v>3321</v>
      </c>
      <c r="J256" s="21">
        <v>4267</v>
      </c>
      <c r="K256" s="21">
        <v>4301</v>
      </c>
      <c r="L256" s="21">
        <v>4599</v>
      </c>
      <c r="M256" s="21">
        <v>2148</v>
      </c>
      <c r="N256" s="21">
        <v>1205</v>
      </c>
      <c r="O256" s="21">
        <v>6410</v>
      </c>
      <c r="P256" s="21">
        <v>188</v>
      </c>
      <c r="Q256" s="21">
        <v>9807</v>
      </c>
      <c r="R256" s="21">
        <v>732</v>
      </c>
      <c r="S256" s="21">
        <v>8802</v>
      </c>
      <c r="T256" s="21">
        <v>9042</v>
      </c>
      <c r="U256" s="22">
        <v>8983</v>
      </c>
      <c r="W256" s="15"/>
      <c r="Z256"/>
      <c r="AA256"/>
      <c r="AB256" s="15">
        <v>199</v>
      </c>
    </row>
    <row r="257" spans="1:28" s="19" customFormat="1" ht="19.149999999999999" customHeight="1" x14ac:dyDescent="0.25">
      <c r="A257" s="25" t="s">
        <v>260</v>
      </c>
      <c r="B257" s="20">
        <v>115</v>
      </c>
      <c r="C257" s="21">
        <v>531</v>
      </c>
      <c r="D257" s="21">
        <v>3101</v>
      </c>
      <c r="E257" s="21">
        <v>1672</v>
      </c>
      <c r="F257" s="21">
        <v>9696</v>
      </c>
      <c r="G257" s="21">
        <v>8747</v>
      </c>
      <c r="H257" s="21">
        <v>6050</v>
      </c>
      <c r="I257" s="21">
        <v>1148</v>
      </c>
      <c r="J257" s="21">
        <v>7255</v>
      </c>
      <c r="K257" s="21">
        <v>9066</v>
      </c>
      <c r="L257" s="21">
        <v>8153</v>
      </c>
      <c r="M257" s="21">
        <v>6958</v>
      </c>
      <c r="N257" s="21">
        <v>7834</v>
      </c>
      <c r="O257" s="21">
        <v>9945</v>
      </c>
      <c r="P257" s="21">
        <v>6297</v>
      </c>
      <c r="Q257" s="21">
        <v>998</v>
      </c>
      <c r="R257" s="21">
        <v>5682</v>
      </c>
      <c r="S257" s="21">
        <v>1626</v>
      </c>
      <c r="T257" s="21">
        <v>9281</v>
      </c>
      <c r="U257" s="22">
        <v>8923</v>
      </c>
      <c r="W257" s="15"/>
      <c r="Z257"/>
      <c r="AA257"/>
      <c r="AB257" s="15">
        <v>200</v>
      </c>
    </row>
    <row r="258" spans="1:28" s="19" customFormat="1" ht="19.149999999999999" customHeight="1" x14ac:dyDescent="0.25">
      <c r="A258" s="25" t="s">
        <v>261</v>
      </c>
      <c r="B258" s="20">
        <v>4198</v>
      </c>
      <c r="C258" s="21">
        <v>9388</v>
      </c>
      <c r="D258" s="21">
        <v>7396</v>
      </c>
      <c r="E258" s="21">
        <v>1711</v>
      </c>
      <c r="F258" s="21">
        <v>3384</v>
      </c>
      <c r="G258" s="21">
        <v>8251</v>
      </c>
      <c r="H258" s="21">
        <v>4606</v>
      </c>
      <c r="I258" s="21">
        <v>4836</v>
      </c>
      <c r="J258" s="21">
        <v>346</v>
      </c>
      <c r="K258" s="21">
        <v>3331</v>
      </c>
      <c r="L258" s="21">
        <v>7293</v>
      </c>
      <c r="M258" s="21">
        <v>9846</v>
      </c>
      <c r="N258" s="21">
        <v>2303</v>
      </c>
      <c r="O258" s="21">
        <v>5634</v>
      </c>
      <c r="P258" s="21">
        <v>593</v>
      </c>
      <c r="Q258" s="21">
        <v>2289</v>
      </c>
      <c r="R258" s="21">
        <v>3249</v>
      </c>
      <c r="S258" s="21">
        <v>7828</v>
      </c>
      <c r="T258" s="21">
        <v>7796</v>
      </c>
      <c r="U258" s="22">
        <v>819</v>
      </c>
      <c r="W258" s="15"/>
      <c r="Z258"/>
      <c r="AA258"/>
      <c r="AB258" s="15">
        <v>201</v>
      </c>
    </row>
    <row r="259" spans="1:28" s="19" customFormat="1" ht="19.149999999999999" customHeight="1" x14ac:dyDescent="0.25">
      <c r="A259" s="25" t="s">
        <v>262</v>
      </c>
      <c r="B259" s="20">
        <v>5646</v>
      </c>
      <c r="C259" s="21">
        <v>1019</v>
      </c>
      <c r="D259" s="21">
        <v>5415</v>
      </c>
      <c r="E259" s="21">
        <v>3761</v>
      </c>
      <c r="F259" s="21">
        <v>4819</v>
      </c>
      <c r="G259" s="21">
        <v>4473</v>
      </c>
      <c r="H259" s="21">
        <v>2792</v>
      </c>
      <c r="I259" s="21">
        <v>8271</v>
      </c>
      <c r="J259" s="21">
        <v>7464</v>
      </c>
      <c r="K259" s="21">
        <v>4336</v>
      </c>
      <c r="L259" s="21">
        <v>5567</v>
      </c>
      <c r="M259" s="21">
        <v>4030</v>
      </c>
      <c r="N259" s="21">
        <v>2834</v>
      </c>
      <c r="O259" s="21">
        <v>7260</v>
      </c>
      <c r="P259" s="21">
        <v>3888</v>
      </c>
      <c r="Q259" s="21">
        <v>5658</v>
      </c>
      <c r="R259" s="21">
        <v>4714</v>
      </c>
      <c r="S259" s="21">
        <v>4225</v>
      </c>
      <c r="T259" s="21">
        <v>6836</v>
      </c>
      <c r="U259" s="22">
        <v>9436</v>
      </c>
      <c r="W259" s="15"/>
      <c r="Z259"/>
      <c r="AA259"/>
      <c r="AB259" s="15">
        <v>202</v>
      </c>
    </row>
    <row r="260" spans="1:28" s="19" customFormat="1" ht="19.149999999999999" customHeight="1" x14ac:dyDescent="0.25">
      <c r="A260" s="25" t="s">
        <v>263</v>
      </c>
      <c r="B260" s="20">
        <v>9623</v>
      </c>
      <c r="C260" s="21">
        <v>9647</v>
      </c>
      <c r="D260" s="21">
        <v>800</v>
      </c>
      <c r="E260" s="21">
        <v>1433</v>
      </c>
      <c r="F260" s="21">
        <v>2834</v>
      </c>
      <c r="G260" s="21">
        <v>4261</v>
      </c>
      <c r="H260" s="21">
        <v>8692</v>
      </c>
      <c r="I260" s="21">
        <v>6331</v>
      </c>
      <c r="J260" s="21">
        <v>4810</v>
      </c>
      <c r="K260" s="21">
        <v>2100</v>
      </c>
      <c r="L260" s="21">
        <v>9096</v>
      </c>
      <c r="M260" s="21">
        <v>7201</v>
      </c>
      <c r="N260" s="21">
        <v>2480</v>
      </c>
      <c r="O260" s="21">
        <v>2811</v>
      </c>
      <c r="P260" s="21">
        <v>5497</v>
      </c>
      <c r="Q260" s="21">
        <v>9217</v>
      </c>
      <c r="R260" s="21">
        <v>8984</v>
      </c>
      <c r="S260" s="21">
        <v>567</v>
      </c>
      <c r="T260" s="21">
        <v>1883</v>
      </c>
      <c r="U260" s="22">
        <v>9823</v>
      </c>
      <c r="W260" s="15"/>
      <c r="Z260"/>
      <c r="AA260"/>
      <c r="AB260" s="15">
        <v>203</v>
      </c>
    </row>
    <row r="261" spans="1:28" s="19" customFormat="1" ht="19.149999999999999" customHeight="1" x14ac:dyDescent="0.25">
      <c r="A261" s="25" t="s">
        <v>264</v>
      </c>
      <c r="B261" s="20">
        <v>9676</v>
      </c>
      <c r="C261" s="21">
        <v>3251</v>
      </c>
      <c r="D261" s="21">
        <v>1449</v>
      </c>
      <c r="E261" s="21">
        <v>8237</v>
      </c>
      <c r="F261" s="21">
        <v>3249</v>
      </c>
      <c r="G261" s="21">
        <v>1539</v>
      </c>
      <c r="H261" s="21">
        <v>962</v>
      </c>
      <c r="I261" s="21">
        <v>642</v>
      </c>
      <c r="J261" s="21">
        <v>7446</v>
      </c>
      <c r="K261" s="21">
        <v>7911</v>
      </c>
      <c r="L261" s="21">
        <v>1328</v>
      </c>
      <c r="M261" s="21">
        <v>1063</v>
      </c>
      <c r="N261" s="21">
        <v>7176</v>
      </c>
      <c r="O261" s="21">
        <v>1609</v>
      </c>
      <c r="P261" s="21">
        <v>8524</v>
      </c>
      <c r="Q261" s="21">
        <v>4148</v>
      </c>
      <c r="R261" s="21">
        <v>3065</v>
      </c>
      <c r="S261" s="21">
        <v>9787</v>
      </c>
      <c r="T261" s="21">
        <v>7114</v>
      </c>
      <c r="U261" s="22">
        <v>367</v>
      </c>
      <c r="W261" s="15"/>
      <c r="Z261"/>
      <c r="AA261"/>
      <c r="AB261" s="15">
        <v>204</v>
      </c>
    </row>
    <row r="262" spans="1:28" s="19" customFormat="1" ht="19.149999999999999" customHeight="1" x14ac:dyDescent="0.25">
      <c r="A262" s="25" t="s">
        <v>265</v>
      </c>
      <c r="B262" s="20">
        <v>4917</v>
      </c>
      <c r="C262" s="21">
        <v>6468</v>
      </c>
      <c r="D262" s="21">
        <v>7783</v>
      </c>
      <c r="E262" s="21">
        <v>485</v>
      </c>
      <c r="F262" s="21">
        <v>1927</v>
      </c>
      <c r="G262" s="21">
        <v>5954</v>
      </c>
      <c r="H262" s="21">
        <v>5092</v>
      </c>
      <c r="I262" s="21">
        <v>878</v>
      </c>
      <c r="J262" s="21">
        <v>8950</v>
      </c>
      <c r="K262" s="21">
        <v>7701</v>
      </c>
      <c r="L262" s="21">
        <v>7911</v>
      </c>
      <c r="M262" s="21">
        <v>2063</v>
      </c>
      <c r="N262" s="21">
        <v>4599</v>
      </c>
      <c r="O262" s="21">
        <v>3333</v>
      </c>
      <c r="P262" s="21">
        <v>2788</v>
      </c>
      <c r="Q262" s="21">
        <v>497</v>
      </c>
      <c r="R262" s="21">
        <v>689</v>
      </c>
      <c r="S262" s="21">
        <v>3610</v>
      </c>
      <c r="T262" s="21">
        <v>4334</v>
      </c>
      <c r="U262" s="22">
        <v>1341</v>
      </c>
      <c r="W262" s="15"/>
      <c r="Z262"/>
      <c r="AA262"/>
      <c r="AB262" s="15">
        <v>205</v>
      </c>
    </row>
    <row r="263" spans="1:28" s="19" customFormat="1" ht="19.149999999999999" customHeight="1" x14ac:dyDescent="0.25">
      <c r="A263" s="25" t="s">
        <v>266</v>
      </c>
      <c r="B263" s="20">
        <v>5237</v>
      </c>
      <c r="C263" s="21">
        <v>1820</v>
      </c>
      <c r="D263" s="21">
        <v>9111</v>
      </c>
      <c r="E263" s="21">
        <v>3631</v>
      </c>
      <c r="F263" s="21">
        <v>948</v>
      </c>
      <c r="G263" s="21">
        <v>8652</v>
      </c>
      <c r="H263" s="21">
        <v>2252</v>
      </c>
      <c r="I263" s="21">
        <v>7150</v>
      </c>
      <c r="J263" s="21">
        <v>9490</v>
      </c>
      <c r="K263" s="21">
        <v>7753</v>
      </c>
      <c r="L263" s="21">
        <v>959</v>
      </c>
      <c r="M263" s="21">
        <v>3042</v>
      </c>
      <c r="N263" s="21">
        <v>9564</v>
      </c>
      <c r="O263" s="21">
        <v>2868</v>
      </c>
      <c r="P263" s="21">
        <v>5609</v>
      </c>
      <c r="Q263" s="21">
        <v>3758</v>
      </c>
      <c r="R263" s="21">
        <v>8675</v>
      </c>
      <c r="S263" s="21">
        <v>8911</v>
      </c>
      <c r="T263" s="21">
        <v>5612</v>
      </c>
      <c r="U263" s="22">
        <v>6389</v>
      </c>
      <c r="W263" s="15"/>
      <c r="Z263"/>
      <c r="AA263"/>
      <c r="AB263" s="15">
        <v>206</v>
      </c>
    </row>
    <row r="264" spans="1:28" s="19" customFormat="1" ht="19.149999999999999" customHeight="1" x14ac:dyDescent="0.25">
      <c r="A264" s="25" t="s">
        <v>267</v>
      </c>
      <c r="B264" s="20">
        <v>3259</v>
      </c>
      <c r="C264" s="21">
        <v>381</v>
      </c>
      <c r="D264" s="21">
        <v>9659</v>
      </c>
      <c r="E264" s="21">
        <v>6224</v>
      </c>
      <c r="F264" s="21">
        <v>9019</v>
      </c>
      <c r="G264" s="21">
        <v>5635</v>
      </c>
      <c r="H264" s="21">
        <v>9272</v>
      </c>
      <c r="I264" s="21">
        <v>4200</v>
      </c>
      <c r="J264" s="21">
        <v>6520</v>
      </c>
      <c r="K264" s="21">
        <v>5956</v>
      </c>
      <c r="L264" s="21">
        <v>7744</v>
      </c>
      <c r="M264" s="21">
        <v>9534</v>
      </c>
      <c r="N264" s="21">
        <v>501</v>
      </c>
      <c r="O264" s="21">
        <v>5764</v>
      </c>
      <c r="P264" s="21">
        <v>8207</v>
      </c>
      <c r="Q264" s="21">
        <v>3158</v>
      </c>
      <c r="R264" s="21">
        <v>9640</v>
      </c>
      <c r="S264" s="21">
        <v>9909</v>
      </c>
      <c r="T264" s="21">
        <v>619</v>
      </c>
      <c r="U264" s="22">
        <v>5972</v>
      </c>
      <c r="W264" s="15"/>
      <c r="Z264"/>
      <c r="AA264"/>
      <c r="AB264" s="15">
        <v>207</v>
      </c>
    </row>
    <row r="265" spans="1:28" s="19" customFormat="1" ht="19.149999999999999" customHeight="1" x14ac:dyDescent="0.25">
      <c r="A265" s="25" t="s">
        <v>268</v>
      </c>
      <c r="B265" s="20">
        <v>2933</v>
      </c>
      <c r="C265" s="21">
        <v>3763</v>
      </c>
      <c r="D265" s="21">
        <v>2103</v>
      </c>
      <c r="E265" s="21">
        <v>6133</v>
      </c>
      <c r="F265" s="21">
        <v>7205</v>
      </c>
      <c r="G265" s="21">
        <v>5120</v>
      </c>
      <c r="H265" s="21">
        <v>8563</v>
      </c>
      <c r="I265" s="21">
        <v>808</v>
      </c>
      <c r="J265" s="21">
        <v>9379</v>
      </c>
      <c r="K265" s="21">
        <v>7375</v>
      </c>
      <c r="L265" s="21">
        <v>8003</v>
      </c>
      <c r="M265" s="21">
        <v>8661</v>
      </c>
      <c r="N265" s="21">
        <v>2212</v>
      </c>
      <c r="O265" s="21">
        <v>5799</v>
      </c>
      <c r="P265" s="21">
        <v>3241</v>
      </c>
      <c r="Q265" s="21">
        <v>5349</v>
      </c>
      <c r="R265" s="21">
        <v>2105</v>
      </c>
      <c r="S265" s="21">
        <v>830</v>
      </c>
      <c r="T265" s="21">
        <v>5302</v>
      </c>
      <c r="U265" s="22">
        <v>8298</v>
      </c>
      <c r="W265" s="15"/>
      <c r="Z265"/>
      <c r="AA265"/>
      <c r="AB265" s="15">
        <v>208</v>
      </c>
    </row>
    <row r="266" spans="1:28" s="19" customFormat="1" ht="19.149999999999999" customHeight="1" x14ac:dyDescent="0.25">
      <c r="A266" s="25" t="s">
        <v>269</v>
      </c>
      <c r="B266" s="20">
        <v>5643</v>
      </c>
      <c r="C266" s="21">
        <v>5061</v>
      </c>
      <c r="D266" s="21">
        <v>4644</v>
      </c>
      <c r="E266" s="21">
        <v>5724</v>
      </c>
      <c r="F266" s="21">
        <v>6867</v>
      </c>
      <c r="G266" s="21">
        <v>6172</v>
      </c>
      <c r="H266" s="21">
        <v>1272</v>
      </c>
      <c r="I266" s="21">
        <v>1396</v>
      </c>
      <c r="J266" s="21">
        <v>7365</v>
      </c>
      <c r="K266" s="21">
        <v>3848</v>
      </c>
      <c r="L266" s="21">
        <v>4633</v>
      </c>
      <c r="M266" s="21">
        <v>272</v>
      </c>
      <c r="N266" s="21">
        <v>7653</v>
      </c>
      <c r="O266" s="21">
        <v>4222</v>
      </c>
      <c r="P266" s="21">
        <v>6759</v>
      </c>
      <c r="Q266" s="21">
        <v>1639</v>
      </c>
      <c r="R266" s="21">
        <v>8129</v>
      </c>
      <c r="S266" s="21">
        <v>945</v>
      </c>
      <c r="T266" s="21">
        <v>454</v>
      </c>
      <c r="U266" s="22">
        <v>8619</v>
      </c>
      <c r="W266" s="15"/>
      <c r="Z266"/>
      <c r="AA266"/>
      <c r="AB266" s="15">
        <v>209</v>
      </c>
    </row>
    <row r="267" spans="1:28" s="19" customFormat="1" ht="19.149999999999999" customHeight="1" x14ac:dyDescent="0.25">
      <c r="A267" s="25" t="s">
        <v>270</v>
      </c>
      <c r="B267" s="20">
        <v>3870</v>
      </c>
      <c r="C267" s="21">
        <v>3823</v>
      </c>
      <c r="D267" s="21">
        <v>9815</v>
      </c>
      <c r="E267" s="21">
        <v>5927</v>
      </c>
      <c r="F267" s="21">
        <v>6769</v>
      </c>
      <c r="G267" s="21">
        <v>1586</v>
      </c>
      <c r="H267" s="21">
        <v>5329</v>
      </c>
      <c r="I267" s="21">
        <v>5365</v>
      </c>
      <c r="J267" s="21">
        <v>4817</v>
      </c>
      <c r="K267" s="21">
        <v>8521</v>
      </c>
      <c r="L267" s="21">
        <v>5554</v>
      </c>
      <c r="M267" s="21">
        <v>7815</v>
      </c>
      <c r="N267" s="21">
        <v>6151</v>
      </c>
      <c r="O267" s="21">
        <v>1491</v>
      </c>
      <c r="P267" s="21">
        <v>7757</v>
      </c>
      <c r="Q267" s="21">
        <v>7108</v>
      </c>
      <c r="R267" s="21">
        <v>6331</v>
      </c>
      <c r="S267" s="21">
        <v>6193</v>
      </c>
      <c r="T267" s="21">
        <v>4241</v>
      </c>
      <c r="U267" s="22">
        <v>9228</v>
      </c>
      <c r="W267" s="15"/>
      <c r="Z267"/>
      <c r="AA267"/>
      <c r="AB267" s="15">
        <v>210</v>
      </c>
    </row>
    <row r="268" spans="1:28" s="19" customFormat="1" ht="19.149999999999999" customHeight="1" x14ac:dyDescent="0.25">
      <c r="A268" s="25" t="s">
        <v>271</v>
      </c>
      <c r="B268" s="20">
        <v>9402</v>
      </c>
      <c r="C268" s="21">
        <v>8999</v>
      </c>
      <c r="D268" s="21">
        <v>8405</v>
      </c>
      <c r="E268" s="21">
        <v>2346</v>
      </c>
      <c r="F268" s="21">
        <v>4255</v>
      </c>
      <c r="G268" s="21">
        <v>8845</v>
      </c>
      <c r="H268" s="21">
        <v>4481</v>
      </c>
      <c r="I268" s="21">
        <v>3259</v>
      </c>
      <c r="J268" s="21">
        <v>834</v>
      </c>
      <c r="K268" s="21">
        <v>8548</v>
      </c>
      <c r="L268" s="21">
        <v>3680</v>
      </c>
      <c r="M268" s="21">
        <v>7530</v>
      </c>
      <c r="N268" s="21">
        <v>1741</v>
      </c>
      <c r="O268" s="21">
        <v>9016</v>
      </c>
      <c r="P268" s="21">
        <v>7957</v>
      </c>
      <c r="Q268" s="21">
        <v>1816</v>
      </c>
      <c r="R268" s="21">
        <v>8985</v>
      </c>
      <c r="S268" s="21">
        <v>4547</v>
      </c>
      <c r="T268" s="21">
        <v>613</v>
      </c>
      <c r="U268" s="22">
        <v>7419</v>
      </c>
      <c r="W268" s="15"/>
      <c r="Z268"/>
      <c r="AA268"/>
      <c r="AB268" s="15">
        <v>211</v>
      </c>
    </row>
    <row r="269" spans="1:28" s="19" customFormat="1" ht="19.149999999999999" customHeight="1" x14ac:dyDescent="0.25">
      <c r="A269" s="25" t="s">
        <v>272</v>
      </c>
      <c r="B269" s="20">
        <v>8797</v>
      </c>
      <c r="C269" s="21">
        <v>3322</v>
      </c>
      <c r="D269" s="21">
        <v>2415</v>
      </c>
      <c r="E269" s="21">
        <v>1570</v>
      </c>
      <c r="F269" s="21">
        <v>3324</v>
      </c>
      <c r="G269" s="21">
        <v>544</v>
      </c>
      <c r="H269" s="21">
        <v>2419</v>
      </c>
      <c r="I269" s="21">
        <v>8898</v>
      </c>
      <c r="J269" s="21">
        <v>9571</v>
      </c>
      <c r="K269" s="21">
        <v>1311</v>
      </c>
      <c r="L269" s="21">
        <v>3657</v>
      </c>
      <c r="M269" s="21">
        <v>3547</v>
      </c>
      <c r="N269" s="21">
        <v>3657</v>
      </c>
      <c r="O269" s="21">
        <v>468</v>
      </c>
      <c r="P269" s="21">
        <v>8145</v>
      </c>
      <c r="Q269" s="21">
        <v>1845</v>
      </c>
      <c r="R269" s="21">
        <v>8488</v>
      </c>
      <c r="S269" s="21">
        <v>1321</v>
      </c>
      <c r="T269" s="21">
        <v>6351</v>
      </c>
      <c r="U269" s="22">
        <v>2355</v>
      </c>
      <c r="W269" s="15"/>
      <c r="Z269"/>
      <c r="AA269"/>
      <c r="AB269" s="15">
        <v>212</v>
      </c>
    </row>
    <row r="270" spans="1:28" s="19" customFormat="1" ht="19.149999999999999" customHeight="1" x14ac:dyDescent="0.25">
      <c r="A270" s="25" t="s">
        <v>273</v>
      </c>
      <c r="B270" s="20">
        <v>1738</v>
      </c>
      <c r="C270" s="21">
        <v>7334</v>
      </c>
      <c r="D270" s="21">
        <v>908</v>
      </c>
      <c r="E270" s="21">
        <v>1111</v>
      </c>
      <c r="F270" s="21">
        <v>9952</v>
      </c>
      <c r="G270" s="21">
        <v>6075</v>
      </c>
      <c r="H270" s="21">
        <v>3423</v>
      </c>
      <c r="I270" s="21">
        <v>4165</v>
      </c>
      <c r="J270" s="21">
        <v>1088</v>
      </c>
      <c r="K270" s="21">
        <v>2688</v>
      </c>
      <c r="L270" s="21">
        <v>8038</v>
      </c>
      <c r="M270" s="21">
        <v>6187</v>
      </c>
      <c r="N270" s="21">
        <v>692</v>
      </c>
      <c r="O270" s="21">
        <v>6080</v>
      </c>
      <c r="P270" s="21">
        <v>538</v>
      </c>
      <c r="Q270" s="21">
        <v>9586</v>
      </c>
      <c r="R270" s="21">
        <v>4491</v>
      </c>
      <c r="S270" s="21">
        <v>1185</v>
      </c>
      <c r="T270" s="21">
        <v>9139</v>
      </c>
      <c r="U270" s="22">
        <v>7473</v>
      </c>
      <c r="W270" s="15"/>
      <c r="Z270"/>
      <c r="AA270"/>
      <c r="AB270" s="15">
        <v>213</v>
      </c>
    </row>
    <row r="271" spans="1:28" s="19" customFormat="1" ht="19.149999999999999" customHeight="1" x14ac:dyDescent="0.25">
      <c r="A271" s="25" t="s">
        <v>274</v>
      </c>
      <c r="B271" s="20">
        <v>8921</v>
      </c>
      <c r="C271" s="21">
        <v>8199</v>
      </c>
      <c r="D271" s="21">
        <v>9628</v>
      </c>
      <c r="E271" s="21">
        <v>7493</v>
      </c>
      <c r="F271" s="21">
        <v>2984</v>
      </c>
      <c r="G271" s="21">
        <v>8616</v>
      </c>
      <c r="H271" s="21">
        <v>8935</v>
      </c>
      <c r="I271" s="21">
        <v>7553</v>
      </c>
      <c r="J271" s="21">
        <v>6562</v>
      </c>
      <c r="K271" s="21">
        <v>3761</v>
      </c>
      <c r="L271" s="21">
        <v>7334</v>
      </c>
      <c r="M271" s="21">
        <v>5040</v>
      </c>
      <c r="N271" s="21">
        <v>8149</v>
      </c>
      <c r="O271" s="21">
        <v>925</v>
      </c>
      <c r="P271" s="21">
        <v>984</v>
      </c>
      <c r="Q271" s="21">
        <v>9327</v>
      </c>
      <c r="R271" s="21">
        <v>9302</v>
      </c>
      <c r="S271" s="21">
        <v>4270</v>
      </c>
      <c r="T271" s="21">
        <v>2570</v>
      </c>
      <c r="U271" s="22">
        <v>1268</v>
      </c>
      <c r="W271" s="15"/>
      <c r="Z271"/>
      <c r="AA271"/>
      <c r="AB271" s="15">
        <v>214</v>
      </c>
    </row>
    <row r="272" spans="1:28" s="19" customFormat="1" ht="19.149999999999999" customHeight="1" x14ac:dyDescent="0.25">
      <c r="A272" s="25" t="s">
        <v>275</v>
      </c>
      <c r="B272" s="20">
        <v>3984</v>
      </c>
      <c r="C272" s="21">
        <v>610</v>
      </c>
      <c r="D272" s="21">
        <v>6349</v>
      </c>
      <c r="E272" s="21">
        <v>8341</v>
      </c>
      <c r="F272" s="21">
        <v>2785</v>
      </c>
      <c r="G272" s="21">
        <v>7008</v>
      </c>
      <c r="H272" s="21">
        <v>7806</v>
      </c>
      <c r="I272" s="21">
        <v>4344</v>
      </c>
      <c r="J272" s="21">
        <v>3976</v>
      </c>
      <c r="K272" s="21">
        <v>2643</v>
      </c>
      <c r="L272" s="21">
        <v>1584</v>
      </c>
      <c r="M272" s="21">
        <v>1999</v>
      </c>
      <c r="N272" s="21">
        <v>2124</v>
      </c>
      <c r="O272" s="21">
        <v>1637</v>
      </c>
      <c r="P272" s="21">
        <v>9374</v>
      </c>
      <c r="Q272" s="21">
        <v>2276</v>
      </c>
      <c r="R272" s="21">
        <v>7917</v>
      </c>
      <c r="S272" s="21">
        <v>9128</v>
      </c>
      <c r="T272" s="21">
        <v>7122</v>
      </c>
      <c r="U272" s="22">
        <v>6604</v>
      </c>
      <c r="W272" s="15"/>
      <c r="Z272"/>
      <c r="AA272"/>
      <c r="AB272" s="15">
        <v>215</v>
      </c>
    </row>
    <row r="273" spans="1:28" s="19" customFormat="1" ht="19.149999999999999" customHeight="1" x14ac:dyDescent="0.25">
      <c r="A273" s="25" t="s">
        <v>276</v>
      </c>
      <c r="B273" s="20">
        <v>4240</v>
      </c>
      <c r="C273" s="21">
        <v>2105</v>
      </c>
      <c r="D273" s="21">
        <v>3039</v>
      </c>
      <c r="E273" s="21">
        <v>1011</v>
      </c>
      <c r="F273" s="21">
        <v>8145</v>
      </c>
      <c r="G273" s="21">
        <v>6926</v>
      </c>
      <c r="H273" s="21">
        <v>5655</v>
      </c>
      <c r="I273" s="21">
        <v>5378</v>
      </c>
      <c r="J273" s="21">
        <v>5899</v>
      </c>
      <c r="K273" s="21">
        <v>5449</v>
      </c>
      <c r="L273" s="21">
        <v>8198</v>
      </c>
      <c r="M273" s="21">
        <v>1625</v>
      </c>
      <c r="N273" s="21">
        <v>6707</v>
      </c>
      <c r="O273" s="21">
        <v>1139</v>
      </c>
      <c r="P273" s="21">
        <v>3823</v>
      </c>
      <c r="Q273" s="21">
        <v>7992</v>
      </c>
      <c r="R273" s="21">
        <v>8702</v>
      </c>
      <c r="S273" s="21">
        <v>6666</v>
      </c>
      <c r="T273" s="21">
        <v>6079</v>
      </c>
      <c r="U273" s="22">
        <v>6327</v>
      </c>
      <c r="W273" s="15"/>
      <c r="Z273"/>
      <c r="AA273"/>
      <c r="AB273" s="15">
        <v>216</v>
      </c>
    </row>
    <row r="274" spans="1:28" s="19" customFormat="1" ht="19.149999999999999" customHeight="1" x14ac:dyDescent="0.25">
      <c r="A274" s="25" t="s">
        <v>277</v>
      </c>
      <c r="B274" s="20">
        <v>9826</v>
      </c>
      <c r="C274" s="21">
        <v>1508</v>
      </c>
      <c r="D274" s="21">
        <v>996</v>
      </c>
      <c r="E274" s="21">
        <v>1303</v>
      </c>
      <c r="F274" s="21">
        <v>3424</v>
      </c>
      <c r="G274" s="21">
        <v>417</v>
      </c>
      <c r="H274" s="21">
        <v>2860</v>
      </c>
      <c r="I274" s="21">
        <v>9316</v>
      </c>
      <c r="J274" s="21">
        <v>1798</v>
      </c>
      <c r="K274" s="21">
        <v>2972</v>
      </c>
      <c r="L274" s="21">
        <v>95</v>
      </c>
      <c r="M274" s="21">
        <v>4059</v>
      </c>
      <c r="N274" s="21">
        <v>2811</v>
      </c>
      <c r="O274" s="21">
        <v>853</v>
      </c>
      <c r="P274" s="21">
        <v>5484</v>
      </c>
      <c r="Q274" s="21">
        <v>5037</v>
      </c>
      <c r="R274" s="21">
        <v>269</v>
      </c>
      <c r="S274" s="21">
        <v>7749</v>
      </c>
      <c r="T274" s="21">
        <v>3728</v>
      </c>
      <c r="U274" s="22">
        <v>3397</v>
      </c>
      <c r="W274" s="15"/>
      <c r="Z274"/>
      <c r="AA274"/>
      <c r="AB274" s="15">
        <v>217</v>
      </c>
    </row>
    <row r="275" spans="1:28" s="19" customFormat="1" ht="19.149999999999999" customHeight="1" x14ac:dyDescent="0.25">
      <c r="A275" s="25" t="s">
        <v>278</v>
      </c>
      <c r="B275" s="20">
        <v>69</v>
      </c>
      <c r="C275" s="21">
        <v>646</v>
      </c>
      <c r="D275" s="21">
        <v>7012</v>
      </c>
      <c r="E275" s="21">
        <v>25</v>
      </c>
      <c r="F275" s="21">
        <v>8244</v>
      </c>
      <c r="G275" s="21">
        <v>328</v>
      </c>
      <c r="H275" s="21">
        <v>4849</v>
      </c>
      <c r="I275" s="21">
        <v>2934</v>
      </c>
      <c r="J275" s="21">
        <v>1578</v>
      </c>
      <c r="K275" s="21">
        <v>4820</v>
      </c>
      <c r="L275" s="21">
        <v>4295</v>
      </c>
      <c r="M275" s="21">
        <v>4973</v>
      </c>
      <c r="N275" s="21">
        <v>7768</v>
      </c>
      <c r="O275" s="21">
        <v>41</v>
      </c>
      <c r="P275" s="21">
        <v>5824</v>
      </c>
      <c r="Q275" s="21">
        <v>4990</v>
      </c>
      <c r="R275" s="21">
        <v>6889</v>
      </c>
      <c r="S275" s="21">
        <v>7676</v>
      </c>
      <c r="T275" s="21">
        <v>2195</v>
      </c>
      <c r="U275" s="22">
        <v>4670</v>
      </c>
      <c r="W275" s="15"/>
      <c r="Z275"/>
      <c r="AA275"/>
      <c r="AB275" s="15">
        <v>218</v>
      </c>
    </row>
    <row r="276" spans="1:28" s="19" customFormat="1" ht="19.149999999999999" customHeight="1" x14ac:dyDescent="0.25">
      <c r="A276" s="25" t="s">
        <v>279</v>
      </c>
      <c r="B276" s="20">
        <v>1556</v>
      </c>
      <c r="C276" s="21">
        <v>6486</v>
      </c>
      <c r="D276" s="21">
        <v>9783</v>
      </c>
      <c r="E276" s="21">
        <v>2041</v>
      </c>
      <c r="F276" s="21">
        <v>1847</v>
      </c>
      <c r="G276" s="21">
        <v>522</v>
      </c>
      <c r="H276" s="21">
        <v>1330</v>
      </c>
      <c r="I276" s="21">
        <v>1350</v>
      </c>
      <c r="J276" s="21">
        <v>6443</v>
      </c>
      <c r="K276" s="21">
        <v>5360</v>
      </c>
      <c r="L276" s="21">
        <v>3238</v>
      </c>
      <c r="M276" s="21">
        <v>3773</v>
      </c>
      <c r="N276" s="21">
        <v>1211</v>
      </c>
      <c r="O276" s="21">
        <v>8541</v>
      </c>
      <c r="P276" s="21">
        <v>109</v>
      </c>
      <c r="Q276" s="21">
        <v>8973</v>
      </c>
      <c r="R276" s="21">
        <v>2554</v>
      </c>
      <c r="S276" s="21">
        <v>7172</v>
      </c>
      <c r="T276" s="21">
        <v>5967</v>
      </c>
      <c r="U276" s="22">
        <v>8963</v>
      </c>
      <c r="W276" s="15"/>
      <c r="Z276"/>
      <c r="AA276"/>
      <c r="AB276" s="15">
        <v>219</v>
      </c>
    </row>
    <row r="277" spans="1:28" s="19" customFormat="1" ht="19.149999999999999" customHeight="1" x14ac:dyDescent="0.25">
      <c r="A277" s="25" t="s">
        <v>280</v>
      </c>
      <c r="B277" s="20">
        <v>1880</v>
      </c>
      <c r="C277" s="21">
        <v>2238</v>
      </c>
      <c r="D277" s="21">
        <v>2985</v>
      </c>
      <c r="E277" s="21">
        <v>2962</v>
      </c>
      <c r="F277" s="21">
        <v>2774</v>
      </c>
      <c r="G277" s="21">
        <v>3334</v>
      </c>
      <c r="H277" s="21">
        <v>7667</v>
      </c>
      <c r="I277" s="21">
        <v>8528</v>
      </c>
      <c r="J277" s="21">
        <v>9567</v>
      </c>
      <c r="K277" s="21">
        <v>272</v>
      </c>
      <c r="L277" s="21">
        <v>3081</v>
      </c>
      <c r="M277" s="21">
        <v>6485</v>
      </c>
      <c r="N277" s="21">
        <v>6913</v>
      </c>
      <c r="O277" s="21">
        <v>2227</v>
      </c>
      <c r="P277" s="21">
        <v>8013</v>
      </c>
      <c r="Q277" s="21">
        <v>1113</v>
      </c>
      <c r="R277" s="21">
        <v>4074</v>
      </c>
      <c r="S277" s="21">
        <v>6805</v>
      </c>
      <c r="T277" s="21">
        <v>8638</v>
      </c>
      <c r="U277" s="22">
        <v>5659</v>
      </c>
      <c r="W277" s="15"/>
      <c r="Z277"/>
      <c r="AA277"/>
      <c r="AB277" s="15">
        <v>220</v>
      </c>
    </row>
    <row r="278" spans="1:28" s="19" customFormat="1" ht="19.149999999999999" customHeight="1" x14ac:dyDescent="0.25">
      <c r="A278" s="25" t="s">
        <v>281</v>
      </c>
      <c r="B278" s="20">
        <v>4294</v>
      </c>
      <c r="C278" s="21">
        <v>3205</v>
      </c>
      <c r="D278" s="21">
        <v>3084</v>
      </c>
      <c r="E278" s="21">
        <v>6591</v>
      </c>
      <c r="F278" s="21">
        <v>8278</v>
      </c>
      <c r="G278" s="21">
        <v>4265</v>
      </c>
      <c r="H278" s="21">
        <v>2599</v>
      </c>
      <c r="I278" s="21">
        <v>6977</v>
      </c>
      <c r="J278" s="21">
        <v>1509</v>
      </c>
      <c r="K278" s="21">
        <v>9851</v>
      </c>
      <c r="L278" s="21">
        <v>4153</v>
      </c>
      <c r="M278" s="21">
        <v>9621</v>
      </c>
      <c r="N278" s="21">
        <v>1659</v>
      </c>
      <c r="O278" s="21">
        <v>3789</v>
      </c>
      <c r="P278" s="21">
        <v>1276</v>
      </c>
      <c r="Q278" s="21">
        <v>7040</v>
      </c>
      <c r="R278" s="21">
        <v>5348</v>
      </c>
      <c r="S278" s="21">
        <v>7580</v>
      </c>
      <c r="T278" s="21">
        <v>9075</v>
      </c>
      <c r="U278" s="22">
        <v>9443</v>
      </c>
      <c r="W278" s="15"/>
      <c r="Z278"/>
      <c r="AA278"/>
      <c r="AB278" s="15">
        <v>221</v>
      </c>
    </row>
    <row r="279" spans="1:28" s="19" customFormat="1" ht="19.149999999999999" customHeight="1" x14ac:dyDescent="0.25">
      <c r="A279" s="25" t="s">
        <v>282</v>
      </c>
      <c r="B279" s="20">
        <v>1779</v>
      </c>
      <c r="C279" s="21">
        <v>909</v>
      </c>
      <c r="D279" s="21">
        <v>1994</v>
      </c>
      <c r="E279" s="21">
        <v>9196</v>
      </c>
      <c r="F279" s="21">
        <v>8924</v>
      </c>
      <c r="G279" s="21">
        <v>2513</v>
      </c>
      <c r="H279" s="21">
        <v>9433</v>
      </c>
      <c r="I279" s="21">
        <v>1626</v>
      </c>
      <c r="J279" s="21">
        <v>2073</v>
      </c>
      <c r="K279" s="21">
        <v>5742</v>
      </c>
      <c r="L279" s="21">
        <v>5708</v>
      </c>
      <c r="M279" s="21">
        <v>2298</v>
      </c>
      <c r="N279" s="21">
        <v>1239</v>
      </c>
      <c r="O279" s="21">
        <v>7555</v>
      </c>
      <c r="P279" s="21">
        <v>4168</v>
      </c>
      <c r="Q279" s="21">
        <v>1738</v>
      </c>
      <c r="R279" s="21">
        <v>1788</v>
      </c>
      <c r="S279" s="21">
        <v>2244</v>
      </c>
      <c r="T279" s="21">
        <v>4559</v>
      </c>
      <c r="U279" s="22">
        <v>8239</v>
      </c>
      <c r="W279" s="15"/>
      <c r="Z279"/>
      <c r="AA279"/>
      <c r="AB279" s="15">
        <v>222</v>
      </c>
    </row>
    <row r="280" spans="1:28" s="19" customFormat="1" ht="19.149999999999999" customHeight="1" x14ac:dyDescent="0.25">
      <c r="A280" s="25" t="s">
        <v>283</v>
      </c>
      <c r="B280" s="20">
        <v>2979</v>
      </c>
      <c r="C280" s="21">
        <v>3661</v>
      </c>
      <c r="D280" s="21">
        <v>8837</v>
      </c>
      <c r="E280" s="21">
        <v>7778</v>
      </c>
      <c r="F280" s="21">
        <v>7864</v>
      </c>
      <c r="G280" s="21">
        <v>4510</v>
      </c>
      <c r="H280" s="21">
        <v>5112</v>
      </c>
      <c r="I280" s="21">
        <v>6471</v>
      </c>
      <c r="J280" s="21">
        <v>3464</v>
      </c>
      <c r="K280" s="21">
        <v>8946</v>
      </c>
      <c r="L280" s="21">
        <v>5004</v>
      </c>
      <c r="M280" s="21">
        <v>944</v>
      </c>
      <c r="N280" s="21">
        <v>5214</v>
      </c>
      <c r="O280" s="21">
        <v>6794</v>
      </c>
      <c r="P280" s="21">
        <v>9634</v>
      </c>
      <c r="Q280" s="21">
        <v>6979</v>
      </c>
      <c r="R280" s="21">
        <v>4797</v>
      </c>
      <c r="S280" s="21">
        <v>4682</v>
      </c>
      <c r="T280" s="21">
        <v>399</v>
      </c>
      <c r="U280" s="22">
        <v>7901</v>
      </c>
      <c r="W280" s="15"/>
      <c r="Z280"/>
      <c r="AA280"/>
      <c r="AB280" s="15">
        <v>223</v>
      </c>
    </row>
    <row r="281" spans="1:28" s="19" customFormat="1" ht="19.149999999999999" customHeight="1" x14ac:dyDescent="0.25">
      <c r="A281" s="25" t="s">
        <v>284</v>
      </c>
      <c r="B281" s="20">
        <v>9948</v>
      </c>
      <c r="C281" s="21">
        <v>8181</v>
      </c>
      <c r="D281" s="21">
        <v>7046</v>
      </c>
      <c r="E281" s="21">
        <v>5083</v>
      </c>
      <c r="F281" s="21">
        <v>6785</v>
      </c>
      <c r="G281" s="21">
        <v>1191</v>
      </c>
      <c r="H281" s="21">
        <v>7272</v>
      </c>
      <c r="I281" s="21">
        <v>4206</v>
      </c>
      <c r="J281" s="21">
        <v>908</v>
      </c>
      <c r="K281" s="21">
        <v>426</v>
      </c>
      <c r="L281" s="21">
        <v>6692</v>
      </c>
      <c r="M281" s="21">
        <v>1956</v>
      </c>
      <c r="N281" s="21">
        <v>990</v>
      </c>
      <c r="O281" s="21">
        <v>775</v>
      </c>
      <c r="P281" s="21">
        <v>4813</v>
      </c>
      <c r="Q281" s="21">
        <v>8906</v>
      </c>
      <c r="R281" s="21">
        <v>6320</v>
      </c>
      <c r="S281" s="21">
        <v>7813</v>
      </c>
      <c r="T281" s="21">
        <v>6382</v>
      </c>
      <c r="U281" s="22">
        <v>6035</v>
      </c>
      <c r="W281" s="15"/>
      <c r="Z281"/>
      <c r="AA281"/>
      <c r="AB281" s="15">
        <v>224</v>
      </c>
    </row>
    <row r="282" spans="1:28" s="19" customFormat="1" ht="19.149999999999999" customHeight="1" x14ac:dyDescent="0.25">
      <c r="A282" s="25" t="s">
        <v>285</v>
      </c>
      <c r="B282" s="20">
        <v>6228</v>
      </c>
      <c r="C282" s="21">
        <v>3075</v>
      </c>
      <c r="D282" s="21">
        <v>4400</v>
      </c>
      <c r="E282" s="21">
        <v>2988</v>
      </c>
      <c r="F282" s="21">
        <v>9572</v>
      </c>
      <c r="G282" s="21">
        <v>6477</v>
      </c>
      <c r="H282" s="21">
        <v>9487</v>
      </c>
      <c r="I282" s="21">
        <v>1353</v>
      </c>
      <c r="J282" s="21">
        <v>3045</v>
      </c>
      <c r="K282" s="21">
        <v>1236</v>
      </c>
      <c r="L282" s="21">
        <v>6132</v>
      </c>
      <c r="M282" s="21">
        <v>4228</v>
      </c>
      <c r="N282" s="21">
        <v>5861</v>
      </c>
      <c r="O282" s="21">
        <v>4797</v>
      </c>
      <c r="P282" s="21">
        <v>1578</v>
      </c>
      <c r="Q282" s="21">
        <v>5793</v>
      </c>
      <c r="R282" s="21">
        <v>7613</v>
      </c>
      <c r="S282" s="21">
        <v>9018</v>
      </c>
      <c r="T282" s="21">
        <v>4587</v>
      </c>
      <c r="U282" s="22">
        <v>3269</v>
      </c>
      <c r="W282" s="15"/>
      <c r="Z282"/>
      <c r="AA282"/>
      <c r="AB282" s="15">
        <v>225</v>
      </c>
    </row>
    <row r="283" spans="1:28" s="19" customFormat="1" ht="19.149999999999999" customHeight="1" x14ac:dyDescent="0.25">
      <c r="A283" s="25" t="s">
        <v>286</v>
      </c>
      <c r="B283" s="20">
        <v>8710</v>
      </c>
      <c r="C283" s="21">
        <v>7566</v>
      </c>
      <c r="D283" s="21">
        <v>2262</v>
      </c>
      <c r="E283" s="21">
        <v>2163</v>
      </c>
      <c r="F283" s="21">
        <v>1773</v>
      </c>
      <c r="G283" s="21">
        <v>1027</v>
      </c>
      <c r="H283" s="21">
        <v>8883</v>
      </c>
      <c r="I283" s="21">
        <v>6966</v>
      </c>
      <c r="J283" s="21">
        <v>1101</v>
      </c>
      <c r="K283" s="21">
        <v>4097</v>
      </c>
      <c r="L283" s="21">
        <v>5333</v>
      </c>
      <c r="M283" s="21">
        <v>1989</v>
      </c>
      <c r="N283" s="21">
        <v>739</v>
      </c>
      <c r="O283" s="21">
        <v>1607</v>
      </c>
      <c r="P283" s="21">
        <v>2395</v>
      </c>
      <c r="Q283" s="21">
        <v>1688</v>
      </c>
      <c r="R283" s="21">
        <v>7141</v>
      </c>
      <c r="S283" s="21">
        <v>6479</v>
      </c>
      <c r="T283" s="21">
        <v>1456</v>
      </c>
      <c r="U283" s="22">
        <v>1466</v>
      </c>
      <c r="W283" s="15"/>
      <c r="Z283"/>
      <c r="AA283"/>
      <c r="AB283" s="15">
        <v>226</v>
      </c>
    </row>
    <row r="284" spans="1:28" s="19" customFormat="1" ht="19.149999999999999" customHeight="1" x14ac:dyDescent="0.25">
      <c r="A284" s="25" t="s">
        <v>287</v>
      </c>
      <c r="B284" s="20">
        <v>3345</v>
      </c>
      <c r="C284" s="21">
        <v>2917</v>
      </c>
      <c r="D284" s="21">
        <v>1230</v>
      </c>
      <c r="E284" s="21">
        <v>2741</v>
      </c>
      <c r="F284" s="21">
        <v>2792</v>
      </c>
      <c r="G284" s="21">
        <v>9433</v>
      </c>
      <c r="H284" s="21">
        <v>221</v>
      </c>
      <c r="I284" s="21">
        <v>8875</v>
      </c>
      <c r="J284" s="21">
        <v>535</v>
      </c>
      <c r="K284" s="21">
        <v>2737</v>
      </c>
      <c r="L284" s="21">
        <v>6077</v>
      </c>
      <c r="M284" s="21">
        <v>2026</v>
      </c>
      <c r="N284" s="21">
        <v>4929</v>
      </c>
      <c r="O284" s="21">
        <v>532</v>
      </c>
      <c r="P284" s="21">
        <v>4179</v>
      </c>
      <c r="Q284" s="21">
        <v>2657</v>
      </c>
      <c r="R284" s="21">
        <v>9068</v>
      </c>
      <c r="S284" s="21">
        <v>6527</v>
      </c>
      <c r="T284" s="21">
        <v>2980</v>
      </c>
      <c r="U284" s="22">
        <v>2286</v>
      </c>
      <c r="W284" s="15"/>
      <c r="Z284"/>
      <c r="AA284"/>
      <c r="AB284" s="15">
        <v>227</v>
      </c>
    </row>
    <row r="285" spans="1:28" s="19" customFormat="1" ht="19.149999999999999" customHeight="1" x14ac:dyDescent="0.25">
      <c r="A285" s="25" t="s">
        <v>288</v>
      </c>
      <c r="B285" s="20">
        <v>967</v>
      </c>
      <c r="C285" s="21">
        <v>6876</v>
      </c>
      <c r="D285" s="21">
        <v>3654</v>
      </c>
      <c r="E285" s="21">
        <v>1289</v>
      </c>
      <c r="F285" s="21">
        <v>8894</v>
      </c>
      <c r="G285" s="21">
        <v>381</v>
      </c>
      <c r="H285" s="21">
        <v>5336</v>
      </c>
      <c r="I285" s="21">
        <v>8232</v>
      </c>
      <c r="J285" s="21">
        <v>2723</v>
      </c>
      <c r="K285" s="21">
        <v>5559</v>
      </c>
      <c r="L285" s="21">
        <v>3852</v>
      </c>
      <c r="M285" s="21">
        <v>4103</v>
      </c>
      <c r="N285" s="21">
        <v>9435</v>
      </c>
      <c r="O285" s="21">
        <v>3693</v>
      </c>
      <c r="P285" s="21">
        <v>3540</v>
      </c>
      <c r="Q285" s="21">
        <v>6171</v>
      </c>
      <c r="R285" s="21">
        <v>3494</v>
      </c>
      <c r="S285" s="21">
        <v>7445</v>
      </c>
      <c r="T285" s="21">
        <v>5463</v>
      </c>
      <c r="U285" s="22">
        <v>459</v>
      </c>
      <c r="W285" s="15"/>
      <c r="Z285"/>
      <c r="AA285"/>
      <c r="AB285" s="15">
        <v>228</v>
      </c>
    </row>
    <row r="286" spans="1:28" s="19" customFormat="1" ht="19.149999999999999" customHeight="1" x14ac:dyDescent="0.25">
      <c r="A286" s="25" t="s">
        <v>289</v>
      </c>
      <c r="B286" s="20">
        <v>7317</v>
      </c>
      <c r="C286" s="21">
        <v>331</v>
      </c>
      <c r="D286" s="21">
        <v>9195</v>
      </c>
      <c r="E286" s="21">
        <v>3725</v>
      </c>
      <c r="F286" s="21">
        <v>938</v>
      </c>
      <c r="G286" s="21">
        <v>8882</v>
      </c>
      <c r="H286" s="21">
        <v>7150</v>
      </c>
      <c r="I286" s="21">
        <v>7570</v>
      </c>
      <c r="J286" s="21">
        <v>7927</v>
      </c>
      <c r="K286" s="21">
        <v>6126</v>
      </c>
      <c r="L286" s="21">
        <v>4108</v>
      </c>
      <c r="M286" s="21">
        <v>76</v>
      </c>
      <c r="N286" s="21">
        <v>3366</v>
      </c>
      <c r="O286" s="21">
        <v>626</v>
      </c>
      <c r="P286" s="21">
        <v>284</v>
      </c>
      <c r="Q286" s="21">
        <v>7091</v>
      </c>
      <c r="R286" s="21">
        <v>6217</v>
      </c>
      <c r="S286" s="21">
        <v>4667</v>
      </c>
      <c r="T286" s="21">
        <v>2325</v>
      </c>
      <c r="U286" s="22">
        <v>7508</v>
      </c>
      <c r="W286" s="15"/>
      <c r="Z286"/>
      <c r="AA286"/>
    </row>
    <row r="287" spans="1:28" s="19" customFormat="1" ht="19.149999999999999" customHeight="1" x14ac:dyDescent="0.25">
      <c r="A287" s="25" t="s">
        <v>290</v>
      </c>
      <c r="B287" s="20">
        <v>3702</v>
      </c>
      <c r="C287" s="21">
        <v>441</v>
      </c>
      <c r="D287" s="21">
        <v>3127</v>
      </c>
      <c r="E287" s="21">
        <v>4362</v>
      </c>
      <c r="F287" s="21">
        <v>1890</v>
      </c>
      <c r="G287" s="21">
        <v>8083</v>
      </c>
      <c r="H287" s="21">
        <v>6357</v>
      </c>
      <c r="I287" s="21">
        <v>7932</v>
      </c>
      <c r="J287" s="21">
        <v>6487</v>
      </c>
      <c r="K287" s="21">
        <v>6708</v>
      </c>
      <c r="L287" s="21">
        <v>9779</v>
      </c>
      <c r="M287" s="21">
        <v>3266</v>
      </c>
      <c r="N287" s="21">
        <v>7443</v>
      </c>
      <c r="O287" s="21">
        <v>4296</v>
      </c>
      <c r="P287" s="21">
        <v>1754</v>
      </c>
      <c r="Q287" s="21">
        <v>2167</v>
      </c>
      <c r="R287" s="21">
        <v>6560</v>
      </c>
      <c r="S287" s="21">
        <v>3444</v>
      </c>
      <c r="T287" s="21">
        <v>3167</v>
      </c>
      <c r="U287" s="22">
        <v>2909</v>
      </c>
      <c r="W287" s="15"/>
      <c r="Z287"/>
      <c r="AA287"/>
    </row>
    <row r="288" spans="1:28" s="19" customFormat="1" ht="19.149999999999999" customHeight="1" x14ac:dyDescent="0.25">
      <c r="A288" s="25" t="s">
        <v>291</v>
      </c>
      <c r="B288" s="20">
        <v>7823</v>
      </c>
      <c r="C288" s="21">
        <v>7114</v>
      </c>
      <c r="D288" s="21">
        <v>2780</v>
      </c>
      <c r="E288" s="21">
        <v>7954</v>
      </c>
      <c r="F288" s="21">
        <v>9965</v>
      </c>
      <c r="G288" s="21">
        <v>4339</v>
      </c>
      <c r="H288" s="21">
        <v>5747</v>
      </c>
      <c r="I288" s="21">
        <v>8057</v>
      </c>
      <c r="J288" s="21">
        <v>3145</v>
      </c>
      <c r="K288" s="21">
        <v>469</v>
      </c>
      <c r="L288" s="21">
        <v>7660</v>
      </c>
      <c r="M288" s="21">
        <v>2868</v>
      </c>
      <c r="N288" s="21">
        <v>8385</v>
      </c>
      <c r="O288" s="21">
        <v>3380</v>
      </c>
      <c r="P288" s="21">
        <v>4565</v>
      </c>
      <c r="Q288" s="21">
        <v>1127</v>
      </c>
      <c r="R288" s="21">
        <v>7652</v>
      </c>
      <c r="S288" s="21">
        <v>6726</v>
      </c>
      <c r="T288" s="21">
        <v>231</v>
      </c>
      <c r="U288" s="22">
        <v>8260</v>
      </c>
      <c r="W288" s="15"/>
      <c r="Z288"/>
      <c r="AA288"/>
    </row>
    <row r="289" spans="1:27" s="19" customFormat="1" ht="19.149999999999999" customHeight="1" x14ac:dyDescent="0.25">
      <c r="A289" s="25" t="s">
        <v>292</v>
      </c>
      <c r="B289" s="20">
        <v>3106</v>
      </c>
      <c r="C289" s="21">
        <v>5982</v>
      </c>
      <c r="D289" s="21">
        <v>1692</v>
      </c>
      <c r="E289" s="21">
        <v>5439</v>
      </c>
      <c r="F289" s="21">
        <v>3877</v>
      </c>
      <c r="G289" s="21">
        <v>8040</v>
      </c>
      <c r="H289" s="21">
        <v>7322</v>
      </c>
      <c r="I289" s="21">
        <v>4996</v>
      </c>
      <c r="J289" s="21">
        <v>6889</v>
      </c>
      <c r="K289" s="21">
        <v>9562</v>
      </c>
      <c r="L289" s="21">
        <v>4432</v>
      </c>
      <c r="M289" s="21">
        <v>711</v>
      </c>
      <c r="N289" s="21">
        <v>9390</v>
      </c>
      <c r="O289" s="21">
        <v>2540</v>
      </c>
      <c r="P289" s="21">
        <v>2036</v>
      </c>
      <c r="Q289" s="21">
        <v>8397</v>
      </c>
      <c r="R289" s="21">
        <v>4927</v>
      </c>
      <c r="S289" s="21">
        <v>8366</v>
      </c>
      <c r="T289" s="21">
        <v>8330</v>
      </c>
      <c r="U289" s="22">
        <v>467</v>
      </c>
      <c r="W289" s="15"/>
      <c r="Z289"/>
      <c r="AA289"/>
    </row>
    <row r="290" spans="1:27" s="19" customFormat="1" ht="19.149999999999999" customHeight="1" x14ac:dyDescent="0.25">
      <c r="A290" s="25" t="s">
        <v>293</v>
      </c>
      <c r="B290" s="20">
        <v>7113</v>
      </c>
      <c r="C290" s="21">
        <v>2521</v>
      </c>
      <c r="D290" s="21">
        <v>3782</v>
      </c>
      <c r="E290" s="21">
        <v>7741</v>
      </c>
      <c r="F290" s="21">
        <v>8634</v>
      </c>
      <c r="G290" s="21">
        <v>4</v>
      </c>
      <c r="H290" s="21">
        <v>8617</v>
      </c>
      <c r="I290" s="21">
        <v>7841</v>
      </c>
      <c r="J290" s="21">
        <v>8206</v>
      </c>
      <c r="K290" s="21">
        <v>3788</v>
      </c>
      <c r="L290" s="21">
        <v>7669</v>
      </c>
      <c r="M290" s="21">
        <v>8378</v>
      </c>
      <c r="N290" s="21">
        <v>2885</v>
      </c>
      <c r="O290" s="21">
        <v>3878</v>
      </c>
      <c r="P290" s="21">
        <v>8201</v>
      </c>
      <c r="Q290" s="21">
        <v>7518</v>
      </c>
      <c r="R290" s="21">
        <v>6297</v>
      </c>
      <c r="S290" s="21">
        <v>2806</v>
      </c>
      <c r="T290" s="21">
        <v>5703</v>
      </c>
      <c r="U290" s="22">
        <v>8254</v>
      </c>
      <c r="W290" s="15"/>
      <c r="Z290"/>
      <c r="AA290"/>
    </row>
    <row r="291" spans="1:27" s="19" customFormat="1" ht="19.149999999999999" customHeight="1" x14ac:dyDescent="0.25">
      <c r="A291" s="25" t="s">
        <v>294</v>
      </c>
      <c r="B291" s="20">
        <v>8209</v>
      </c>
      <c r="C291" s="21">
        <v>3908</v>
      </c>
      <c r="D291" s="21">
        <v>7044</v>
      </c>
      <c r="E291" s="21">
        <v>9848</v>
      </c>
      <c r="F291" s="21">
        <v>6438</v>
      </c>
      <c r="G291" s="21">
        <v>4788</v>
      </c>
      <c r="H291" s="21">
        <v>4283</v>
      </c>
      <c r="I291" s="21">
        <v>3081</v>
      </c>
      <c r="J291" s="21">
        <v>6516</v>
      </c>
      <c r="K291" s="21">
        <v>8097</v>
      </c>
      <c r="L291" s="21">
        <v>3707</v>
      </c>
      <c r="M291" s="21">
        <v>2588</v>
      </c>
      <c r="N291" s="21">
        <v>447</v>
      </c>
      <c r="O291" s="21">
        <v>4473</v>
      </c>
      <c r="P291" s="21">
        <v>5186</v>
      </c>
      <c r="Q291" s="21">
        <v>4034</v>
      </c>
      <c r="R291" s="21">
        <v>6991</v>
      </c>
      <c r="S291" s="21">
        <v>1698</v>
      </c>
      <c r="T291" s="21">
        <v>3211</v>
      </c>
      <c r="U291" s="22">
        <v>6389</v>
      </c>
      <c r="W291" s="15"/>
      <c r="Z291"/>
      <c r="AA291"/>
    </row>
    <row r="292" spans="1:27" s="19" customFormat="1" ht="19.149999999999999" customHeight="1" x14ac:dyDescent="0.25">
      <c r="A292" s="25" t="s">
        <v>295</v>
      </c>
      <c r="B292" s="20">
        <v>8759</v>
      </c>
      <c r="C292" s="21">
        <v>9062</v>
      </c>
      <c r="D292" s="21">
        <v>8407</v>
      </c>
      <c r="E292" s="21">
        <v>4436</v>
      </c>
      <c r="F292" s="21">
        <v>9582</v>
      </c>
      <c r="G292" s="21">
        <v>1304</v>
      </c>
      <c r="H292" s="21">
        <v>4880</v>
      </c>
      <c r="I292" s="21">
        <v>8819</v>
      </c>
      <c r="J292" s="21">
        <v>4594</v>
      </c>
      <c r="K292" s="21">
        <v>4951</v>
      </c>
      <c r="L292" s="21">
        <v>5367</v>
      </c>
      <c r="M292" s="21">
        <v>1224</v>
      </c>
      <c r="N292" s="21">
        <v>2915</v>
      </c>
      <c r="O292" s="21">
        <v>9659</v>
      </c>
      <c r="P292" s="21">
        <v>2391</v>
      </c>
      <c r="Q292" s="21">
        <v>8529</v>
      </c>
      <c r="R292" s="21">
        <v>8864</v>
      </c>
      <c r="S292" s="21">
        <v>6776</v>
      </c>
      <c r="T292" s="21">
        <v>628</v>
      </c>
      <c r="U292" s="22">
        <v>8509</v>
      </c>
      <c r="W292" s="15"/>
      <c r="Z292"/>
      <c r="AA292"/>
    </row>
    <row r="293" spans="1:27" s="19" customFormat="1" ht="19.149999999999999" customHeight="1" x14ac:dyDescent="0.25">
      <c r="A293" s="25" t="s">
        <v>296</v>
      </c>
      <c r="B293" s="20">
        <v>1619</v>
      </c>
      <c r="C293" s="21">
        <v>6500</v>
      </c>
      <c r="D293" s="21">
        <v>177</v>
      </c>
      <c r="E293" s="21">
        <v>9653</v>
      </c>
      <c r="F293" s="21">
        <v>3517</v>
      </c>
      <c r="G293" s="21">
        <v>2368</v>
      </c>
      <c r="H293" s="21">
        <v>5981</v>
      </c>
      <c r="I293" s="21">
        <v>4897</v>
      </c>
      <c r="J293" s="21">
        <v>244</v>
      </c>
      <c r="K293" s="21">
        <v>9622</v>
      </c>
      <c r="L293" s="21">
        <v>2648</v>
      </c>
      <c r="M293" s="21">
        <v>8326</v>
      </c>
      <c r="N293" s="21">
        <v>887</v>
      </c>
      <c r="O293" s="21">
        <v>5678</v>
      </c>
      <c r="P293" s="21">
        <v>9127</v>
      </c>
      <c r="Q293" s="21">
        <v>7631</v>
      </c>
      <c r="R293" s="21">
        <v>2987</v>
      </c>
      <c r="S293" s="21">
        <v>5503</v>
      </c>
      <c r="T293" s="21">
        <v>2182</v>
      </c>
      <c r="U293" s="22">
        <v>2961</v>
      </c>
      <c r="W293" s="15"/>
      <c r="Z293"/>
      <c r="AA293"/>
    </row>
    <row r="294" spans="1:27" s="19" customFormat="1" ht="19.149999999999999" customHeight="1" x14ac:dyDescent="0.25">
      <c r="A294" s="25" t="s">
        <v>297</v>
      </c>
      <c r="B294" s="20">
        <v>1666</v>
      </c>
      <c r="C294" s="21">
        <v>8927</v>
      </c>
      <c r="D294" s="21">
        <v>7769</v>
      </c>
      <c r="E294" s="21">
        <v>8312</v>
      </c>
      <c r="F294" s="21">
        <v>6171</v>
      </c>
      <c r="G294" s="21">
        <v>1075</v>
      </c>
      <c r="H294" s="21">
        <v>9673</v>
      </c>
      <c r="I294" s="21">
        <v>4196</v>
      </c>
      <c r="J294" s="21">
        <v>6706</v>
      </c>
      <c r="K294" s="21">
        <v>7074</v>
      </c>
      <c r="L294" s="21">
        <v>5982</v>
      </c>
      <c r="M294" s="21">
        <v>2535</v>
      </c>
      <c r="N294" s="21">
        <v>3958</v>
      </c>
      <c r="O294" s="21">
        <v>2168</v>
      </c>
      <c r="P294" s="21">
        <v>5749</v>
      </c>
      <c r="Q294" s="21">
        <v>6921</v>
      </c>
      <c r="R294" s="21">
        <v>8625</v>
      </c>
      <c r="S294" s="21">
        <v>5972</v>
      </c>
      <c r="T294" s="21">
        <v>5610</v>
      </c>
      <c r="U294" s="22">
        <v>37</v>
      </c>
      <c r="W294" s="15"/>
      <c r="Z294"/>
      <c r="AA294"/>
    </row>
    <row r="295" spans="1:27" s="19" customFormat="1" ht="19.149999999999999" customHeight="1" x14ac:dyDescent="0.25">
      <c r="A295" s="25" t="s">
        <v>298</v>
      </c>
      <c r="B295" s="20">
        <v>2581</v>
      </c>
      <c r="C295" s="21">
        <v>997</v>
      </c>
      <c r="D295" s="21">
        <v>9147</v>
      </c>
      <c r="E295" s="21">
        <v>957</v>
      </c>
      <c r="F295" s="21">
        <v>3081</v>
      </c>
      <c r="G295" s="21">
        <v>8516</v>
      </c>
      <c r="H295" s="21">
        <v>1764</v>
      </c>
      <c r="I295" s="21">
        <v>6861</v>
      </c>
      <c r="J295" s="21">
        <v>4255</v>
      </c>
      <c r="K295" s="21">
        <v>9890</v>
      </c>
      <c r="L295" s="21">
        <v>9029</v>
      </c>
      <c r="M295" s="21">
        <v>3741</v>
      </c>
      <c r="N295" s="21">
        <v>9451</v>
      </c>
      <c r="O295" s="21">
        <v>8462</v>
      </c>
      <c r="P295" s="21">
        <v>7282</v>
      </c>
      <c r="Q295" s="21">
        <v>1174</v>
      </c>
      <c r="R295" s="21">
        <v>2000</v>
      </c>
      <c r="S295" s="21">
        <v>6085</v>
      </c>
      <c r="T295" s="21">
        <v>6685</v>
      </c>
      <c r="U295" s="22">
        <v>8287</v>
      </c>
      <c r="W295" s="15"/>
      <c r="Z295"/>
      <c r="AA295"/>
    </row>
    <row r="296" spans="1:27" s="19" customFormat="1" ht="19.149999999999999" customHeight="1" x14ac:dyDescent="0.25">
      <c r="A296" s="25" t="s">
        <v>299</v>
      </c>
      <c r="B296" s="20">
        <v>6356</v>
      </c>
      <c r="C296" s="21">
        <v>8342</v>
      </c>
      <c r="D296" s="21">
        <v>7754</v>
      </c>
      <c r="E296" s="21">
        <v>799</v>
      </c>
      <c r="F296" s="21">
        <v>4029</v>
      </c>
      <c r="G296" s="21">
        <v>5288</v>
      </c>
      <c r="H296" s="21">
        <v>4464</v>
      </c>
      <c r="I296" s="21">
        <v>8491</v>
      </c>
      <c r="J296" s="21">
        <v>7924</v>
      </c>
      <c r="K296" s="21">
        <v>1005</v>
      </c>
      <c r="L296" s="21">
        <v>4112</v>
      </c>
      <c r="M296" s="21">
        <v>2482</v>
      </c>
      <c r="N296" s="21">
        <v>5266</v>
      </c>
      <c r="O296" s="21">
        <v>475</v>
      </c>
      <c r="P296" s="21">
        <v>8386</v>
      </c>
      <c r="Q296" s="21">
        <v>2752</v>
      </c>
      <c r="R296" s="21">
        <v>2926</v>
      </c>
      <c r="S296" s="21">
        <v>1972</v>
      </c>
      <c r="T296" s="21">
        <v>4734</v>
      </c>
      <c r="U296" s="22">
        <v>454</v>
      </c>
      <c r="W296" s="15"/>
      <c r="Z296"/>
      <c r="AA296"/>
    </row>
    <row r="297" spans="1:27" s="19" customFormat="1" ht="19.149999999999999" customHeight="1" x14ac:dyDescent="0.25">
      <c r="A297" s="25" t="s">
        <v>300</v>
      </c>
      <c r="B297" s="20">
        <v>2844</v>
      </c>
      <c r="C297" s="21">
        <v>9763</v>
      </c>
      <c r="D297" s="21">
        <v>9281</v>
      </c>
      <c r="E297" s="21">
        <v>8047</v>
      </c>
      <c r="F297" s="21">
        <v>5783</v>
      </c>
      <c r="G297" s="21">
        <v>6966</v>
      </c>
      <c r="H297" s="21">
        <v>9477</v>
      </c>
      <c r="I297" s="21">
        <v>1297</v>
      </c>
      <c r="J297" s="21">
        <v>9204</v>
      </c>
      <c r="K297" s="21">
        <v>211</v>
      </c>
      <c r="L297" s="21">
        <v>1475</v>
      </c>
      <c r="M297" s="21">
        <v>7054</v>
      </c>
      <c r="N297" s="21">
        <v>4655</v>
      </c>
      <c r="O297" s="21">
        <v>1865</v>
      </c>
      <c r="P297" s="21">
        <v>8131</v>
      </c>
      <c r="Q297" s="21">
        <v>7240</v>
      </c>
      <c r="R297" s="21">
        <v>824</v>
      </c>
      <c r="S297" s="21">
        <v>9154</v>
      </c>
      <c r="T297" s="21">
        <v>5567</v>
      </c>
      <c r="U297" s="22">
        <v>5777</v>
      </c>
      <c r="W297" s="15"/>
      <c r="Z297"/>
      <c r="AA297"/>
    </row>
    <row r="298" spans="1:27" s="19" customFormat="1" ht="19.149999999999999" customHeight="1" x14ac:dyDescent="0.25">
      <c r="A298" s="25" t="s">
        <v>301</v>
      </c>
      <c r="B298" s="20">
        <v>5972</v>
      </c>
      <c r="C298" s="21">
        <v>2588</v>
      </c>
      <c r="D298" s="21">
        <v>1523</v>
      </c>
      <c r="E298" s="21">
        <v>3398</v>
      </c>
      <c r="F298" s="21">
        <v>6031</v>
      </c>
      <c r="G298" s="21">
        <v>1488</v>
      </c>
      <c r="H298" s="21">
        <v>3214</v>
      </c>
      <c r="I298" s="21">
        <v>9264</v>
      </c>
      <c r="J298" s="21">
        <v>496</v>
      </c>
      <c r="K298" s="21">
        <v>8744</v>
      </c>
      <c r="L298" s="21">
        <v>6880</v>
      </c>
      <c r="M298" s="21">
        <v>4906</v>
      </c>
      <c r="N298" s="21">
        <v>1955</v>
      </c>
      <c r="O298" s="21">
        <v>2091</v>
      </c>
      <c r="P298" s="21">
        <v>9633</v>
      </c>
      <c r="Q298" s="21">
        <v>965</v>
      </c>
      <c r="R298" s="21">
        <v>3710</v>
      </c>
      <c r="S298" s="21">
        <v>5335</v>
      </c>
      <c r="T298" s="21">
        <v>7960</v>
      </c>
      <c r="U298" s="22">
        <v>3869</v>
      </c>
      <c r="W298" s="15"/>
      <c r="Z298"/>
      <c r="AA298"/>
    </row>
    <row r="299" spans="1:27" s="19" customFormat="1" ht="19.149999999999999" customHeight="1" x14ac:dyDescent="0.25">
      <c r="A299" s="25" t="s">
        <v>302</v>
      </c>
      <c r="B299" s="20">
        <v>9009</v>
      </c>
      <c r="C299" s="21">
        <v>1047</v>
      </c>
      <c r="D299" s="21">
        <v>9033</v>
      </c>
      <c r="E299" s="21">
        <v>5630</v>
      </c>
      <c r="F299" s="21">
        <v>4516</v>
      </c>
      <c r="G299" s="21">
        <v>6935</v>
      </c>
      <c r="H299" s="21">
        <v>9555</v>
      </c>
      <c r="I299" s="21">
        <v>2234</v>
      </c>
      <c r="J299" s="21">
        <v>2069</v>
      </c>
      <c r="K299" s="21">
        <v>1953</v>
      </c>
      <c r="L299" s="21">
        <v>1241</v>
      </c>
      <c r="M299" s="21">
        <v>7429</v>
      </c>
      <c r="N299" s="21">
        <v>3240</v>
      </c>
      <c r="O299" s="21">
        <v>4141</v>
      </c>
      <c r="P299" s="21">
        <v>195</v>
      </c>
      <c r="Q299" s="21">
        <v>4198</v>
      </c>
      <c r="R299" s="21">
        <v>9910</v>
      </c>
      <c r="S299" s="21">
        <v>1204</v>
      </c>
      <c r="T299" s="21">
        <v>9007</v>
      </c>
      <c r="U299" s="22">
        <v>6179</v>
      </c>
      <c r="W299" s="15"/>
      <c r="Z299"/>
      <c r="AA299"/>
    </row>
    <row r="300" spans="1:27" s="19" customFormat="1" ht="19.149999999999999" customHeight="1" x14ac:dyDescent="0.25">
      <c r="A300" s="25" t="s">
        <v>303</v>
      </c>
      <c r="B300" s="20">
        <v>5919</v>
      </c>
      <c r="C300" s="21">
        <v>4001</v>
      </c>
      <c r="D300" s="21">
        <v>1130</v>
      </c>
      <c r="E300" s="21">
        <v>7792</v>
      </c>
      <c r="F300" s="21">
        <v>8775</v>
      </c>
      <c r="G300" s="21">
        <v>6681</v>
      </c>
      <c r="H300" s="21">
        <v>7500</v>
      </c>
      <c r="I300" s="21">
        <v>7456</v>
      </c>
      <c r="J300" s="21">
        <v>3859</v>
      </c>
      <c r="K300" s="21">
        <v>29</v>
      </c>
      <c r="L300" s="21">
        <v>4235</v>
      </c>
      <c r="M300" s="21">
        <v>9116</v>
      </c>
      <c r="N300" s="21">
        <v>4071</v>
      </c>
      <c r="O300" s="21">
        <v>3903</v>
      </c>
      <c r="P300" s="21">
        <v>5617</v>
      </c>
      <c r="Q300" s="21">
        <v>5941</v>
      </c>
      <c r="R300" s="21">
        <v>6931</v>
      </c>
      <c r="S300" s="21">
        <v>7951</v>
      </c>
      <c r="T300" s="21">
        <v>6575</v>
      </c>
      <c r="U300" s="22">
        <v>8920</v>
      </c>
      <c r="W300" s="15"/>
      <c r="Z300"/>
      <c r="AA300"/>
    </row>
    <row r="301" spans="1:27" s="19" customFormat="1" ht="19.149999999999999" customHeight="1" x14ac:dyDescent="0.25">
      <c r="A301" s="25" t="s">
        <v>304</v>
      </c>
      <c r="B301" s="20">
        <v>5152</v>
      </c>
      <c r="C301" s="21">
        <v>5855</v>
      </c>
      <c r="D301" s="21">
        <v>8567</v>
      </c>
      <c r="E301" s="21">
        <v>2774</v>
      </c>
      <c r="F301" s="21">
        <v>9466</v>
      </c>
      <c r="G301" s="21">
        <v>6332</v>
      </c>
      <c r="H301" s="21">
        <v>6791</v>
      </c>
      <c r="I301" s="21">
        <v>2898</v>
      </c>
      <c r="J301" s="21">
        <v>5797</v>
      </c>
      <c r="K301" s="21">
        <v>7691</v>
      </c>
      <c r="L301" s="21">
        <v>9394</v>
      </c>
      <c r="M301" s="21">
        <v>2885</v>
      </c>
      <c r="N301" s="21">
        <v>5964</v>
      </c>
      <c r="O301" s="21">
        <v>6935</v>
      </c>
      <c r="P301" s="21">
        <v>1163</v>
      </c>
      <c r="Q301" s="21">
        <v>5173</v>
      </c>
      <c r="R301" s="21">
        <v>2986</v>
      </c>
      <c r="S301" s="21">
        <v>6523</v>
      </c>
      <c r="T301" s="21">
        <v>5121</v>
      </c>
      <c r="U301" s="22">
        <v>3958</v>
      </c>
      <c r="W301" s="15"/>
      <c r="Z301"/>
      <c r="AA301"/>
    </row>
    <row r="302" spans="1:27" s="19" customFormat="1" ht="19.149999999999999" customHeight="1" x14ac:dyDescent="0.25">
      <c r="A302" s="25" t="s">
        <v>305</v>
      </c>
      <c r="B302" s="20">
        <v>857</v>
      </c>
      <c r="C302" s="21">
        <v>9950</v>
      </c>
      <c r="D302" s="21">
        <v>9350</v>
      </c>
      <c r="E302" s="21">
        <v>2513</v>
      </c>
      <c r="F302" s="21">
        <v>3330</v>
      </c>
      <c r="G302" s="21">
        <v>9744</v>
      </c>
      <c r="H302" s="21">
        <v>3368</v>
      </c>
      <c r="I302" s="21">
        <v>3419</v>
      </c>
      <c r="J302" s="21">
        <v>198</v>
      </c>
      <c r="K302" s="21">
        <v>1589</v>
      </c>
      <c r="L302" s="21">
        <v>6136</v>
      </c>
      <c r="M302" s="21">
        <v>1636</v>
      </c>
      <c r="N302" s="21">
        <v>2560</v>
      </c>
      <c r="O302" s="21">
        <v>9516</v>
      </c>
      <c r="P302" s="21">
        <v>3453</v>
      </c>
      <c r="Q302" s="21">
        <v>3163</v>
      </c>
      <c r="R302" s="21">
        <v>6718</v>
      </c>
      <c r="S302" s="21">
        <v>6482</v>
      </c>
      <c r="T302" s="21">
        <v>846</v>
      </c>
      <c r="U302" s="22">
        <v>2857</v>
      </c>
      <c r="W302" s="15"/>
      <c r="Z302"/>
      <c r="AA302"/>
    </row>
    <row r="303" spans="1:27" s="19" customFormat="1" ht="19.149999999999999" customHeight="1" x14ac:dyDescent="0.25">
      <c r="A303" s="25" t="s">
        <v>306</v>
      </c>
      <c r="B303" s="20">
        <v>5524</v>
      </c>
      <c r="C303" s="21">
        <v>8424</v>
      </c>
      <c r="D303" s="21">
        <v>587</v>
      </c>
      <c r="E303" s="21">
        <v>5573</v>
      </c>
      <c r="F303" s="21">
        <v>6094</v>
      </c>
      <c r="G303" s="21">
        <v>9252</v>
      </c>
      <c r="H303" s="21">
        <v>4032</v>
      </c>
      <c r="I303" s="21">
        <v>9607</v>
      </c>
      <c r="J303" s="21">
        <v>7087</v>
      </c>
      <c r="K303" s="21">
        <v>709</v>
      </c>
      <c r="L303" s="21">
        <v>3838</v>
      </c>
      <c r="M303" s="21">
        <v>3726</v>
      </c>
      <c r="N303" s="21">
        <v>2573</v>
      </c>
      <c r="O303" s="21">
        <v>5926</v>
      </c>
      <c r="P303" s="21">
        <v>2757</v>
      </c>
      <c r="Q303" s="21">
        <v>1466</v>
      </c>
      <c r="R303" s="21">
        <v>1133</v>
      </c>
      <c r="S303" s="21">
        <v>8717</v>
      </c>
      <c r="T303" s="21">
        <v>1394</v>
      </c>
      <c r="U303" s="22">
        <v>3966</v>
      </c>
      <c r="W303" s="15"/>
      <c r="Z303"/>
      <c r="AA303"/>
    </row>
    <row r="304" spans="1:27" s="19" customFormat="1" ht="19.149999999999999" customHeight="1" x14ac:dyDescent="0.25">
      <c r="A304" s="25" t="s">
        <v>307</v>
      </c>
      <c r="B304" s="20">
        <v>3183</v>
      </c>
      <c r="C304" s="21">
        <v>8702</v>
      </c>
      <c r="D304" s="21">
        <v>9616</v>
      </c>
      <c r="E304" s="21">
        <v>5919</v>
      </c>
      <c r="F304" s="21">
        <v>5378</v>
      </c>
      <c r="G304" s="21">
        <v>7497</v>
      </c>
      <c r="H304" s="21">
        <v>6442</v>
      </c>
      <c r="I304" s="21">
        <v>4855</v>
      </c>
      <c r="J304" s="21">
        <v>2889</v>
      </c>
      <c r="K304" s="21">
        <v>4204</v>
      </c>
      <c r="L304" s="21">
        <v>2124</v>
      </c>
      <c r="M304" s="21">
        <v>9853</v>
      </c>
      <c r="N304" s="21">
        <v>3816</v>
      </c>
      <c r="O304" s="21">
        <v>1598</v>
      </c>
      <c r="P304" s="21">
        <v>1105</v>
      </c>
      <c r="Q304" s="21">
        <v>5429</v>
      </c>
      <c r="R304" s="21">
        <v>6615</v>
      </c>
      <c r="S304" s="21">
        <v>2798</v>
      </c>
      <c r="T304" s="21">
        <v>4871</v>
      </c>
      <c r="U304" s="22">
        <v>9313</v>
      </c>
      <c r="W304" s="15"/>
      <c r="Z304"/>
      <c r="AA304"/>
    </row>
    <row r="305" spans="1:27" s="19" customFormat="1" ht="19.149999999999999" customHeight="1" x14ac:dyDescent="0.25">
      <c r="A305" s="25" t="s">
        <v>308</v>
      </c>
      <c r="B305" s="20">
        <v>1485</v>
      </c>
      <c r="C305" s="21">
        <v>991</v>
      </c>
      <c r="D305" s="21">
        <v>5333</v>
      </c>
      <c r="E305" s="21">
        <v>9865</v>
      </c>
      <c r="F305" s="21">
        <v>2929</v>
      </c>
      <c r="G305" s="21">
        <v>7245</v>
      </c>
      <c r="H305" s="21">
        <v>7385</v>
      </c>
      <c r="I305" s="21">
        <v>9617</v>
      </c>
      <c r="J305" s="21">
        <v>1520</v>
      </c>
      <c r="K305" s="21">
        <v>7</v>
      </c>
      <c r="L305" s="21">
        <v>3916</v>
      </c>
      <c r="M305" s="21">
        <v>4626</v>
      </c>
      <c r="N305" s="21">
        <v>8391</v>
      </c>
      <c r="O305" s="21">
        <v>3902</v>
      </c>
      <c r="P305" s="21">
        <v>4183</v>
      </c>
      <c r="Q305" s="21">
        <v>9207</v>
      </c>
      <c r="R305" s="21">
        <v>6961</v>
      </c>
      <c r="S305" s="21">
        <v>9729</v>
      </c>
      <c r="T305" s="21">
        <v>6655</v>
      </c>
      <c r="U305" s="22">
        <v>4576</v>
      </c>
      <c r="W305" s="15"/>
      <c r="Z305"/>
      <c r="AA305"/>
    </row>
    <row r="306" spans="1:27" s="19" customFormat="1" ht="19.149999999999999" customHeight="1" x14ac:dyDescent="0.25">
      <c r="A306" s="25" t="s">
        <v>309</v>
      </c>
      <c r="B306" s="20">
        <v>4043</v>
      </c>
      <c r="C306" s="21">
        <v>7423</v>
      </c>
      <c r="D306" s="21">
        <v>8796</v>
      </c>
      <c r="E306" s="21">
        <v>1337</v>
      </c>
      <c r="F306" s="21">
        <v>2808</v>
      </c>
      <c r="G306" s="21">
        <v>2295</v>
      </c>
      <c r="H306" s="21">
        <v>3290</v>
      </c>
      <c r="I306" s="21">
        <v>5917</v>
      </c>
      <c r="J306" s="21">
        <v>5477</v>
      </c>
      <c r="K306" s="21">
        <v>7371</v>
      </c>
      <c r="L306" s="21">
        <v>6160</v>
      </c>
      <c r="M306" s="21">
        <v>6181</v>
      </c>
      <c r="N306" s="21">
        <v>6694</v>
      </c>
      <c r="O306" s="21">
        <v>4201</v>
      </c>
      <c r="P306" s="21">
        <v>2417</v>
      </c>
      <c r="Q306" s="21">
        <v>2015</v>
      </c>
      <c r="R306" s="21">
        <v>5475</v>
      </c>
      <c r="S306" s="21">
        <v>8182</v>
      </c>
      <c r="T306" s="21">
        <v>9174</v>
      </c>
      <c r="U306" s="22">
        <v>8674</v>
      </c>
      <c r="W306" s="15"/>
      <c r="Z306"/>
      <c r="AA306"/>
    </row>
    <row r="307" spans="1:27" s="19" customFormat="1" ht="19.149999999999999" customHeight="1" x14ac:dyDescent="0.25">
      <c r="A307" s="25" t="s">
        <v>310</v>
      </c>
      <c r="B307" s="20">
        <v>2540</v>
      </c>
      <c r="C307" s="21">
        <v>8965</v>
      </c>
      <c r="D307" s="21">
        <v>7517</v>
      </c>
      <c r="E307" s="21">
        <v>70</v>
      </c>
      <c r="F307" s="21">
        <v>3565</v>
      </c>
      <c r="G307" s="21">
        <v>9235</v>
      </c>
      <c r="H307" s="21">
        <v>5724</v>
      </c>
      <c r="I307" s="21">
        <v>2616</v>
      </c>
      <c r="J307" s="21">
        <v>1527</v>
      </c>
      <c r="K307" s="21">
        <v>6414</v>
      </c>
      <c r="L307" s="21">
        <v>2222</v>
      </c>
      <c r="M307" s="21">
        <v>2664</v>
      </c>
      <c r="N307" s="21">
        <v>7939</v>
      </c>
      <c r="O307" s="21">
        <v>4367</v>
      </c>
      <c r="P307" s="21">
        <v>6743</v>
      </c>
      <c r="Q307" s="21">
        <v>1883</v>
      </c>
      <c r="R307" s="21">
        <v>5686</v>
      </c>
      <c r="S307" s="21">
        <v>6158</v>
      </c>
      <c r="T307" s="21">
        <v>8040</v>
      </c>
      <c r="U307" s="22">
        <v>6531</v>
      </c>
      <c r="W307" s="15"/>
      <c r="Z307"/>
      <c r="AA307"/>
    </row>
    <row r="308" spans="1:27" s="19" customFormat="1" ht="19.149999999999999" customHeight="1" x14ac:dyDescent="0.25">
      <c r="A308" s="25" t="s">
        <v>311</v>
      </c>
      <c r="B308" s="20">
        <v>6586</v>
      </c>
      <c r="C308" s="21">
        <v>2528</v>
      </c>
      <c r="D308" s="21">
        <v>6069</v>
      </c>
      <c r="E308" s="21">
        <v>4889</v>
      </c>
      <c r="F308" s="21">
        <v>8969</v>
      </c>
      <c r="G308" s="21">
        <v>6820</v>
      </c>
      <c r="H308" s="21">
        <v>7926</v>
      </c>
      <c r="I308" s="21">
        <v>7002</v>
      </c>
      <c r="J308" s="21">
        <v>5321</v>
      </c>
      <c r="K308" s="21">
        <v>7022</v>
      </c>
      <c r="L308" s="21">
        <v>9202</v>
      </c>
      <c r="M308" s="21">
        <v>1352</v>
      </c>
      <c r="N308" s="21">
        <v>4398</v>
      </c>
      <c r="O308" s="21">
        <v>9595</v>
      </c>
      <c r="P308" s="21">
        <v>9738</v>
      </c>
      <c r="Q308" s="21">
        <v>4630</v>
      </c>
      <c r="R308" s="21">
        <v>9505</v>
      </c>
      <c r="S308" s="21">
        <v>2404</v>
      </c>
      <c r="T308" s="21">
        <v>4966</v>
      </c>
      <c r="U308" s="22">
        <v>2122</v>
      </c>
      <c r="W308" s="15"/>
      <c r="Z308"/>
      <c r="AA308"/>
    </row>
    <row r="309" spans="1:27" s="19" customFormat="1" ht="19.149999999999999" customHeight="1" x14ac:dyDescent="0.25">
      <c r="A309" s="25" t="s">
        <v>312</v>
      </c>
      <c r="B309" s="20">
        <v>3421</v>
      </c>
      <c r="C309" s="21">
        <v>8238</v>
      </c>
      <c r="D309" s="21">
        <v>2163</v>
      </c>
      <c r="E309" s="21">
        <v>6064</v>
      </c>
      <c r="F309" s="21">
        <v>3831</v>
      </c>
      <c r="G309" s="21">
        <v>8058</v>
      </c>
      <c r="H309" s="21">
        <v>9868</v>
      </c>
      <c r="I309" s="21">
        <v>1938</v>
      </c>
      <c r="J309" s="21">
        <v>3027</v>
      </c>
      <c r="K309" s="21">
        <v>8056</v>
      </c>
      <c r="L309" s="21">
        <v>841</v>
      </c>
      <c r="M309" s="21">
        <v>6378</v>
      </c>
      <c r="N309" s="21">
        <v>327</v>
      </c>
      <c r="O309" s="21">
        <v>9251</v>
      </c>
      <c r="P309" s="21">
        <v>428</v>
      </c>
      <c r="Q309" s="21">
        <v>4344</v>
      </c>
      <c r="R309" s="21">
        <v>8766</v>
      </c>
      <c r="S309" s="21">
        <v>2420</v>
      </c>
      <c r="T309" s="21">
        <v>7480</v>
      </c>
      <c r="U309" s="22">
        <v>6368</v>
      </c>
      <c r="W309" s="15"/>
      <c r="Z309"/>
      <c r="AA309"/>
    </row>
    <row r="310" spans="1:27" s="19" customFormat="1" ht="19.149999999999999" customHeight="1" x14ac:dyDescent="0.25">
      <c r="A310" s="25" t="s">
        <v>313</v>
      </c>
      <c r="B310" s="20">
        <v>3076</v>
      </c>
      <c r="C310" s="21">
        <v>8409</v>
      </c>
      <c r="D310" s="21">
        <v>5716</v>
      </c>
      <c r="E310" s="21">
        <v>294</v>
      </c>
      <c r="F310" s="21">
        <v>1411</v>
      </c>
      <c r="G310" s="21">
        <v>3390</v>
      </c>
      <c r="H310" s="21">
        <v>8775</v>
      </c>
      <c r="I310" s="21">
        <v>2206</v>
      </c>
      <c r="J310" s="21">
        <v>8255</v>
      </c>
      <c r="K310" s="21">
        <v>4450</v>
      </c>
      <c r="L310" s="21">
        <v>7630</v>
      </c>
      <c r="M310" s="21">
        <v>8442</v>
      </c>
      <c r="N310" s="21">
        <v>361</v>
      </c>
      <c r="O310" s="21">
        <v>7605</v>
      </c>
      <c r="P310" s="21">
        <v>9916</v>
      </c>
      <c r="Q310" s="21">
        <v>2002</v>
      </c>
      <c r="R310" s="21">
        <v>6080</v>
      </c>
      <c r="S310" s="21">
        <v>4722</v>
      </c>
      <c r="T310" s="21">
        <v>9500</v>
      </c>
      <c r="U310" s="22">
        <v>3038</v>
      </c>
      <c r="W310" s="15"/>
      <c r="Z310"/>
      <c r="AA310"/>
    </row>
    <row r="311" spans="1:27" s="19" customFormat="1" ht="19.149999999999999" customHeight="1" x14ac:dyDescent="0.25">
      <c r="A311" s="25" t="s">
        <v>314</v>
      </c>
      <c r="B311" s="20">
        <v>5742</v>
      </c>
      <c r="C311" s="21">
        <v>9406</v>
      </c>
      <c r="D311" s="21">
        <v>9488</v>
      </c>
      <c r="E311" s="21">
        <v>9711</v>
      </c>
      <c r="F311" s="21">
        <v>1726</v>
      </c>
      <c r="G311" s="21">
        <v>6167</v>
      </c>
      <c r="H311" s="21">
        <v>7491</v>
      </c>
      <c r="I311" s="21">
        <v>4757</v>
      </c>
      <c r="J311" s="21">
        <v>2367</v>
      </c>
      <c r="K311" s="21">
        <v>7557</v>
      </c>
      <c r="L311" s="21">
        <v>6966</v>
      </c>
      <c r="M311" s="21">
        <v>404</v>
      </c>
      <c r="N311" s="21">
        <v>4849</v>
      </c>
      <c r="O311" s="21">
        <v>4001</v>
      </c>
      <c r="P311" s="21">
        <v>9877</v>
      </c>
      <c r="Q311" s="21">
        <v>3743</v>
      </c>
      <c r="R311" s="21">
        <v>102</v>
      </c>
      <c r="S311" s="21">
        <v>1252</v>
      </c>
      <c r="T311" s="21">
        <v>9731</v>
      </c>
      <c r="U311" s="22">
        <v>6580</v>
      </c>
      <c r="W311" s="15"/>
      <c r="Z311"/>
      <c r="AA311"/>
    </row>
    <row r="312" spans="1:27" s="19" customFormat="1" ht="19.149999999999999" customHeight="1" x14ac:dyDescent="0.25">
      <c r="A312" s="25" t="s">
        <v>315</v>
      </c>
      <c r="B312" s="20">
        <v>6331</v>
      </c>
      <c r="C312" s="21">
        <v>6420</v>
      </c>
      <c r="D312" s="21">
        <v>2257</v>
      </c>
      <c r="E312" s="21">
        <v>850</v>
      </c>
      <c r="F312" s="21">
        <v>9463</v>
      </c>
      <c r="G312" s="21">
        <v>1187</v>
      </c>
      <c r="H312" s="21">
        <v>758</v>
      </c>
      <c r="I312" s="21">
        <v>5056</v>
      </c>
      <c r="J312" s="21">
        <v>8278</v>
      </c>
      <c r="K312" s="21">
        <v>3014</v>
      </c>
      <c r="L312" s="21">
        <v>2214</v>
      </c>
      <c r="M312" s="21">
        <v>4844</v>
      </c>
      <c r="N312" s="21">
        <v>4212</v>
      </c>
      <c r="O312" s="21">
        <v>3461</v>
      </c>
      <c r="P312" s="21">
        <v>4565</v>
      </c>
      <c r="Q312" s="21">
        <v>1303</v>
      </c>
      <c r="R312" s="21">
        <v>6186</v>
      </c>
      <c r="S312" s="21">
        <v>5100</v>
      </c>
      <c r="T312" s="21">
        <v>7998</v>
      </c>
      <c r="U312" s="22">
        <v>2439</v>
      </c>
      <c r="W312" s="15"/>
      <c r="Z312"/>
      <c r="AA312"/>
    </row>
    <row r="313" spans="1:27" s="19" customFormat="1" ht="19.149999999999999" customHeight="1" x14ac:dyDescent="0.25">
      <c r="A313" s="25" t="s">
        <v>316</v>
      </c>
      <c r="B313" s="20">
        <v>5706</v>
      </c>
      <c r="C313" s="21">
        <v>7647</v>
      </c>
      <c r="D313" s="21">
        <v>3554</v>
      </c>
      <c r="E313" s="21">
        <v>5546</v>
      </c>
      <c r="F313" s="21">
        <v>7006</v>
      </c>
      <c r="G313" s="21">
        <v>2925</v>
      </c>
      <c r="H313" s="21">
        <v>5287</v>
      </c>
      <c r="I313" s="21">
        <v>6580</v>
      </c>
      <c r="J313" s="21">
        <v>5197</v>
      </c>
      <c r="K313" s="21">
        <v>6182</v>
      </c>
      <c r="L313" s="21">
        <v>3150</v>
      </c>
      <c r="M313" s="21">
        <v>3839</v>
      </c>
      <c r="N313" s="21">
        <v>9910</v>
      </c>
      <c r="O313" s="21">
        <v>8567</v>
      </c>
      <c r="P313" s="21">
        <v>5916</v>
      </c>
      <c r="Q313" s="21">
        <v>8299</v>
      </c>
      <c r="R313" s="21">
        <v>6016</v>
      </c>
      <c r="S313" s="21">
        <v>4173</v>
      </c>
      <c r="T313" s="21">
        <v>5654</v>
      </c>
      <c r="U313" s="22">
        <v>4412</v>
      </c>
      <c r="W313" s="15"/>
      <c r="Z313"/>
      <c r="AA313"/>
    </row>
    <row r="314" spans="1:27" s="19" customFormat="1" ht="19.149999999999999" customHeight="1" x14ac:dyDescent="0.25">
      <c r="A314" s="25" t="s">
        <v>317</v>
      </c>
      <c r="B314" s="20">
        <v>9214</v>
      </c>
      <c r="C314" s="21">
        <v>323</v>
      </c>
      <c r="D314" s="21">
        <v>2333</v>
      </c>
      <c r="E314" s="21">
        <v>465</v>
      </c>
      <c r="F314" s="21">
        <v>7901</v>
      </c>
      <c r="G314" s="21">
        <v>2268</v>
      </c>
      <c r="H314" s="21">
        <v>5598</v>
      </c>
      <c r="I314" s="21">
        <v>3662</v>
      </c>
      <c r="J314" s="21">
        <v>9343</v>
      </c>
      <c r="K314" s="21">
        <v>4463</v>
      </c>
      <c r="L314" s="21">
        <v>9898</v>
      </c>
      <c r="M314" s="21">
        <v>603</v>
      </c>
      <c r="N314" s="21">
        <v>7853</v>
      </c>
      <c r="O314" s="21">
        <v>3137</v>
      </c>
      <c r="P314" s="21">
        <v>3475</v>
      </c>
      <c r="Q314" s="21">
        <v>6091</v>
      </c>
      <c r="R314" s="21">
        <v>2849</v>
      </c>
      <c r="S314" s="21">
        <v>6059</v>
      </c>
      <c r="T314" s="21">
        <v>1188</v>
      </c>
      <c r="U314" s="22">
        <v>1475</v>
      </c>
      <c r="W314" s="15"/>
      <c r="Z314"/>
      <c r="AA314"/>
    </row>
    <row r="315" spans="1:27" s="19" customFormat="1" ht="19.149999999999999" customHeight="1" x14ac:dyDescent="0.25">
      <c r="A315" s="25" t="s">
        <v>318</v>
      </c>
      <c r="B315" s="20">
        <v>4247</v>
      </c>
      <c r="C315" s="21">
        <v>705</v>
      </c>
      <c r="D315" s="21">
        <v>9319</v>
      </c>
      <c r="E315" s="21">
        <v>6159</v>
      </c>
      <c r="F315" s="21">
        <v>1922</v>
      </c>
      <c r="G315" s="21">
        <v>4185</v>
      </c>
      <c r="H315" s="21">
        <v>3856</v>
      </c>
      <c r="I315" s="21">
        <v>9524</v>
      </c>
      <c r="J315" s="21">
        <v>5905</v>
      </c>
      <c r="K315" s="21">
        <v>2895</v>
      </c>
      <c r="L315" s="21">
        <v>1369</v>
      </c>
      <c r="M315" s="21">
        <v>3321</v>
      </c>
      <c r="N315" s="21">
        <v>922</v>
      </c>
      <c r="O315" s="21">
        <v>8614</v>
      </c>
      <c r="P315" s="21">
        <v>7786</v>
      </c>
      <c r="Q315" s="21">
        <v>3274</v>
      </c>
      <c r="R315" s="21">
        <v>2817</v>
      </c>
      <c r="S315" s="21">
        <v>1910</v>
      </c>
      <c r="T315" s="21">
        <v>1985</v>
      </c>
      <c r="U315" s="22">
        <v>6276</v>
      </c>
      <c r="W315" s="15"/>
      <c r="Z315"/>
      <c r="AA315"/>
    </row>
    <row r="316" spans="1:27" s="19" customFormat="1" ht="19.149999999999999" customHeight="1" x14ac:dyDescent="0.25">
      <c r="A316" s="25" t="s">
        <v>319</v>
      </c>
      <c r="B316" s="20">
        <v>5721</v>
      </c>
      <c r="C316" s="21">
        <v>9796</v>
      </c>
      <c r="D316" s="21">
        <v>4982</v>
      </c>
      <c r="E316" s="21">
        <v>8631</v>
      </c>
      <c r="F316" s="21">
        <v>9566</v>
      </c>
      <c r="G316" s="21">
        <v>5433</v>
      </c>
      <c r="H316" s="21">
        <v>3942</v>
      </c>
      <c r="I316" s="21">
        <v>7091</v>
      </c>
      <c r="J316" s="21">
        <v>5730</v>
      </c>
      <c r="K316" s="21">
        <v>46</v>
      </c>
      <c r="L316" s="21">
        <v>6757</v>
      </c>
      <c r="M316" s="21">
        <v>2997</v>
      </c>
      <c r="N316" s="21">
        <v>1153</v>
      </c>
      <c r="O316" s="21">
        <v>4802</v>
      </c>
      <c r="P316" s="21">
        <v>7574</v>
      </c>
      <c r="Q316" s="21">
        <v>2286</v>
      </c>
      <c r="R316" s="21">
        <v>9987</v>
      </c>
      <c r="S316" s="21">
        <v>9751</v>
      </c>
      <c r="T316" s="21">
        <v>7002</v>
      </c>
      <c r="U316" s="22">
        <v>9609</v>
      </c>
      <c r="W316" s="15"/>
      <c r="Z316"/>
      <c r="AA316"/>
    </row>
    <row r="317" spans="1:27" s="19" customFormat="1" ht="19.149999999999999" customHeight="1" x14ac:dyDescent="0.25">
      <c r="A317" s="25" t="s">
        <v>320</v>
      </c>
      <c r="B317" s="20">
        <v>7650</v>
      </c>
      <c r="C317" s="21">
        <v>1782</v>
      </c>
      <c r="D317" s="21">
        <v>3130</v>
      </c>
      <c r="E317" s="21">
        <v>3283</v>
      </c>
      <c r="F317" s="21">
        <v>5682</v>
      </c>
      <c r="G317" s="21">
        <v>805</v>
      </c>
      <c r="H317" s="21">
        <v>1581</v>
      </c>
      <c r="I317" s="21">
        <v>3320</v>
      </c>
      <c r="J317" s="21">
        <v>271</v>
      </c>
      <c r="K317" s="21">
        <v>2097</v>
      </c>
      <c r="L317" s="21">
        <v>3278</v>
      </c>
      <c r="M317" s="21">
        <v>654</v>
      </c>
      <c r="N317" s="21">
        <v>6683</v>
      </c>
      <c r="O317" s="21">
        <v>375</v>
      </c>
      <c r="P317" s="21">
        <v>4787</v>
      </c>
      <c r="Q317" s="21">
        <v>5677</v>
      </c>
      <c r="R317" s="21">
        <v>2475</v>
      </c>
      <c r="S317" s="21">
        <v>4118</v>
      </c>
      <c r="T317" s="21">
        <v>5288</v>
      </c>
      <c r="U317" s="22">
        <v>9354</v>
      </c>
      <c r="W317" s="15"/>
      <c r="Z317"/>
      <c r="AA317"/>
    </row>
    <row r="318" spans="1:27" s="19" customFormat="1" ht="19.149999999999999" customHeight="1" x14ac:dyDescent="0.25">
      <c r="A318" s="25" t="s">
        <v>321</v>
      </c>
      <c r="B318" s="20">
        <v>2917</v>
      </c>
      <c r="C318" s="21">
        <v>9101</v>
      </c>
      <c r="D318" s="21">
        <v>7009</v>
      </c>
      <c r="E318" s="21">
        <v>8866</v>
      </c>
      <c r="F318" s="21">
        <v>6830</v>
      </c>
      <c r="G318" s="21">
        <v>8745</v>
      </c>
      <c r="H318" s="21">
        <v>3596</v>
      </c>
      <c r="I318" s="21">
        <v>4010</v>
      </c>
      <c r="J318" s="21">
        <v>8649</v>
      </c>
      <c r="K318" s="21">
        <v>3650</v>
      </c>
      <c r="L318" s="21">
        <v>2411</v>
      </c>
      <c r="M318" s="21">
        <v>8941</v>
      </c>
      <c r="N318" s="21">
        <v>954</v>
      </c>
      <c r="O318" s="21">
        <v>5298</v>
      </c>
      <c r="P318" s="21">
        <v>7104</v>
      </c>
      <c r="Q318" s="21">
        <v>3354</v>
      </c>
      <c r="R318" s="21">
        <v>3948</v>
      </c>
      <c r="S318" s="21">
        <v>450</v>
      </c>
      <c r="T318" s="21">
        <v>3169</v>
      </c>
      <c r="U318" s="22">
        <v>7935</v>
      </c>
      <c r="W318" s="15"/>
      <c r="Z318"/>
      <c r="AA318"/>
    </row>
    <row r="319" spans="1:27" s="19" customFormat="1" ht="19.149999999999999" customHeight="1" x14ac:dyDescent="0.25">
      <c r="A319" s="25" t="s">
        <v>322</v>
      </c>
      <c r="B319" s="20">
        <v>9949</v>
      </c>
      <c r="C319" s="21">
        <v>8408</v>
      </c>
      <c r="D319" s="21">
        <v>8557</v>
      </c>
      <c r="E319" s="21">
        <v>6795</v>
      </c>
      <c r="F319" s="21">
        <v>8131</v>
      </c>
      <c r="G319" s="21">
        <v>2990</v>
      </c>
      <c r="H319" s="21">
        <v>9433</v>
      </c>
      <c r="I319" s="21">
        <v>1392</v>
      </c>
      <c r="J319" s="21">
        <v>1518</v>
      </c>
      <c r="K319" s="21">
        <v>4230</v>
      </c>
      <c r="L319" s="21">
        <v>6940</v>
      </c>
      <c r="M319" s="21">
        <v>4</v>
      </c>
      <c r="N319" s="21">
        <v>7118</v>
      </c>
      <c r="O319" s="21">
        <v>8896</v>
      </c>
      <c r="P319" s="21">
        <v>2613</v>
      </c>
      <c r="Q319" s="21">
        <v>1452</v>
      </c>
      <c r="R319" s="21">
        <v>174</v>
      </c>
      <c r="S319" s="21">
        <v>1362</v>
      </c>
      <c r="T319" s="21">
        <v>8068</v>
      </c>
      <c r="U319" s="22">
        <v>4956</v>
      </c>
      <c r="W319" s="15"/>
      <c r="Z319"/>
      <c r="AA319"/>
    </row>
    <row r="320" spans="1:27" s="19" customFormat="1" ht="19.149999999999999" customHeight="1" x14ac:dyDescent="0.25">
      <c r="A320" s="25" t="s">
        <v>323</v>
      </c>
      <c r="B320" s="20">
        <v>4342</v>
      </c>
      <c r="C320" s="21">
        <v>1008</v>
      </c>
      <c r="D320" s="21">
        <v>5090</v>
      </c>
      <c r="E320" s="21">
        <v>2738</v>
      </c>
      <c r="F320" s="21">
        <v>6867</v>
      </c>
      <c r="G320" s="21">
        <v>6885</v>
      </c>
      <c r="H320" s="21">
        <v>1492</v>
      </c>
      <c r="I320" s="21">
        <v>3409</v>
      </c>
      <c r="J320" s="21">
        <v>137</v>
      </c>
      <c r="K320" s="21">
        <v>4240</v>
      </c>
      <c r="L320" s="21">
        <v>4170</v>
      </c>
      <c r="M320" s="21">
        <v>1969</v>
      </c>
      <c r="N320" s="21">
        <v>233</v>
      </c>
      <c r="O320" s="21">
        <v>7727</v>
      </c>
      <c r="P320" s="21">
        <v>8535</v>
      </c>
      <c r="Q320" s="21">
        <v>9931</v>
      </c>
      <c r="R320" s="21">
        <v>2426</v>
      </c>
      <c r="S320" s="21">
        <v>5369</v>
      </c>
      <c r="T320" s="21">
        <v>4513</v>
      </c>
      <c r="U320" s="22">
        <v>4488</v>
      </c>
      <c r="W320" s="15"/>
      <c r="Z320"/>
      <c r="AA320"/>
    </row>
    <row r="321" spans="1:27" s="19" customFormat="1" ht="19.149999999999999" customHeight="1" x14ac:dyDescent="0.25">
      <c r="A321" s="25" t="s">
        <v>324</v>
      </c>
      <c r="B321" s="20">
        <v>3585</v>
      </c>
      <c r="C321" s="21">
        <v>2019</v>
      </c>
      <c r="D321" s="21">
        <v>2926</v>
      </c>
      <c r="E321" s="21">
        <v>1967</v>
      </c>
      <c r="F321" s="21">
        <v>7862</v>
      </c>
      <c r="G321" s="21">
        <v>4826</v>
      </c>
      <c r="H321" s="21">
        <v>7957</v>
      </c>
      <c r="I321" s="21">
        <v>8263</v>
      </c>
      <c r="J321" s="21">
        <v>9523</v>
      </c>
      <c r="K321" s="21">
        <v>6864</v>
      </c>
      <c r="L321" s="21">
        <v>4821</v>
      </c>
      <c r="M321" s="21">
        <v>671</v>
      </c>
      <c r="N321" s="21">
        <v>8778</v>
      </c>
      <c r="O321" s="21">
        <v>450</v>
      </c>
      <c r="P321" s="21">
        <v>6652</v>
      </c>
      <c r="Q321" s="21">
        <v>8059</v>
      </c>
      <c r="R321" s="21">
        <v>8511</v>
      </c>
      <c r="S321" s="21">
        <v>8524</v>
      </c>
      <c r="T321" s="21">
        <v>2542</v>
      </c>
      <c r="U321" s="22">
        <v>8426</v>
      </c>
      <c r="W321" s="15"/>
      <c r="Z321"/>
      <c r="AA321"/>
    </row>
    <row r="322" spans="1:27" s="19" customFormat="1" ht="19.149999999999999" customHeight="1" x14ac:dyDescent="0.25">
      <c r="A322" s="25" t="s">
        <v>325</v>
      </c>
      <c r="B322" s="20">
        <v>1953</v>
      </c>
      <c r="C322" s="21">
        <v>2917</v>
      </c>
      <c r="D322" s="21">
        <v>6803</v>
      </c>
      <c r="E322" s="21">
        <v>9311</v>
      </c>
      <c r="F322" s="21">
        <v>1485</v>
      </c>
      <c r="G322" s="21">
        <v>138</v>
      </c>
      <c r="H322" s="21">
        <v>8697</v>
      </c>
      <c r="I322" s="21">
        <v>7716</v>
      </c>
      <c r="J322" s="21">
        <v>4132</v>
      </c>
      <c r="K322" s="21">
        <v>2383</v>
      </c>
      <c r="L322" s="21">
        <v>7754</v>
      </c>
      <c r="M322" s="21">
        <v>5415</v>
      </c>
      <c r="N322" s="21">
        <v>7473</v>
      </c>
      <c r="O322" s="21">
        <v>9988</v>
      </c>
      <c r="P322" s="21">
        <v>4804</v>
      </c>
      <c r="Q322" s="21">
        <v>7514</v>
      </c>
      <c r="R322" s="21">
        <v>6900</v>
      </c>
      <c r="S322" s="21">
        <v>7393</v>
      </c>
      <c r="T322" s="21">
        <v>6520</v>
      </c>
      <c r="U322" s="22">
        <v>9936</v>
      </c>
      <c r="W322" s="15"/>
      <c r="Z322"/>
      <c r="AA322"/>
    </row>
    <row r="323" spans="1:27" s="19" customFormat="1" ht="19.149999999999999" customHeight="1" x14ac:dyDescent="0.25">
      <c r="A323" s="25" t="s">
        <v>326</v>
      </c>
      <c r="B323" s="20">
        <v>4404</v>
      </c>
      <c r="C323" s="21">
        <v>2651</v>
      </c>
      <c r="D323" s="21">
        <v>5411</v>
      </c>
      <c r="E323" s="21">
        <v>7214</v>
      </c>
      <c r="F323" s="21">
        <v>5671</v>
      </c>
      <c r="G323" s="21">
        <v>3516</v>
      </c>
      <c r="H323" s="21">
        <v>755</v>
      </c>
      <c r="I323" s="21">
        <v>847</v>
      </c>
      <c r="J323" s="21">
        <v>5155</v>
      </c>
      <c r="K323" s="21">
        <v>4860</v>
      </c>
      <c r="L323" s="21">
        <v>9572</v>
      </c>
      <c r="M323" s="21">
        <v>1226</v>
      </c>
      <c r="N323" s="21">
        <v>9155</v>
      </c>
      <c r="O323" s="21">
        <v>9890</v>
      </c>
      <c r="P323" s="21">
        <v>4743</v>
      </c>
      <c r="Q323" s="21">
        <v>4715</v>
      </c>
      <c r="R323" s="21">
        <v>9424</v>
      </c>
      <c r="S323" s="21">
        <v>3843</v>
      </c>
      <c r="T323" s="21">
        <v>6500</v>
      </c>
      <c r="U323" s="22">
        <v>9040</v>
      </c>
      <c r="W323" s="15"/>
      <c r="Z323"/>
      <c r="AA323"/>
    </row>
    <row r="324" spans="1:27" s="19" customFormat="1" ht="19.149999999999999" customHeight="1" x14ac:dyDescent="0.25">
      <c r="A324" s="25" t="s">
        <v>327</v>
      </c>
      <c r="B324" s="20">
        <v>83</v>
      </c>
      <c r="C324" s="21">
        <v>9074</v>
      </c>
      <c r="D324" s="21">
        <v>4827</v>
      </c>
      <c r="E324" s="21">
        <v>3947</v>
      </c>
      <c r="F324" s="21">
        <v>4710</v>
      </c>
      <c r="G324" s="21">
        <v>4238</v>
      </c>
      <c r="H324" s="21">
        <v>678</v>
      </c>
      <c r="I324" s="21">
        <v>9518</v>
      </c>
      <c r="J324" s="21">
        <v>2233</v>
      </c>
      <c r="K324" s="21">
        <v>2914</v>
      </c>
      <c r="L324" s="21">
        <v>884</v>
      </c>
      <c r="M324" s="21">
        <v>9586</v>
      </c>
      <c r="N324" s="21">
        <v>8441</v>
      </c>
      <c r="O324" s="21">
        <v>9913</v>
      </c>
      <c r="P324" s="21">
        <v>5523</v>
      </c>
      <c r="Q324" s="21">
        <v>8128</v>
      </c>
      <c r="R324" s="21">
        <v>1835</v>
      </c>
      <c r="S324" s="21">
        <v>8485</v>
      </c>
      <c r="T324" s="21">
        <v>2726</v>
      </c>
      <c r="U324" s="22">
        <v>6128</v>
      </c>
      <c r="W324" s="15"/>
      <c r="Z324"/>
      <c r="AA324"/>
    </row>
    <row r="325" spans="1:27" s="19" customFormat="1" ht="19.149999999999999" customHeight="1" x14ac:dyDescent="0.25">
      <c r="A325" s="25" t="s">
        <v>328</v>
      </c>
      <c r="B325" s="20">
        <v>5009</v>
      </c>
      <c r="C325" s="21">
        <v>8987</v>
      </c>
      <c r="D325" s="21">
        <v>2144</v>
      </c>
      <c r="E325" s="21">
        <v>2202</v>
      </c>
      <c r="F325" s="21">
        <v>3457</v>
      </c>
      <c r="G325" s="21">
        <v>7464</v>
      </c>
      <c r="H325" s="21">
        <v>2295</v>
      </c>
      <c r="I325" s="21">
        <v>5650</v>
      </c>
      <c r="J325" s="21">
        <v>7124</v>
      </c>
      <c r="K325" s="21">
        <v>3548</v>
      </c>
      <c r="L325" s="21">
        <v>4260</v>
      </c>
      <c r="M325" s="21">
        <v>8854</v>
      </c>
      <c r="N325" s="21">
        <v>6835</v>
      </c>
      <c r="O325" s="21">
        <v>1535</v>
      </c>
      <c r="P325" s="21">
        <v>4014</v>
      </c>
      <c r="Q325" s="21">
        <v>5608</v>
      </c>
      <c r="R325" s="21">
        <v>4516</v>
      </c>
      <c r="S325" s="21">
        <v>300</v>
      </c>
      <c r="T325" s="21">
        <v>4700</v>
      </c>
      <c r="U325" s="22">
        <v>2913</v>
      </c>
      <c r="W325" s="15"/>
      <c r="Z325"/>
      <c r="AA325"/>
    </row>
    <row r="326" spans="1:27" s="19" customFormat="1" ht="19.149999999999999" customHeight="1" x14ac:dyDescent="0.25">
      <c r="A326" s="25" t="s">
        <v>329</v>
      </c>
      <c r="B326" s="20">
        <v>9346</v>
      </c>
      <c r="C326" s="21">
        <v>2726</v>
      </c>
      <c r="D326" s="21">
        <v>8693</v>
      </c>
      <c r="E326" s="21">
        <v>6746</v>
      </c>
      <c r="F326" s="21">
        <v>7140</v>
      </c>
      <c r="G326" s="21">
        <v>4167</v>
      </c>
      <c r="H326" s="21">
        <v>2804</v>
      </c>
      <c r="I326" s="21">
        <v>4586</v>
      </c>
      <c r="J326" s="21">
        <v>5660</v>
      </c>
      <c r="K326" s="21">
        <v>7620</v>
      </c>
      <c r="L326" s="21">
        <v>2429</v>
      </c>
      <c r="M326" s="21">
        <v>9094</v>
      </c>
      <c r="N326" s="21">
        <v>381</v>
      </c>
      <c r="O326" s="21">
        <v>7401</v>
      </c>
      <c r="P326" s="21">
        <v>5958</v>
      </c>
      <c r="Q326" s="21">
        <v>1300</v>
      </c>
      <c r="R326" s="21">
        <v>3851</v>
      </c>
      <c r="S326" s="21">
        <v>5856</v>
      </c>
      <c r="T326" s="21">
        <v>8943</v>
      </c>
      <c r="U326" s="22">
        <v>9160</v>
      </c>
      <c r="W326" s="15"/>
      <c r="Z326"/>
      <c r="AA326"/>
    </row>
    <row r="327" spans="1:27" s="19" customFormat="1" ht="19.149999999999999" customHeight="1" x14ac:dyDescent="0.25">
      <c r="A327" s="25" t="s">
        <v>330</v>
      </c>
      <c r="B327" s="20">
        <v>1040</v>
      </c>
      <c r="C327" s="21">
        <v>7920</v>
      </c>
      <c r="D327" s="21">
        <v>9924</v>
      </c>
      <c r="E327" s="21">
        <v>456</v>
      </c>
      <c r="F327" s="21">
        <v>6166</v>
      </c>
      <c r="G327" s="21">
        <v>8424</v>
      </c>
      <c r="H327" s="21">
        <v>1845</v>
      </c>
      <c r="I327" s="21">
        <v>1313</v>
      </c>
      <c r="J327" s="21">
        <v>2567</v>
      </c>
      <c r="K327" s="21">
        <v>2690</v>
      </c>
      <c r="L327" s="21">
        <v>2338</v>
      </c>
      <c r="M327" s="21">
        <v>3479</v>
      </c>
      <c r="N327" s="21">
        <v>9452</v>
      </c>
      <c r="O327" s="21">
        <v>9430</v>
      </c>
      <c r="P327" s="21">
        <v>3437</v>
      </c>
      <c r="Q327" s="21">
        <v>8602</v>
      </c>
      <c r="R327" s="21">
        <v>4206</v>
      </c>
      <c r="S327" s="21">
        <v>173</v>
      </c>
      <c r="T327" s="21">
        <v>3752</v>
      </c>
      <c r="U327" s="22">
        <v>3244</v>
      </c>
      <c r="W327" s="15"/>
      <c r="Z327"/>
      <c r="AA327"/>
    </row>
    <row r="328" spans="1:27" s="19" customFormat="1" ht="19.149999999999999" customHeight="1" x14ac:dyDescent="0.25">
      <c r="A328" s="25" t="s">
        <v>331</v>
      </c>
      <c r="B328" s="20">
        <v>4354</v>
      </c>
      <c r="C328" s="21">
        <v>7598</v>
      </c>
      <c r="D328" s="21">
        <v>8840</v>
      </c>
      <c r="E328" s="21">
        <v>188</v>
      </c>
      <c r="F328" s="21">
        <v>8073</v>
      </c>
      <c r="G328" s="21">
        <v>2931</v>
      </c>
      <c r="H328" s="21">
        <v>5843</v>
      </c>
      <c r="I328" s="21">
        <v>8836</v>
      </c>
      <c r="J328" s="21">
        <v>9018</v>
      </c>
      <c r="K328" s="21">
        <v>4323</v>
      </c>
      <c r="L328" s="21">
        <v>5992</v>
      </c>
      <c r="M328" s="21">
        <v>4750</v>
      </c>
      <c r="N328" s="21">
        <v>5690</v>
      </c>
      <c r="O328" s="21">
        <v>1278</v>
      </c>
      <c r="P328" s="21">
        <v>204</v>
      </c>
      <c r="Q328" s="21">
        <v>2101</v>
      </c>
      <c r="R328" s="21">
        <v>9618</v>
      </c>
      <c r="S328" s="21">
        <v>6487</v>
      </c>
      <c r="T328" s="21">
        <v>8227</v>
      </c>
      <c r="U328" s="22">
        <v>317</v>
      </c>
      <c r="W328" s="15"/>
      <c r="Z328"/>
      <c r="AA328"/>
    </row>
    <row r="329" spans="1:27" s="19" customFormat="1" ht="19.149999999999999" customHeight="1" x14ac:dyDescent="0.25">
      <c r="A329" s="25" t="s">
        <v>332</v>
      </c>
      <c r="B329" s="20">
        <v>9375</v>
      </c>
      <c r="C329" s="21">
        <v>5403</v>
      </c>
      <c r="D329" s="21">
        <v>7555</v>
      </c>
      <c r="E329" s="21">
        <v>9685</v>
      </c>
      <c r="F329" s="21">
        <v>1022</v>
      </c>
      <c r="G329" s="21">
        <v>2337</v>
      </c>
      <c r="H329" s="21">
        <v>6381</v>
      </c>
      <c r="I329" s="21">
        <v>8884</v>
      </c>
      <c r="J329" s="21">
        <v>3548</v>
      </c>
      <c r="K329" s="21">
        <v>9278</v>
      </c>
      <c r="L329" s="21">
        <v>2024</v>
      </c>
      <c r="M329" s="21">
        <v>9761</v>
      </c>
      <c r="N329" s="21">
        <v>5485</v>
      </c>
      <c r="O329" s="21">
        <v>8460</v>
      </c>
      <c r="P329" s="21">
        <v>2881</v>
      </c>
      <c r="Q329" s="21">
        <v>2530</v>
      </c>
      <c r="R329" s="21">
        <v>2025</v>
      </c>
      <c r="S329" s="21">
        <v>926</v>
      </c>
      <c r="T329" s="21">
        <v>7523</v>
      </c>
      <c r="U329" s="22">
        <v>1450</v>
      </c>
      <c r="W329" s="15"/>
      <c r="Z329"/>
      <c r="AA329"/>
    </row>
    <row r="330" spans="1:27" s="19" customFormat="1" ht="19.149999999999999" customHeight="1" x14ac:dyDescent="0.25">
      <c r="A330" s="25" t="s">
        <v>333</v>
      </c>
      <c r="B330" s="20">
        <v>5632</v>
      </c>
      <c r="C330" s="21">
        <v>7848</v>
      </c>
      <c r="D330" s="21">
        <v>4268</v>
      </c>
      <c r="E330" s="21">
        <v>7610</v>
      </c>
      <c r="F330" s="21">
        <v>4751</v>
      </c>
      <c r="G330" s="21">
        <v>773</v>
      </c>
      <c r="H330" s="21">
        <v>7644</v>
      </c>
      <c r="I330" s="21">
        <v>1307</v>
      </c>
      <c r="J330" s="21">
        <v>8346</v>
      </c>
      <c r="K330" s="21">
        <v>879</v>
      </c>
      <c r="L330" s="21">
        <v>9709</v>
      </c>
      <c r="M330" s="21">
        <v>8375</v>
      </c>
      <c r="N330" s="21">
        <v>7445</v>
      </c>
      <c r="O330" s="21">
        <v>8015</v>
      </c>
      <c r="P330" s="21">
        <v>2771</v>
      </c>
      <c r="Q330" s="21">
        <v>5508</v>
      </c>
      <c r="R330" s="21">
        <v>3633</v>
      </c>
      <c r="S330" s="21">
        <v>3953</v>
      </c>
      <c r="T330" s="21">
        <v>3722</v>
      </c>
      <c r="U330" s="22">
        <v>988</v>
      </c>
      <c r="W330" s="15"/>
      <c r="Z330"/>
      <c r="AA330"/>
    </row>
    <row r="331" spans="1:27" s="19" customFormat="1" ht="19.149999999999999" customHeight="1" x14ac:dyDescent="0.25">
      <c r="A331" s="25" t="s">
        <v>334</v>
      </c>
      <c r="B331" s="20">
        <v>4543</v>
      </c>
      <c r="C331" s="21">
        <v>7832</v>
      </c>
      <c r="D331" s="21">
        <v>2509</v>
      </c>
      <c r="E331" s="21">
        <v>1055</v>
      </c>
      <c r="F331" s="21">
        <v>175</v>
      </c>
      <c r="G331" s="21">
        <v>3704</v>
      </c>
      <c r="H331" s="21">
        <v>4023</v>
      </c>
      <c r="I331" s="21">
        <v>8424</v>
      </c>
      <c r="J331" s="21">
        <v>1874</v>
      </c>
      <c r="K331" s="21">
        <v>6797</v>
      </c>
      <c r="L331" s="21">
        <v>4260</v>
      </c>
      <c r="M331" s="21">
        <v>3545</v>
      </c>
      <c r="N331" s="21">
        <v>3168</v>
      </c>
      <c r="O331" s="21">
        <v>4811</v>
      </c>
      <c r="P331" s="21">
        <v>9203</v>
      </c>
      <c r="Q331" s="21">
        <v>9737</v>
      </c>
      <c r="R331" s="21">
        <v>1159</v>
      </c>
      <c r="S331" s="21">
        <v>5772</v>
      </c>
      <c r="T331" s="21">
        <v>436</v>
      </c>
      <c r="U331" s="22">
        <v>4026</v>
      </c>
      <c r="W331" s="15"/>
      <c r="Z331"/>
      <c r="AA331"/>
    </row>
    <row r="332" spans="1:27" s="19" customFormat="1" ht="19.149999999999999" customHeight="1" x14ac:dyDescent="0.25">
      <c r="A332" s="25" t="s">
        <v>335</v>
      </c>
      <c r="B332" s="20">
        <v>9377</v>
      </c>
      <c r="C332" s="21">
        <v>7691</v>
      </c>
      <c r="D332" s="21">
        <v>1178</v>
      </c>
      <c r="E332" s="21">
        <v>2202</v>
      </c>
      <c r="F332" s="21">
        <v>5706</v>
      </c>
      <c r="G332" s="21">
        <v>3823</v>
      </c>
      <c r="H332" s="21">
        <v>2416</v>
      </c>
      <c r="I332" s="21">
        <v>768</v>
      </c>
      <c r="J332" s="21">
        <v>8950</v>
      </c>
      <c r="K332" s="21">
        <v>2076</v>
      </c>
      <c r="L332" s="21">
        <v>2828</v>
      </c>
      <c r="M332" s="21">
        <v>1394</v>
      </c>
      <c r="N332" s="21">
        <v>2754</v>
      </c>
      <c r="O332" s="21">
        <v>7644</v>
      </c>
      <c r="P332" s="21">
        <v>2244</v>
      </c>
      <c r="Q332" s="21">
        <v>8527</v>
      </c>
      <c r="R332" s="21">
        <v>391</v>
      </c>
      <c r="S332" s="21">
        <v>1486</v>
      </c>
      <c r="T332" s="21">
        <v>312</v>
      </c>
      <c r="U332" s="22">
        <v>1577</v>
      </c>
      <c r="W332" s="15"/>
      <c r="Z332"/>
      <c r="AA332"/>
    </row>
    <row r="333" spans="1:27" s="19" customFormat="1" ht="19.149999999999999" customHeight="1" x14ac:dyDescent="0.25">
      <c r="A333" s="25" t="s">
        <v>336</v>
      </c>
      <c r="B333" s="20">
        <v>7872</v>
      </c>
      <c r="C333" s="21">
        <v>6598</v>
      </c>
      <c r="D333" s="21">
        <v>1118</v>
      </c>
      <c r="E333" s="21">
        <v>654</v>
      </c>
      <c r="F333" s="21">
        <v>3096</v>
      </c>
      <c r="G333" s="21">
        <v>8083</v>
      </c>
      <c r="H333" s="21">
        <v>9444</v>
      </c>
      <c r="I333" s="21">
        <v>5910</v>
      </c>
      <c r="J333" s="21">
        <v>58</v>
      </c>
      <c r="K333" s="21">
        <v>436</v>
      </c>
      <c r="L333" s="21">
        <v>3927</v>
      </c>
      <c r="M333" s="21">
        <v>3234</v>
      </c>
      <c r="N333" s="21">
        <v>7907</v>
      </c>
      <c r="O333" s="21">
        <v>9532</v>
      </c>
      <c r="P333" s="21">
        <v>7889</v>
      </c>
      <c r="Q333" s="21">
        <v>2533</v>
      </c>
      <c r="R333" s="21">
        <v>777</v>
      </c>
      <c r="S333" s="21">
        <v>1219</v>
      </c>
      <c r="T333" s="21">
        <v>3960</v>
      </c>
      <c r="U333" s="22">
        <v>7434</v>
      </c>
      <c r="W333" s="15"/>
      <c r="Z333"/>
      <c r="AA333"/>
    </row>
    <row r="334" spans="1:27" s="19" customFormat="1" ht="19.149999999999999" customHeight="1" x14ac:dyDescent="0.25">
      <c r="A334" s="25" t="s">
        <v>337</v>
      </c>
      <c r="B334" s="20">
        <v>9290</v>
      </c>
      <c r="C334" s="21">
        <v>6770</v>
      </c>
      <c r="D334" s="21">
        <v>7334</v>
      </c>
      <c r="E334" s="21">
        <v>2010</v>
      </c>
      <c r="F334" s="21">
        <v>9819</v>
      </c>
      <c r="G334" s="21">
        <v>8740</v>
      </c>
      <c r="H334" s="21">
        <v>6925</v>
      </c>
      <c r="I334" s="21">
        <v>6069</v>
      </c>
      <c r="J334" s="21">
        <v>6093</v>
      </c>
      <c r="K334" s="21">
        <v>7955</v>
      </c>
      <c r="L334" s="21">
        <v>2250</v>
      </c>
      <c r="M334" s="21">
        <v>2377</v>
      </c>
      <c r="N334" s="21">
        <v>7343</v>
      </c>
      <c r="O334" s="21">
        <v>279</v>
      </c>
      <c r="P334" s="21">
        <v>215</v>
      </c>
      <c r="Q334" s="21">
        <v>6328</v>
      </c>
      <c r="R334" s="21">
        <v>7425</v>
      </c>
      <c r="S334" s="21">
        <v>4858</v>
      </c>
      <c r="T334" s="21">
        <v>4023</v>
      </c>
      <c r="U334" s="22">
        <v>9131</v>
      </c>
      <c r="W334" s="15"/>
      <c r="Z334"/>
      <c r="AA334"/>
    </row>
    <row r="335" spans="1:27" s="19" customFormat="1" ht="19.149999999999999" customHeight="1" x14ac:dyDescent="0.25">
      <c r="A335" s="25" t="s">
        <v>338</v>
      </c>
      <c r="B335" s="20">
        <v>9585</v>
      </c>
      <c r="C335" s="21">
        <v>3647</v>
      </c>
      <c r="D335" s="21">
        <v>8182</v>
      </c>
      <c r="E335" s="21">
        <v>8129</v>
      </c>
      <c r="F335" s="21">
        <v>8765</v>
      </c>
      <c r="G335" s="21">
        <v>2654</v>
      </c>
      <c r="H335" s="21">
        <v>8269</v>
      </c>
      <c r="I335" s="21">
        <v>7917</v>
      </c>
      <c r="J335" s="21">
        <v>1811</v>
      </c>
      <c r="K335" s="21">
        <v>3157</v>
      </c>
      <c r="L335" s="21">
        <v>3588</v>
      </c>
      <c r="M335" s="21">
        <v>8926</v>
      </c>
      <c r="N335" s="21">
        <v>5717</v>
      </c>
      <c r="O335" s="21">
        <v>7110</v>
      </c>
      <c r="P335" s="21">
        <v>3781</v>
      </c>
      <c r="Q335" s="21">
        <v>9849</v>
      </c>
      <c r="R335" s="21">
        <v>3467</v>
      </c>
      <c r="S335" s="21">
        <v>4311</v>
      </c>
      <c r="T335" s="21">
        <v>6223</v>
      </c>
      <c r="U335" s="22">
        <v>6867</v>
      </c>
      <c r="W335" s="15"/>
      <c r="Z335"/>
      <c r="AA335"/>
    </row>
    <row r="336" spans="1:27" s="19" customFormat="1" ht="19.149999999999999" customHeight="1" x14ac:dyDescent="0.25">
      <c r="A336" s="25" t="s">
        <v>339</v>
      </c>
      <c r="B336" s="20">
        <v>6074</v>
      </c>
      <c r="C336" s="21">
        <v>8702</v>
      </c>
      <c r="D336" s="21">
        <v>626</v>
      </c>
      <c r="E336" s="21">
        <v>2240</v>
      </c>
      <c r="F336" s="21">
        <v>5474</v>
      </c>
      <c r="G336" s="21">
        <v>3234</v>
      </c>
      <c r="H336" s="21">
        <v>6842</v>
      </c>
      <c r="I336" s="21">
        <v>7641</v>
      </c>
      <c r="J336" s="21">
        <v>7275</v>
      </c>
      <c r="K336" s="21">
        <v>1766</v>
      </c>
      <c r="L336" s="21">
        <v>1138</v>
      </c>
      <c r="M336" s="21">
        <v>243</v>
      </c>
      <c r="N336" s="21">
        <v>8868</v>
      </c>
      <c r="O336" s="21">
        <v>8211</v>
      </c>
      <c r="P336" s="21">
        <v>7519</v>
      </c>
      <c r="Q336" s="21">
        <v>4641</v>
      </c>
      <c r="R336" s="21">
        <v>1562</v>
      </c>
      <c r="S336" s="21">
        <v>4105</v>
      </c>
      <c r="T336" s="21">
        <v>1097</v>
      </c>
      <c r="U336" s="22">
        <v>591</v>
      </c>
      <c r="W336" s="15"/>
      <c r="Z336"/>
      <c r="AA336"/>
    </row>
    <row r="337" spans="1:27" s="19" customFormat="1" ht="19.149999999999999" customHeight="1" x14ac:dyDescent="0.25">
      <c r="A337" s="25" t="s">
        <v>340</v>
      </c>
      <c r="B337" s="20">
        <v>5509</v>
      </c>
      <c r="C337" s="21">
        <v>6906</v>
      </c>
      <c r="D337" s="21">
        <v>1381</v>
      </c>
      <c r="E337" s="21">
        <v>6544</v>
      </c>
      <c r="F337" s="21">
        <v>1437</v>
      </c>
      <c r="G337" s="21">
        <v>4381</v>
      </c>
      <c r="H337" s="21">
        <v>4533</v>
      </c>
      <c r="I337" s="21">
        <v>2117</v>
      </c>
      <c r="J337" s="21">
        <v>6969</v>
      </c>
      <c r="K337" s="21">
        <v>8829</v>
      </c>
      <c r="L337" s="21">
        <v>8923</v>
      </c>
      <c r="M337" s="21">
        <v>3292</v>
      </c>
      <c r="N337" s="21">
        <v>6677</v>
      </c>
      <c r="O337" s="21">
        <v>415</v>
      </c>
      <c r="P337" s="21">
        <v>3426</v>
      </c>
      <c r="Q337" s="21">
        <v>9144</v>
      </c>
      <c r="R337" s="21">
        <v>5799</v>
      </c>
      <c r="S337" s="21">
        <v>512</v>
      </c>
      <c r="T337" s="21">
        <v>5402</v>
      </c>
      <c r="U337" s="22">
        <v>4569</v>
      </c>
      <c r="W337" s="15"/>
      <c r="Z337"/>
      <c r="AA337"/>
    </row>
    <row r="338" spans="1:27" s="19" customFormat="1" ht="19.149999999999999" customHeight="1" x14ac:dyDescent="0.25">
      <c r="A338" s="25" t="s">
        <v>341</v>
      </c>
      <c r="B338" s="20">
        <v>2552</v>
      </c>
      <c r="C338" s="21">
        <v>2998</v>
      </c>
      <c r="D338" s="21">
        <v>9009</v>
      </c>
      <c r="E338" s="21">
        <v>5541</v>
      </c>
      <c r="F338" s="21">
        <v>3653</v>
      </c>
      <c r="G338" s="21">
        <v>3439</v>
      </c>
      <c r="H338" s="21">
        <v>8995</v>
      </c>
      <c r="I338" s="21">
        <v>7081</v>
      </c>
      <c r="J338" s="21">
        <v>2527</v>
      </c>
      <c r="K338" s="21">
        <v>4888</v>
      </c>
      <c r="L338" s="21">
        <v>3853</v>
      </c>
      <c r="M338" s="21">
        <v>5687</v>
      </c>
      <c r="N338" s="21">
        <v>9528</v>
      </c>
      <c r="O338" s="21">
        <v>6069</v>
      </c>
      <c r="P338" s="21">
        <v>9673</v>
      </c>
      <c r="Q338" s="21">
        <v>5374</v>
      </c>
      <c r="R338" s="21">
        <v>9914</v>
      </c>
      <c r="S338" s="21">
        <v>5981</v>
      </c>
      <c r="T338" s="21">
        <v>7652</v>
      </c>
      <c r="U338" s="22">
        <v>7712</v>
      </c>
      <c r="W338" s="15"/>
      <c r="Z338"/>
      <c r="AA338"/>
    </row>
    <row r="339" spans="1:27" s="19" customFormat="1" ht="19.149999999999999" customHeight="1" x14ac:dyDescent="0.25">
      <c r="A339" s="25" t="s">
        <v>342</v>
      </c>
      <c r="B339" s="20">
        <v>7920</v>
      </c>
      <c r="C339" s="21">
        <v>5086</v>
      </c>
      <c r="D339" s="21">
        <v>2004</v>
      </c>
      <c r="E339" s="21">
        <v>1637</v>
      </c>
      <c r="F339" s="21">
        <v>7317</v>
      </c>
      <c r="G339" s="21">
        <v>6862</v>
      </c>
      <c r="H339" s="21">
        <v>9551</v>
      </c>
      <c r="I339" s="21">
        <v>7168</v>
      </c>
      <c r="J339" s="21">
        <v>5670</v>
      </c>
      <c r="K339" s="21">
        <v>566</v>
      </c>
      <c r="L339" s="21">
        <v>3952</v>
      </c>
      <c r="M339" s="21">
        <v>1968</v>
      </c>
      <c r="N339" s="21">
        <v>2800</v>
      </c>
      <c r="O339" s="21">
        <v>6270</v>
      </c>
      <c r="P339" s="21">
        <v>9060</v>
      </c>
      <c r="Q339" s="21">
        <v>5259</v>
      </c>
      <c r="R339" s="21">
        <v>2099</v>
      </c>
      <c r="S339" s="21">
        <v>2963</v>
      </c>
      <c r="T339" s="21">
        <v>801</v>
      </c>
      <c r="U339" s="22">
        <v>4234</v>
      </c>
      <c r="W339" s="15"/>
      <c r="Z339"/>
      <c r="AA339"/>
    </row>
    <row r="340" spans="1:27" s="19" customFormat="1" ht="19.149999999999999" customHeight="1" x14ac:dyDescent="0.25">
      <c r="A340" s="25" t="s">
        <v>343</v>
      </c>
      <c r="B340" s="20">
        <v>8550</v>
      </c>
      <c r="C340" s="21">
        <v>6600</v>
      </c>
      <c r="D340" s="21">
        <v>4033</v>
      </c>
      <c r="E340" s="21">
        <v>8450</v>
      </c>
      <c r="F340" s="21">
        <v>6972</v>
      </c>
      <c r="G340" s="21">
        <v>469</v>
      </c>
      <c r="H340" s="21">
        <v>6738</v>
      </c>
      <c r="I340" s="21">
        <v>9973</v>
      </c>
      <c r="J340" s="21">
        <v>2858</v>
      </c>
      <c r="K340" s="21">
        <v>8481</v>
      </c>
      <c r="L340" s="21">
        <v>3837</v>
      </c>
      <c r="M340" s="21">
        <v>3395</v>
      </c>
      <c r="N340" s="21">
        <v>819</v>
      </c>
      <c r="O340" s="21">
        <v>4257</v>
      </c>
      <c r="P340" s="21">
        <v>9451</v>
      </c>
      <c r="Q340" s="21">
        <v>8388</v>
      </c>
      <c r="R340" s="21">
        <v>6669</v>
      </c>
      <c r="S340" s="21">
        <v>8601</v>
      </c>
      <c r="T340" s="21">
        <v>9863</v>
      </c>
      <c r="U340" s="22">
        <v>8333</v>
      </c>
      <c r="W340" s="15"/>
      <c r="Z340"/>
      <c r="AA340"/>
    </row>
    <row r="341" spans="1:27" s="19" customFormat="1" ht="19.149999999999999" customHeight="1" x14ac:dyDescent="0.25">
      <c r="A341" s="25" t="s">
        <v>344</v>
      </c>
      <c r="B341" s="20">
        <v>1308</v>
      </c>
      <c r="C341" s="21">
        <v>6061</v>
      </c>
      <c r="D341" s="21">
        <v>7854</v>
      </c>
      <c r="E341" s="21">
        <v>154</v>
      </c>
      <c r="F341" s="21">
        <v>1365</v>
      </c>
      <c r="G341" s="21">
        <v>2339</v>
      </c>
      <c r="H341" s="21">
        <v>4751</v>
      </c>
      <c r="I341" s="21">
        <v>1329</v>
      </c>
      <c r="J341" s="21">
        <v>155</v>
      </c>
      <c r="K341" s="21">
        <v>4305</v>
      </c>
      <c r="L341" s="21">
        <v>3019</v>
      </c>
      <c r="M341" s="21">
        <v>3113</v>
      </c>
      <c r="N341" s="21">
        <v>1330</v>
      </c>
      <c r="O341" s="21">
        <v>6108</v>
      </c>
      <c r="P341" s="21">
        <v>98</v>
      </c>
      <c r="Q341" s="21">
        <v>5136</v>
      </c>
      <c r="R341" s="21">
        <v>5900</v>
      </c>
      <c r="S341" s="21">
        <v>8588</v>
      </c>
      <c r="T341" s="21">
        <v>7455</v>
      </c>
      <c r="U341" s="22">
        <v>7998</v>
      </c>
      <c r="W341" s="15"/>
      <c r="Z341"/>
      <c r="AA341"/>
    </row>
    <row r="342" spans="1:27" s="19" customFormat="1" ht="19.149999999999999" customHeight="1" x14ac:dyDescent="0.25">
      <c r="A342" s="25" t="s">
        <v>345</v>
      </c>
      <c r="B342" s="20">
        <v>1883</v>
      </c>
      <c r="C342" s="21">
        <v>1036</v>
      </c>
      <c r="D342" s="21">
        <v>7253</v>
      </c>
      <c r="E342" s="21">
        <v>1726</v>
      </c>
      <c r="F342" s="21">
        <v>2341</v>
      </c>
      <c r="G342" s="21">
        <v>6349</v>
      </c>
      <c r="H342" s="21">
        <v>1217</v>
      </c>
      <c r="I342" s="21">
        <v>3819</v>
      </c>
      <c r="J342" s="21">
        <v>3279</v>
      </c>
      <c r="K342" s="21">
        <v>430</v>
      </c>
      <c r="L342" s="21">
        <v>8292</v>
      </c>
      <c r="M342" s="21">
        <v>7758</v>
      </c>
      <c r="N342" s="21">
        <v>2469</v>
      </c>
      <c r="O342" s="21">
        <v>653</v>
      </c>
      <c r="P342" s="21">
        <v>9002</v>
      </c>
      <c r="Q342" s="21">
        <v>8652</v>
      </c>
      <c r="R342" s="21">
        <v>6086</v>
      </c>
      <c r="S342" s="21">
        <v>2301</v>
      </c>
      <c r="T342" s="21">
        <v>3142</v>
      </c>
      <c r="U342" s="22">
        <v>4183</v>
      </c>
      <c r="W342" s="15"/>
      <c r="Z342"/>
      <c r="AA342"/>
    </row>
    <row r="343" spans="1:27" s="19" customFormat="1" ht="19.149999999999999" customHeight="1" x14ac:dyDescent="0.25">
      <c r="A343" s="25" t="s">
        <v>346</v>
      </c>
      <c r="B343" s="20">
        <v>5849</v>
      </c>
      <c r="C343" s="21">
        <v>5244</v>
      </c>
      <c r="D343" s="21">
        <v>6360</v>
      </c>
      <c r="E343" s="21">
        <v>6753</v>
      </c>
      <c r="F343" s="21">
        <v>8740</v>
      </c>
      <c r="G343" s="21">
        <v>4751</v>
      </c>
      <c r="H343" s="21">
        <v>7603</v>
      </c>
      <c r="I343" s="21">
        <v>7735</v>
      </c>
      <c r="J343" s="21">
        <v>8139</v>
      </c>
      <c r="K343" s="21">
        <v>2243</v>
      </c>
      <c r="L343" s="21">
        <v>9583</v>
      </c>
      <c r="M343" s="21">
        <v>1578</v>
      </c>
      <c r="N343" s="21">
        <v>2966</v>
      </c>
      <c r="O343" s="21">
        <v>238</v>
      </c>
      <c r="P343" s="21">
        <v>4497</v>
      </c>
      <c r="Q343" s="21">
        <v>8081</v>
      </c>
      <c r="R343" s="21">
        <v>705</v>
      </c>
      <c r="S343" s="21">
        <v>5083</v>
      </c>
      <c r="T343" s="21">
        <v>9592</v>
      </c>
      <c r="U343" s="22">
        <v>1067</v>
      </c>
      <c r="W343" s="15"/>
      <c r="Z343"/>
      <c r="AA343"/>
    </row>
    <row r="344" spans="1:27" s="19" customFormat="1" ht="19.149999999999999" customHeight="1" x14ac:dyDescent="0.25">
      <c r="A344" s="25" t="s">
        <v>347</v>
      </c>
      <c r="B344" s="20">
        <v>8413</v>
      </c>
      <c r="C344" s="21">
        <v>8406</v>
      </c>
      <c r="D344" s="21">
        <v>1563</v>
      </c>
      <c r="E344" s="21">
        <v>31</v>
      </c>
      <c r="F344" s="21">
        <v>2217</v>
      </c>
      <c r="G344" s="21">
        <v>6544</v>
      </c>
      <c r="H344" s="21">
        <v>2852</v>
      </c>
      <c r="I344" s="21">
        <v>3316</v>
      </c>
      <c r="J344" s="21">
        <v>586</v>
      </c>
      <c r="K344" s="21">
        <v>9979</v>
      </c>
      <c r="L344" s="21">
        <v>9534</v>
      </c>
      <c r="M344" s="21">
        <v>9009</v>
      </c>
      <c r="N344" s="21">
        <v>8761</v>
      </c>
      <c r="O344" s="21">
        <v>398</v>
      </c>
      <c r="P344" s="21">
        <v>389</v>
      </c>
      <c r="Q344" s="21">
        <v>1996</v>
      </c>
      <c r="R344" s="21">
        <v>7648</v>
      </c>
      <c r="S344" s="21">
        <v>4796</v>
      </c>
      <c r="T344" s="21">
        <v>842</v>
      </c>
      <c r="U344" s="22">
        <v>5787</v>
      </c>
      <c r="W344" s="15"/>
      <c r="Z344"/>
      <c r="AA344"/>
    </row>
    <row r="345" spans="1:27" s="19" customFormat="1" ht="19.149999999999999" customHeight="1" x14ac:dyDescent="0.25">
      <c r="A345" s="25" t="s">
        <v>348</v>
      </c>
      <c r="B345" s="20">
        <v>16</v>
      </c>
      <c r="C345" s="21">
        <v>325</v>
      </c>
      <c r="D345" s="21">
        <v>4617</v>
      </c>
      <c r="E345" s="21">
        <v>4278</v>
      </c>
      <c r="F345" s="21">
        <v>5367</v>
      </c>
      <c r="G345" s="21">
        <v>2352</v>
      </c>
      <c r="H345" s="21">
        <v>6321</v>
      </c>
      <c r="I345" s="21">
        <v>7163</v>
      </c>
      <c r="J345" s="21">
        <v>1661</v>
      </c>
      <c r="K345" s="21">
        <v>2412</v>
      </c>
      <c r="L345" s="21">
        <v>8704</v>
      </c>
      <c r="M345" s="21">
        <v>953</v>
      </c>
      <c r="N345" s="21">
        <v>2208</v>
      </c>
      <c r="O345" s="21">
        <v>9452</v>
      </c>
      <c r="P345" s="21">
        <v>2740</v>
      </c>
      <c r="Q345" s="21">
        <v>5973</v>
      </c>
      <c r="R345" s="21">
        <v>7535</v>
      </c>
      <c r="S345" s="21">
        <v>5740</v>
      </c>
      <c r="T345" s="21">
        <v>427</v>
      </c>
      <c r="U345" s="22">
        <v>1377</v>
      </c>
      <c r="W345" s="15"/>
      <c r="Z345"/>
      <c r="AA345"/>
    </row>
    <row r="346" spans="1:27" s="19" customFormat="1" ht="19.149999999999999" customHeight="1" x14ac:dyDescent="0.25">
      <c r="A346" s="25" t="s">
        <v>349</v>
      </c>
      <c r="B346" s="20">
        <v>6360</v>
      </c>
      <c r="C346" s="21">
        <v>7469</v>
      </c>
      <c r="D346" s="21">
        <v>213</v>
      </c>
      <c r="E346" s="21">
        <v>1165</v>
      </c>
      <c r="F346" s="21">
        <v>7811</v>
      </c>
      <c r="G346" s="21">
        <v>1726</v>
      </c>
      <c r="H346" s="21">
        <v>3205</v>
      </c>
      <c r="I346" s="21">
        <v>4422</v>
      </c>
      <c r="J346" s="21">
        <v>210</v>
      </c>
      <c r="K346" s="21">
        <v>5307</v>
      </c>
      <c r="L346" s="21">
        <v>7873</v>
      </c>
      <c r="M346" s="21">
        <v>5599</v>
      </c>
      <c r="N346" s="21">
        <v>5816</v>
      </c>
      <c r="O346" s="21">
        <v>4842</v>
      </c>
      <c r="P346" s="21">
        <v>22</v>
      </c>
      <c r="Q346" s="21">
        <v>2549</v>
      </c>
      <c r="R346" s="21">
        <v>1785</v>
      </c>
      <c r="S346" s="21">
        <v>310</v>
      </c>
      <c r="T346" s="21">
        <v>7842</v>
      </c>
      <c r="U346" s="22">
        <v>6156</v>
      </c>
      <c r="W346" s="15"/>
      <c r="Z346"/>
      <c r="AA346"/>
    </row>
    <row r="347" spans="1:27" s="19" customFormat="1" ht="19.149999999999999" customHeight="1" x14ac:dyDescent="0.25">
      <c r="A347" s="25" t="s">
        <v>350</v>
      </c>
      <c r="B347" s="20">
        <v>8795</v>
      </c>
      <c r="C347" s="21">
        <v>7661</v>
      </c>
      <c r="D347" s="21">
        <v>1862</v>
      </c>
      <c r="E347" s="21">
        <v>5405</v>
      </c>
      <c r="F347" s="21">
        <v>8377</v>
      </c>
      <c r="G347" s="21">
        <v>6043</v>
      </c>
      <c r="H347" s="21">
        <v>4980</v>
      </c>
      <c r="I347" s="21">
        <v>6681</v>
      </c>
      <c r="J347" s="21">
        <v>6662</v>
      </c>
      <c r="K347" s="21">
        <v>1327</v>
      </c>
      <c r="L347" s="21">
        <v>2871</v>
      </c>
      <c r="M347" s="21">
        <v>9761</v>
      </c>
      <c r="N347" s="21">
        <v>2888</v>
      </c>
      <c r="O347" s="21">
        <v>9871</v>
      </c>
      <c r="P347" s="21">
        <v>4816</v>
      </c>
      <c r="Q347" s="21">
        <v>2451</v>
      </c>
      <c r="R347" s="21">
        <v>7924</v>
      </c>
      <c r="S347" s="21">
        <v>1463</v>
      </c>
      <c r="T347" s="21">
        <v>4012</v>
      </c>
      <c r="U347" s="22">
        <v>7798</v>
      </c>
      <c r="W347" s="15"/>
      <c r="Z347"/>
      <c r="AA347"/>
    </row>
    <row r="348" spans="1:27" s="19" customFormat="1" ht="19.149999999999999" customHeight="1" x14ac:dyDescent="0.25">
      <c r="A348" s="25" t="s">
        <v>351</v>
      </c>
      <c r="B348" s="20">
        <v>148</v>
      </c>
      <c r="C348" s="21">
        <v>5070</v>
      </c>
      <c r="D348" s="21">
        <v>1407</v>
      </c>
      <c r="E348" s="21">
        <v>4615</v>
      </c>
      <c r="F348" s="21">
        <v>7472</v>
      </c>
      <c r="G348" s="21">
        <v>5457</v>
      </c>
      <c r="H348" s="21">
        <v>9861</v>
      </c>
      <c r="I348" s="21">
        <v>578</v>
      </c>
      <c r="J348" s="21">
        <v>1216</v>
      </c>
      <c r="K348" s="21">
        <v>4427</v>
      </c>
      <c r="L348" s="21">
        <v>153</v>
      </c>
      <c r="M348" s="21">
        <v>5894</v>
      </c>
      <c r="N348" s="21">
        <v>5155</v>
      </c>
      <c r="O348" s="21">
        <v>6432</v>
      </c>
      <c r="P348" s="21">
        <v>4003</v>
      </c>
      <c r="Q348" s="21">
        <v>7920</v>
      </c>
      <c r="R348" s="21">
        <v>6600</v>
      </c>
      <c r="S348" s="21">
        <v>8869</v>
      </c>
      <c r="T348" s="21">
        <v>5009</v>
      </c>
      <c r="U348" s="22">
        <v>5014</v>
      </c>
      <c r="W348" s="15"/>
      <c r="Z348"/>
      <c r="AA348"/>
    </row>
    <row r="349" spans="1:27" s="19" customFormat="1" ht="19.149999999999999" customHeight="1" x14ac:dyDescent="0.25">
      <c r="A349" s="25" t="s">
        <v>352</v>
      </c>
      <c r="B349" s="20">
        <v>3616</v>
      </c>
      <c r="C349" s="21">
        <v>6989</v>
      </c>
      <c r="D349" s="21">
        <v>4686</v>
      </c>
      <c r="E349" s="21">
        <v>3021</v>
      </c>
      <c r="F349" s="21">
        <v>6680</v>
      </c>
      <c r="G349" s="21">
        <v>9812</v>
      </c>
      <c r="H349" s="21">
        <v>5012</v>
      </c>
      <c r="I349" s="21">
        <v>2865</v>
      </c>
      <c r="J349" s="21">
        <v>6571</v>
      </c>
      <c r="K349" s="21">
        <v>8020</v>
      </c>
      <c r="L349" s="21">
        <v>8660</v>
      </c>
      <c r="M349" s="21">
        <v>7142</v>
      </c>
      <c r="N349" s="21">
        <v>2350</v>
      </c>
      <c r="O349" s="21">
        <v>9052</v>
      </c>
      <c r="P349" s="21">
        <v>1335</v>
      </c>
      <c r="Q349" s="21">
        <v>6584</v>
      </c>
      <c r="R349" s="21">
        <v>6948</v>
      </c>
      <c r="S349" s="21">
        <v>7318</v>
      </c>
      <c r="T349" s="21">
        <v>5805</v>
      </c>
      <c r="U349" s="22">
        <v>8866</v>
      </c>
      <c r="W349" s="15"/>
      <c r="Z349"/>
      <c r="AA349"/>
    </row>
    <row r="350" spans="1:27" s="19" customFormat="1" ht="19.149999999999999" customHeight="1" x14ac:dyDescent="0.25">
      <c r="A350" s="25" t="s">
        <v>353</v>
      </c>
      <c r="B350" s="20">
        <v>1899</v>
      </c>
      <c r="C350" s="21">
        <v>9883</v>
      </c>
      <c r="D350" s="21">
        <v>3187</v>
      </c>
      <c r="E350" s="21">
        <v>1175</v>
      </c>
      <c r="F350" s="21">
        <v>6324</v>
      </c>
      <c r="G350" s="21">
        <v>6704</v>
      </c>
      <c r="H350" s="21">
        <v>371</v>
      </c>
      <c r="I350" s="21">
        <v>293</v>
      </c>
      <c r="J350" s="21">
        <v>4710</v>
      </c>
      <c r="K350" s="21">
        <v>8162</v>
      </c>
      <c r="L350" s="21">
        <v>1347</v>
      </c>
      <c r="M350" s="21">
        <v>1855</v>
      </c>
      <c r="N350" s="21">
        <v>3938</v>
      </c>
      <c r="O350" s="21">
        <v>3397</v>
      </c>
      <c r="P350" s="21">
        <v>2965</v>
      </c>
      <c r="Q350" s="21">
        <v>2894</v>
      </c>
      <c r="R350" s="21">
        <v>661</v>
      </c>
      <c r="S350" s="21">
        <v>4632</v>
      </c>
      <c r="T350" s="21">
        <v>9108</v>
      </c>
      <c r="U350" s="22">
        <v>9718</v>
      </c>
      <c r="W350" s="15"/>
      <c r="Z350"/>
      <c r="AA350"/>
    </row>
    <row r="351" spans="1:27" s="19" customFormat="1" ht="19.149999999999999" customHeight="1" x14ac:dyDescent="0.25">
      <c r="A351" s="25" t="s">
        <v>354</v>
      </c>
      <c r="B351" s="20">
        <v>1625</v>
      </c>
      <c r="C351" s="21">
        <v>9631</v>
      </c>
      <c r="D351" s="21">
        <v>3461</v>
      </c>
      <c r="E351" s="21">
        <v>4687</v>
      </c>
      <c r="F351" s="21">
        <v>5999</v>
      </c>
      <c r="G351" s="21">
        <v>9932</v>
      </c>
      <c r="H351" s="21">
        <v>2603</v>
      </c>
      <c r="I351" s="21">
        <v>8444</v>
      </c>
      <c r="J351" s="21">
        <v>2801</v>
      </c>
      <c r="K351" s="21">
        <v>7776</v>
      </c>
      <c r="L351" s="21">
        <v>5719</v>
      </c>
      <c r="M351" s="21">
        <v>2336</v>
      </c>
      <c r="N351" s="21">
        <v>7797</v>
      </c>
      <c r="O351" s="21">
        <v>7646</v>
      </c>
      <c r="P351" s="21">
        <v>5640</v>
      </c>
      <c r="Q351" s="21">
        <v>8146</v>
      </c>
      <c r="R351" s="21">
        <v>5774</v>
      </c>
      <c r="S351" s="21">
        <v>9976</v>
      </c>
      <c r="T351" s="21">
        <v>9758</v>
      </c>
      <c r="U351" s="22">
        <v>5335</v>
      </c>
      <c r="W351" s="15"/>
      <c r="Z351"/>
      <c r="AA351"/>
    </row>
    <row r="352" spans="1:27" s="19" customFormat="1" ht="19.149999999999999" customHeight="1" x14ac:dyDescent="0.25">
      <c r="A352" s="25" t="s">
        <v>355</v>
      </c>
      <c r="B352" s="20">
        <v>9640</v>
      </c>
      <c r="C352" s="21">
        <v>9007</v>
      </c>
      <c r="D352" s="21">
        <v>7145</v>
      </c>
      <c r="E352" s="21">
        <v>4080</v>
      </c>
      <c r="F352" s="21">
        <v>1374</v>
      </c>
      <c r="G352" s="21">
        <v>1238</v>
      </c>
      <c r="H352" s="21">
        <v>2681</v>
      </c>
      <c r="I352" s="21">
        <v>9731</v>
      </c>
      <c r="J352" s="21">
        <v>5994</v>
      </c>
      <c r="K352" s="21">
        <v>4249</v>
      </c>
      <c r="L352" s="21">
        <v>3106</v>
      </c>
      <c r="M352" s="21">
        <v>9179</v>
      </c>
      <c r="N352" s="21">
        <v>6700</v>
      </c>
      <c r="O352" s="21">
        <v>4633</v>
      </c>
      <c r="P352" s="21">
        <v>6083</v>
      </c>
      <c r="Q352" s="21">
        <v>9727</v>
      </c>
      <c r="R352" s="21">
        <v>826</v>
      </c>
      <c r="S352" s="21">
        <v>2428</v>
      </c>
      <c r="T352" s="21">
        <v>440</v>
      </c>
      <c r="U352" s="22">
        <v>1166</v>
      </c>
      <c r="W352" s="15"/>
      <c r="Z352"/>
      <c r="AA352"/>
    </row>
    <row r="353" spans="1:27" s="19" customFormat="1" ht="19.149999999999999" customHeight="1" x14ac:dyDescent="0.25">
      <c r="A353" s="25" t="s">
        <v>356</v>
      </c>
      <c r="B353" s="20">
        <v>6277</v>
      </c>
      <c r="C353" s="21">
        <v>3964</v>
      </c>
      <c r="D353" s="21">
        <v>4324</v>
      </c>
      <c r="E353" s="21">
        <v>6229</v>
      </c>
      <c r="F353" s="21">
        <v>6716</v>
      </c>
      <c r="G353" s="21">
        <v>2302</v>
      </c>
      <c r="H353" s="21">
        <v>2767</v>
      </c>
      <c r="I353" s="21">
        <v>5933</v>
      </c>
      <c r="J353" s="21">
        <v>7815</v>
      </c>
      <c r="K353" s="21">
        <v>2548</v>
      </c>
      <c r="L353" s="21">
        <v>7007</v>
      </c>
      <c r="M353" s="21">
        <v>2279</v>
      </c>
      <c r="N353" s="21">
        <v>1682</v>
      </c>
      <c r="O353" s="21">
        <v>5894</v>
      </c>
      <c r="P353" s="21">
        <v>30</v>
      </c>
      <c r="Q353" s="21">
        <v>1810</v>
      </c>
      <c r="R353" s="21">
        <v>7225</v>
      </c>
      <c r="S353" s="21">
        <v>4088</v>
      </c>
      <c r="T353" s="21">
        <v>6505</v>
      </c>
      <c r="U353" s="22">
        <v>4312</v>
      </c>
      <c r="W353" s="15"/>
      <c r="Z353"/>
      <c r="AA353"/>
    </row>
    <row r="354" spans="1:27" s="19" customFormat="1" ht="19.149999999999999" customHeight="1" x14ac:dyDescent="0.25">
      <c r="A354" s="25" t="s">
        <v>357</v>
      </c>
      <c r="B354" s="20">
        <v>7200</v>
      </c>
      <c r="C354" s="21">
        <v>5476</v>
      </c>
      <c r="D354" s="21">
        <v>7157</v>
      </c>
      <c r="E354" s="21">
        <v>1528</v>
      </c>
      <c r="F354" s="21">
        <v>2631</v>
      </c>
      <c r="G354" s="21">
        <v>310</v>
      </c>
      <c r="H354" s="21">
        <v>7650</v>
      </c>
      <c r="I354" s="21">
        <v>3377</v>
      </c>
      <c r="J354" s="21">
        <v>8404</v>
      </c>
      <c r="K354" s="21">
        <v>824</v>
      </c>
      <c r="L354" s="21">
        <v>1574</v>
      </c>
      <c r="M354" s="21">
        <v>4826</v>
      </c>
      <c r="N354" s="21">
        <v>1113</v>
      </c>
      <c r="O354" s="21">
        <v>1842</v>
      </c>
      <c r="P354" s="21">
        <v>6884</v>
      </c>
      <c r="Q354" s="21">
        <v>8751</v>
      </c>
      <c r="R354" s="21">
        <v>3915</v>
      </c>
      <c r="S354" s="21">
        <v>2633</v>
      </c>
      <c r="T354" s="21">
        <v>3844</v>
      </c>
      <c r="U354" s="22">
        <v>475</v>
      </c>
      <c r="W354" s="15"/>
      <c r="Z354"/>
      <c r="AA354"/>
    </row>
    <row r="355" spans="1:27" s="19" customFormat="1" ht="19.149999999999999" customHeight="1" x14ac:dyDescent="0.25">
      <c r="A355" s="25" t="s">
        <v>358</v>
      </c>
      <c r="B355" s="20">
        <v>63</v>
      </c>
      <c r="C355" s="21">
        <v>1747</v>
      </c>
      <c r="D355" s="21">
        <v>3585</v>
      </c>
      <c r="E355" s="21">
        <v>8671</v>
      </c>
      <c r="F355" s="21">
        <v>7068</v>
      </c>
      <c r="G355" s="21">
        <v>5717</v>
      </c>
      <c r="H355" s="21">
        <v>8624</v>
      </c>
      <c r="I355" s="21">
        <v>636</v>
      </c>
      <c r="J355" s="21">
        <v>3568</v>
      </c>
      <c r="K355" s="21">
        <v>1878</v>
      </c>
      <c r="L355" s="21">
        <v>1356</v>
      </c>
      <c r="M355" s="21">
        <v>1393</v>
      </c>
      <c r="N355" s="21">
        <v>3349</v>
      </c>
      <c r="O355" s="21">
        <v>7218</v>
      </c>
      <c r="P355" s="21">
        <v>4083</v>
      </c>
      <c r="Q355" s="21">
        <v>4275</v>
      </c>
      <c r="R355" s="21">
        <v>3169</v>
      </c>
      <c r="S355" s="21">
        <v>1543</v>
      </c>
      <c r="T355" s="21">
        <v>8133</v>
      </c>
      <c r="U355" s="22">
        <v>9252</v>
      </c>
      <c r="W355" s="15"/>
      <c r="Z355"/>
      <c r="AA355"/>
    </row>
    <row r="356" spans="1:27" s="19" customFormat="1" ht="19.149999999999999" customHeight="1" x14ac:dyDescent="0.25">
      <c r="A356" s="25" t="s">
        <v>359</v>
      </c>
      <c r="B356" s="20">
        <v>1058</v>
      </c>
      <c r="C356" s="21">
        <v>8453</v>
      </c>
      <c r="D356" s="21">
        <v>967</v>
      </c>
      <c r="E356" s="21">
        <v>7715</v>
      </c>
      <c r="F356" s="21">
        <v>6162</v>
      </c>
      <c r="G356" s="21">
        <v>1220</v>
      </c>
      <c r="H356" s="21">
        <v>5678</v>
      </c>
      <c r="I356" s="21">
        <v>6461</v>
      </c>
      <c r="J356" s="21">
        <v>4689</v>
      </c>
      <c r="K356" s="21">
        <v>7251</v>
      </c>
      <c r="L356" s="21">
        <v>3447</v>
      </c>
      <c r="M356" s="21">
        <v>816</v>
      </c>
      <c r="N356" s="21">
        <v>4352</v>
      </c>
      <c r="O356" s="21">
        <v>8388</v>
      </c>
      <c r="P356" s="21">
        <v>2431</v>
      </c>
      <c r="Q356" s="21">
        <v>3934</v>
      </c>
      <c r="R356" s="21">
        <v>7102</v>
      </c>
      <c r="S356" s="21">
        <v>8772</v>
      </c>
      <c r="T356" s="21">
        <v>5510</v>
      </c>
      <c r="U356" s="22">
        <v>3541</v>
      </c>
      <c r="W356" s="15"/>
      <c r="Z356"/>
      <c r="AA356"/>
    </row>
    <row r="357" spans="1:27" s="19" customFormat="1" ht="19.149999999999999" customHeight="1" x14ac:dyDescent="0.25">
      <c r="A357" s="25" t="s">
        <v>360</v>
      </c>
      <c r="B357" s="20">
        <v>3368</v>
      </c>
      <c r="C357" s="21">
        <v>7950</v>
      </c>
      <c r="D357" s="21">
        <v>7180</v>
      </c>
      <c r="E357" s="21">
        <v>8853</v>
      </c>
      <c r="F357" s="21">
        <v>1920</v>
      </c>
      <c r="G357" s="21">
        <v>5091</v>
      </c>
      <c r="H357" s="21">
        <v>48</v>
      </c>
      <c r="I357" s="21">
        <v>8783</v>
      </c>
      <c r="J357" s="21">
        <v>358</v>
      </c>
      <c r="K357" s="21">
        <v>3628</v>
      </c>
      <c r="L357" s="21">
        <v>7094</v>
      </c>
      <c r="M357" s="21">
        <v>1105</v>
      </c>
      <c r="N357" s="21">
        <v>8263</v>
      </c>
      <c r="O357" s="21">
        <v>9275</v>
      </c>
      <c r="P357" s="21">
        <v>1542</v>
      </c>
      <c r="Q357" s="21">
        <v>8400</v>
      </c>
      <c r="R357" s="21">
        <v>4360</v>
      </c>
      <c r="S357" s="21">
        <v>1154</v>
      </c>
      <c r="T357" s="21">
        <v>6245</v>
      </c>
      <c r="U357" s="22">
        <v>1941</v>
      </c>
      <c r="W357" s="15"/>
      <c r="Z357"/>
      <c r="AA357"/>
    </row>
    <row r="358" spans="1:27" s="19" customFormat="1" ht="19.149999999999999" customHeight="1" x14ac:dyDescent="0.25">
      <c r="A358" s="25" t="s">
        <v>361</v>
      </c>
      <c r="B358" s="20">
        <v>9471</v>
      </c>
      <c r="C358" s="21">
        <v>9431</v>
      </c>
      <c r="D358" s="21">
        <v>5364</v>
      </c>
      <c r="E358" s="21">
        <v>7021</v>
      </c>
      <c r="F358" s="21">
        <v>9250</v>
      </c>
      <c r="G358" s="21">
        <v>7604</v>
      </c>
      <c r="H358" s="21">
        <v>726</v>
      </c>
      <c r="I358" s="21">
        <v>2051</v>
      </c>
      <c r="J358" s="21">
        <v>6305</v>
      </c>
      <c r="K358" s="21">
        <v>5948</v>
      </c>
      <c r="L358" s="21">
        <v>758</v>
      </c>
      <c r="M358" s="21">
        <v>1269</v>
      </c>
      <c r="N358" s="21">
        <v>8113</v>
      </c>
      <c r="O358" s="21">
        <v>1381</v>
      </c>
      <c r="P358" s="21">
        <v>78</v>
      </c>
      <c r="Q358" s="21">
        <v>3006</v>
      </c>
      <c r="R358" s="21">
        <v>7334</v>
      </c>
      <c r="S358" s="21">
        <v>9256</v>
      </c>
      <c r="T358" s="21">
        <v>6950</v>
      </c>
      <c r="U358" s="22">
        <v>6062</v>
      </c>
      <c r="W358" s="15"/>
      <c r="Z358"/>
      <c r="AA358"/>
    </row>
    <row r="359" spans="1:27" s="19" customFormat="1" ht="19.149999999999999" customHeight="1" x14ac:dyDescent="0.25">
      <c r="A359" s="25" t="s">
        <v>362</v>
      </c>
      <c r="B359" s="20">
        <v>5560</v>
      </c>
      <c r="C359" s="21">
        <v>5375</v>
      </c>
      <c r="D359" s="21">
        <v>2596</v>
      </c>
      <c r="E359" s="21">
        <v>473</v>
      </c>
      <c r="F359" s="21">
        <v>6590</v>
      </c>
      <c r="G359" s="21">
        <v>9675</v>
      </c>
      <c r="H359" s="21">
        <v>8325</v>
      </c>
      <c r="I359" s="21">
        <v>2297</v>
      </c>
      <c r="J359" s="21">
        <v>6670</v>
      </c>
      <c r="K359" s="21">
        <v>7853</v>
      </c>
      <c r="L359" s="21">
        <v>6174</v>
      </c>
      <c r="M359" s="21">
        <v>6278</v>
      </c>
      <c r="N359" s="21">
        <v>2297</v>
      </c>
      <c r="O359" s="21">
        <v>8686</v>
      </c>
      <c r="P359" s="21">
        <v>1112</v>
      </c>
      <c r="Q359" s="21">
        <v>8891</v>
      </c>
      <c r="R359" s="21">
        <v>8805</v>
      </c>
      <c r="S359" s="21">
        <v>703</v>
      </c>
      <c r="T359" s="21">
        <v>5288</v>
      </c>
      <c r="U359" s="22">
        <v>7484</v>
      </c>
      <c r="W359" s="15"/>
      <c r="Z359"/>
      <c r="AA359"/>
    </row>
    <row r="360" spans="1:27" s="19" customFormat="1" ht="19.149999999999999" customHeight="1" x14ac:dyDescent="0.25">
      <c r="A360" s="25" t="s">
        <v>363</v>
      </c>
      <c r="B360" s="20">
        <v>5181</v>
      </c>
      <c r="C360" s="21">
        <v>6698</v>
      </c>
      <c r="D360" s="21">
        <v>7877</v>
      </c>
      <c r="E360" s="21">
        <v>6600</v>
      </c>
      <c r="F360" s="21">
        <v>6726</v>
      </c>
      <c r="G360" s="21">
        <v>4930</v>
      </c>
      <c r="H360" s="21">
        <v>9650</v>
      </c>
      <c r="I360" s="21">
        <v>8121</v>
      </c>
      <c r="J360" s="21">
        <v>8540</v>
      </c>
      <c r="K360" s="21">
        <v>9571</v>
      </c>
      <c r="L360" s="21">
        <v>4381</v>
      </c>
      <c r="M360" s="21">
        <v>9343</v>
      </c>
      <c r="N360" s="21">
        <v>1559</v>
      </c>
      <c r="O360" s="21">
        <v>1757</v>
      </c>
      <c r="P360" s="21">
        <v>5655</v>
      </c>
      <c r="Q360" s="21">
        <v>7635</v>
      </c>
      <c r="R360" s="21">
        <v>7900</v>
      </c>
      <c r="S360" s="21">
        <v>9844</v>
      </c>
      <c r="T360" s="21">
        <v>1641</v>
      </c>
      <c r="U360" s="22">
        <v>9746</v>
      </c>
      <c r="W360" s="15"/>
      <c r="Z360"/>
      <c r="AA360"/>
    </row>
    <row r="361" spans="1:27" s="19" customFormat="1" ht="19.149999999999999" customHeight="1" x14ac:dyDescent="0.25">
      <c r="A361" s="25" t="s">
        <v>364</v>
      </c>
      <c r="B361" s="20">
        <v>1807</v>
      </c>
      <c r="C361" s="21">
        <v>1098</v>
      </c>
      <c r="D361" s="21">
        <v>6737</v>
      </c>
      <c r="E361" s="21">
        <v>4819</v>
      </c>
      <c r="F361" s="21">
        <v>8251</v>
      </c>
      <c r="G361" s="21">
        <v>1174</v>
      </c>
      <c r="H361" s="21">
        <v>1727</v>
      </c>
      <c r="I361" s="21">
        <v>8340</v>
      </c>
      <c r="J361" s="21">
        <v>2922</v>
      </c>
      <c r="K361" s="21">
        <v>451</v>
      </c>
      <c r="L361" s="21">
        <v>6988</v>
      </c>
      <c r="M361" s="21">
        <v>6620</v>
      </c>
      <c r="N361" s="21">
        <v>6898</v>
      </c>
      <c r="O361" s="21">
        <v>7933</v>
      </c>
      <c r="P361" s="21">
        <v>4896</v>
      </c>
      <c r="Q361" s="21">
        <v>864</v>
      </c>
      <c r="R361" s="21">
        <v>1087</v>
      </c>
      <c r="S361" s="21">
        <v>8087</v>
      </c>
      <c r="T361" s="21">
        <v>264</v>
      </c>
      <c r="U361" s="22">
        <v>5360</v>
      </c>
      <c r="W361" s="15"/>
      <c r="Z361"/>
      <c r="AA361"/>
    </row>
    <row r="362" spans="1:27" s="19" customFormat="1" ht="19.149999999999999" customHeight="1" x14ac:dyDescent="0.25">
      <c r="A362" s="25" t="s">
        <v>365</v>
      </c>
      <c r="B362" s="20">
        <v>9968</v>
      </c>
      <c r="C362" s="21">
        <v>7425</v>
      </c>
      <c r="D362" s="21">
        <v>3989</v>
      </c>
      <c r="E362" s="21">
        <v>3511</v>
      </c>
      <c r="F362" s="21">
        <v>853</v>
      </c>
      <c r="G362" s="21">
        <v>8697</v>
      </c>
      <c r="H362" s="21">
        <v>9654</v>
      </c>
      <c r="I362" s="21">
        <v>9578</v>
      </c>
      <c r="J362" s="21">
        <v>9628</v>
      </c>
      <c r="K362" s="21">
        <v>799</v>
      </c>
      <c r="L362" s="21">
        <v>6997</v>
      </c>
      <c r="M362" s="21">
        <v>967</v>
      </c>
      <c r="N362" s="21">
        <v>965</v>
      </c>
      <c r="O362" s="21">
        <v>8283</v>
      </c>
      <c r="P362" s="21">
        <v>9124</v>
      </c>
      <c r="Q362" s="21">
        <v>2665</v>
      </c>
      <c r="R362" s="21">
        <v>2943</v>
      </c>
      <c r="S362" s="21">
        <v>8496</v>
      </c>
      <c r="T362" s="21">
        <v>6880</v>
      </c>
      <c r="U362" s="22">
        <v>7336</v>
      </c>
      <c r="W362" s="15"/>
      <c r="Z362"/>
      <c r="AA362"/>
    </row>
    <row r="363" spans="1:27" s="19" customFormat="1" ht="19.149999999999999" customHeight="1" x14ac:dyDescent="0.25">
      <c r="A363" s="25" t="s">
        <v>366</v>
      </c>
      <c r="B363" s="20">
        <v>8310</v>
      </c>
      <c r="C363" s="21">
        <v>8629</v>
      </c>
      <c r="D363" s="21">
        <v>8503</v>
      </c>
      <c r="E363" s="21">
        <v>4827</v>
      </c>
      <c r="F363" s="21">
        <v>6281</v>
      </c>
      <c r="G363" s="21">
        <v>7627</v>
      </c>
      <c r="H363" s="21">
        <v>2486</v>
      </c>
      <c r="I363" s="21">
        <v>9406</v>
      </c>
      <c r="J363" s="21">
        <v>8077</v>
      </c>
      <c r="K363" s="21">
        <v>3938</v>
      </c>
      <c r="L363" s="21">
        <v>418</v>
      </c>
      <c r="M363" s="21">
        <v>5889</v>
      </c>
      <c r="N363" s="21">
        <v>8760</v>
      </c>
      <c r="O363" s="21">
        <v>7428</v>
      </c>
      <c r="P363" s="21">
        <v>8653</v>
      </c>
      <c r="Q363" s="21">
        <v>3299</v>
      </c>
      <c r="R363" s="21">
        <v>6158</v>
      </c>
      <c r="S363" s="21">
        <v>458</v>
      </c>
      <c r="T363" s="21">
        <v>5221</v>
      </c>
      <c r="U363" s="22">
        <v>8461</v>
      </c>
      <c r="W363" s="15"/>
      <c r="Z363"/>
      <c r="AA363"/>
    </row>
    <row r="364" spans="1:27" s="19" customFormat="1" ht="19.149999999999999" customHeight="1" x14ac:dyDescent="0.25">
      <c r="A364" s="25" t="s">
        <v>367</v>
      </c>
      <c r="B364" s="20">
        <v>1856</v>
      </c>
      <c r="C364" s="21">
        <v>94</v>
      </c>
      <c r="D364" s="21">
        <v>5968</v>
      </c>
      <c r="E364" s="21">
        <v>5430</v>
      </c>
      <c r="F364" s="21">
        <v>9245</v>
      </c>
      <c r="G364" s="21">
        <v>63</v>
      </c>
      <c r="H364" s="21">
        <v>6068</v>
      </c>
      <c r="I364" s="21">
        <v>5195</v>
      </c>
      <c r="J364" s="21">
        <v>5721</v>
      </c>
      <c r="K364" s="21">
        <v>2949</v>
      </c>
      <c r="L364" s="21">
        <v>2087</v>
      </c>
      <c r="M364" s="21">
        <v>3555</v>
      </c>
      <c r="N364" s="21">
        <v>3266</v>
      </c>
      <c r="O364" s="21">
        <v>8155</v>
      </c>
      <c r="P364" s="21">
        <v>3361</v>
      </c>
      <c r="Q364" s="21">
        <v>7948</v>
      </c>
      <c r="R364" s="21">
        <v>4758</v>
      </c>
      <c r="S364" s="21">
        <v>5406</v>
      </c>
      <c r="T364" s="21">
        <v>3296</v>
      </c>
      <c r="U364" s="22">
        <v>6793</v>
      </c>
      <c r="W364" s="15"/>
      <c r="Z364"/>
      <c r="AA364"/>
    </row>
    <row r="365" spans="1:27" s="19" customFormat="1" ht="19.149999999999999" customHeight="1" x14ac:dyDescent="0.25">
      <c r="A365" s="25" t="s">
        <v>368</v>
      </c>
      <c r="B365" s="20">
        <v>7165</v>
      </c>
      <c r="C365" s="21">
        <v>5913</v>
      </c>
      <c r="D365" s="21">
        <v>267</v>
      </c>
      <c r="E365" s="21">
        <v>5267</v>
      </c>
      <c r="F365" s="21">
        <v>6533</v>
      </c>
      <c r="G365" s="21">
        <v>5000</v>
      </c>
      <c r="H365" s="21">
        <v>5650</v>
      </c>
      <c r="I365" s="21">
        <v>8604</v>
      </c>
      <c r="J365" s="21">
        <v>3554</v>
      </c>
      <c r="K365" s="21">
        <v>3969</v>
      </c>
      <c r="L365" s="21">
        <v>3108</v>
      </c>
      <c r="M365" s="21">
        <v>6839</v>
      </c>
      <c r="N365" s="21">
        <v>142</v>
      </c>
      <c r="O365" s="21">
        <v>5427</v>
      </c>
      <c r="P365" s="21">
        <v>1231</v>
      </c>
      <c r="Q365" s="21">
        <v>2778</v>
      </c>
      <c r="R365" s="21">
        <v>4522</v>
      </c>
      <c r="S365" s="21">
        <v>2467</v>
      </c>
      <c r="T365" s="21">
        <v>5599</v>
      </c>
      <c r="U365" s="22">
        <v>1086</v>
      </c>
      <c r="W365" s="15"/>
      <c r="Z365"/>
      <c r="AA365"/>
    </row>
    <row r="366" spans="1:27" s="19" customFormat="1" ht="19.149999999999999" customHeight="1" x14ac:dyDescent="0.25">
      <c r="A366" s="25" t="s">
        <v>369</v>
      </c>
      <c r="B366" s="20">
        <v>952</v>
      </c>
      <c r="C366" s="21">
        <v>6059</v>
      </c>
      <c r="D366" s="21">
        <v>7524</v>
      </c>
      <c r="E366" s="21">
        <v>6989</v>
      </c>
      <c r="F366" s="21">
        <v>9351</v>
      </c>
      <c r="G366" s="21">
        <v>3940</v>
      </c>
      <c r="H366" s="21">
        <v>4894</v>
      </c>
      <c r="I366" s="21">
        <v>5855</v>
      </c>
      <c r="J366" s="21">
        <v>8141</v>
      </c>
      <c r="K366" s="21">
        <v>6035</v>
      </c>
      <c r="L366" s="21">
        <v>2130</v>
      </c>
      <c r="M366" s="21">
        <v>7495</v>
      </c>
      <c r="N366" s="21">
        <v>9408</v>
      </c>
      <c r="O366" s="21">
        <v>4895</v>
      </c>
      <c r="P366" s="21">
        <v>9596</v>
      </c>
      <c r="Q366" s="21">
        <v>3596</v>
      </c>
      <c r="R366" s="21">
        <v>7607</v>
      </c>
      <c r="S366" s="21">
        <v>1805</v>
      </c>
      <c r="T366" s="21">
        <v>6714</v>
      </c>
      <c r="U366" s="22">
        <v>550</v>
      </c>
      <c r="W366" s="15"/>
      <c r="Z366"/>
      <c r="AA366"/>
    </row>
    <row r="367" spans="1:27" s="19" customFormat="1" ht="19.149999999999999" customHeight="1" x14ac:dyDescent="0.25">
      <c r="A367" s="25" t="s">
        <v>370</v>
      </c>
      <c r="B367" s="20">
        <v>1352</v>
      </c>
      <c r="C367" s="21">
        <v>243</v>
      </c>
      <c r="D367" s="21">
        <v>882</v>
      </c>
      <c r="E367" s="21">
        <v>3756</v>
      </c>
      <c r="F367" s="21">
        <v>988</v>
      </c>
      <c r="G367" s="21">
        <v>1085</v>
      </c>
      <c r="H367" s="21">
        <v>5365</v>
      </c>
      <c r="I367" s="21">
        <v>5686</v>
      </c>
      <c r="J367" s="21">
        <v>6691</v>
      </c>
      <c r="K367" s="21">
        <v>854</v>
      </c>
      <c r="L367" s="21">
        <v>2577</v>
      </c>
      <c r="M367" s="21">
        <v>9083</v>
      </c>
      <c r="N367" s="21">
        <v>3172</v>
      </c>
      <c r="O367" s="21">
        <v>247</v>
      </c>
      <c r="P367" s="21">
        <v>5405</v>
      </c>
      <c r="Q367" s="21">
        <v>6959</v>
      </c>
      <c r="R367" s="21">
        <v>6515</v>
      </c>
      <c r="S367" s="21">
        <v>6314</v>
      </c>
      <c r="T367" s="21">
        <v>6450</v>
      </c>
      <c r="U367" s="22">
        <v>8599</v>
      </c>
      <c r="W367" s="15"/>
      <c r="Z367"/>
      <c r="AA367"/>
    </row>
    <row r="368" spans="1:27" s="19" customFormat="1" ht="19.149999999999999" customHeight="1" x14ac:dyDescent="0.25">
      <c r="A368" s="25" t="s">
        <v>371</v>
      </c>
      <c r="B368" s="20">
        <v>6188</v>
      </c>
      <c r="C368" s="21">
        <v>2829</v>
      </c>
      <c r="D368" s="21">
        <v>6031</v>
      </c>
      <c r="E368" s="21">
        <v>8724</v>
      </c>
      <c r="F368" s="21">
        <v>6130</v>
      </c>
      <c r="G368" s="21">
        <v>8573</v>
      </c>
      <c r="H368" s="21">
        <v>1111</v>
      </c>
      <c r="I368" s="21">
        <v>5765</v>
      </c>
      <c r="J368" s="21">
        <v>7016</v>
      </c>
      <c r="K368" s="21">
        <v>5785</v>
      </c>
      <c r="L368" s="21">
        <v>4996</v>
      </c>
      <c r="M368" s="21">
        <v>3636</v>
      </c>
      <c r="N368" s="21">
        <v>7555</v>
      </c>
      <c r="O368" s="21">
        <v>8343</v>
      </c>
      <c r="P368" s="21">
        <v>1996</v>
      </c>
      <c r="Q368" s="21">
        <v>6581</v>
      </c>
      <c r="R368" s="21">
        <v>144</v>
      </c>
      <c r="S368" s="21">
        <v>2837</v>
      </c>
      <c r="T368" s="21">
        <v>6666</v>
      </c>
      <c r="U368" s="22">
        <v>7200</v>
      </c>
      <c r="W368" s="15"/>
      <c r="Z368"/>
      <c r="AA368"/>
    </row>
    <row r="369" spans="1:27" s="19" customFormat="1" ht="19.149999999999999" customHeight="1" x14ac:dyDescent="0.25">
      <c r="A369" s="25" t="s">
        <v>372</v>
      </c>
      <c r="B369" s="20">
        <v>5107</v>
      </c>
      <c r="C369" s="21">
        <v>6749</v>
      </c>
      <c r="D369" s="21">
        <v>51</v>
      </c>
      <c r="E369" s="21">
        <v>136</v>
      </c>
      <c r="F369" s="21">
        <v>6787</v>
      </c>
      <c r="G369" s="21">
        <v>241</v>
      </c>
      <c r="H369" s="21">
        <v>9368</v>
      </c>
      <c r="I369" s="21">
        <v>6577</v>
      </c>
      <c r="J369" s="21">
        <v>5250</v>
      </c>
      <c r="K369" s="21">
        <v>4471</v>
      </c>
      <c r="L369" s="21">
        <v>58</v>
      </c>
      <c r="M369" s="21">
        <v>3078</v>
      </c>
      <c r="N369" s="21">
        <v>5069</v>
      </c>
      <c r="O369" s="21">
        <v>5236</v>
      </c>
      <c r="P369" s="21">
        <v>8426</v>
      </c>
      <c r="Q369" s="21">
        <v>6066</v>
      </c>
      <c r="R369" s="21">
        <v>2900</v>
      </c>
      <c r="S369" s="21">
        <v>2748</v>
      </c>
      <c r="T369" s="21">
        <v>5895</v>
      </c>
      <c r="U369" s="22">
        <v>1081</v>
      </c>
      <c r="W369" s="15"/>
      <c r="Z369"/>
      <c r="AA369"/>
    </row>
    <row r="370" spans="1:27" s="19" customFormat="1" ht="19.149999999999999" customHeight="1" x14ac:dyDescent="0.25">
      <c r="A370" s="25" t="s">
        <v>373</v>
      </c>
      <c r="B370" s="20">
        <v>9028</v>
      </c>
      <c r="C370" s="21">
        <v>9915</v>
      </c>
      <c r="D370" s="21">
        <v>2086</v>
      </c>
      <c r="E370" s="21">
        <v>4921</v>
      </c>
      <c r="F370" s="21">
        <v>4782</v>
      </c>
      <c r="G370" s="21">
        <v>4681</v>
      </c>
      <c r="H370" s="21">
        <v>5076</v>
      </c>
      <c r="I370" s="21">
        <v>7244</v>
      </c>
      <c r="J370" s="21">
        <v>2294</v>
      </c>
      <c r="K370" s="21">
        <v>5747</v>
      </c>
      <c r="L370" s="21">
        <v>9224</v>
      </c>
      <c r="M370" s="21">
        <v>5339</v>
      </c>
      <c r="N370" s="21">
        <v>7671</v>
      </c>
      <c r="O370" s="21">
        <v>6565</v>
      </c>
      <c r="P370" s="21">
        <v>4069</v>
      </c>
      <c r="Q370" s="21">
        <v>2951</v>
      </c>
      <c r="R370" s="21">
        <v>9244</v>
      </c>
      <c r="S370" s="21">
        <v>4702</v>
      </c>
      <c r="T370" s="21">
        <v>4815</v>
      </c>
      <c r="U370" s="22">
        <v>4185</v>
      </c>
      <c r="W370" s="15"/>
      <c r="Z370"/>
      <c r="AA370"/>
    </row>
    <row r="371" spans="1:27" s="19" customFormat="1" ht="19.149999999999999" customHeight="1" x14ac:dyDescent="0.25">
      <c r="A371" s="25" t="s">
        <v>374</v>
      </c>
      <c r="B371" s="20">
        <v>6759</v>
      </c>
      <c r="C371" s="21">
        <v>7142</v>
      </c>
      <c r="D371" s="21">
        <v>8135</v>
      </c>
      <c r="E371" s="21">
        <v>3163</v>
      </c>
      <c r="F371" s="21">
        <v>1521</v>
      </c>
      <c r="G371" s="21">
        <v>1111</v>
      </c>
      <c r="H371" s="21">
        <v>7480</v>
      </c>
      <c r="I371" s="21">
        <v>2367</v>
      </c>
      <c r="J371" s="21">
        <v>1781</v>
      </c>
      <c r="K371" s="21">
        <v>2322</v>
      </c>
      <c r="L371" s="21">
        <v>3008</v>
      </c>
      <c r="M371" s="21">
        <v>9732</v>
      </c>
      <c r="N371" s="21">
        <v>8530</v>
      </c>
      <c r="O371" s="21">
        <v>8211</v>
      </c>
      <c r="P371" s="21">
        <v>7261</v>
      </c>
      <c r="Q371" s="21">
        <v>9549</v>
      </c>
      <c r="R371" s="21">
        <v>5728</v>
      </c>
      <c r="S371" s="21">
        <v>4680</v>
      </c>
      <c r="T371" s="21">
        <v>7884</v>
      </c>
      <c r="U371" s="22">
        <v>563</v>
      </c>
      <c r="W371" s="15"/>
      <c r="Z371"/>
      <c r="AA371"/>
    </row>
    <row r="372" spans="1:27" s="19" customFormat="1" ht="19.149999999999999" customHeight="1" x14ac:dyDescent="0.25">
      <c r="A372" s="25" t="s">
        <v>375</v>
      </c>
      <c r="B372" s="20">
        <v>6936</v>
      </c>
      <c r="C372" s="21">
        <v>3038</v>
      </c>
      <c r="D372" s="21">
        <v>8251</v>
      </c>
      <c r="E372" s="21">
        <v>3821</v>
      </c>
      <c r="F372" s="21">
        <v>955</v>
      </c>
      <c r="G372" s="21">
        <v>2017</v>
      </c>
      <c r="H372" s="21">
        <v>7699</v>
      </c>
      <c r="I372" s="21">
        <v>7643</v>
      </c>
      <c r="J372" s="21">
        <v>3496</v>
      </c>
      <c r="K372" s="21">
        <v>1398</v>
      </c>
      <c r="L372" s="21">
        <v>5455</v>
      </c>
      <c r="M372" s="21">
        <v>3843</v>
      </c>
      <c r="N372" s="21">
        <v>9828</v>
      </c>
      <c r="O372" s="21">
        <v>6336</v>
      </c>
      <c r="P372" s="21">
        <v>4250</v>
      </c>
      <c r="Q372" s="21">
        <v>6459</v>
      </c>
      <c r="R372" s="21">
        <v>4315</v>
      </c>
      <c r="S372" s="21">
        <v>8860</v>
      </c>
      <c r="T372" s="21">
        <v>6514</v>
      </c>
      <c r="U372" s="22">
        <v>2400</v>
      </c>
      <c r="W372" s="15"/>
      <c r="Z372"/>
      <c r="AA372"/>
    </row>
    <row r="373" spans="1:27" s="19" customFormat="1" ht="19.149999999999999" customHeight="1" x14ac:dyDescent="0.25">
      <c r="A373" s="25" t="s">
        <v>376</v>
      </c>
      <c r="B373" s="20">
        <v>381</v>
      </c>
      <c r="C373" s="21">
        <v>9960</v>
      </c>
      <c r="D373" s="21">
        <v>8524</v>
      </c>
      <c r="E373" s="21">
        <v>897</v>
      </c>
      <c r="F373" s="21">
        <v>1680</v>
      </c>
      <c r="G373" s="21">
        <v>466</v>
      </c>
      <c r="H373" s="21">
        <v>7885</v>
      </c>
      <c r="I373" s="21">
        <v>8504</v>
      </c>
      <c r="J373" s="21">
        <v>3124</v>
      </c>
      <c r="K373" s="21">
        <v>185</v>
      </c>
      <c r="L373" s="21">
        <v>5281</v>
      </c>
      <c r="M373" s="21">
        <v>5663</v>
      </c>
      <c r="N373" s="21">
        <v>2888</v>
      </c>
      <c r="O373" s="21">
        <v>3006</v>
      </c>
      <c r="P373" s="21">
        <v>255</v>
      </c>
      <c r="Q373" s="21">
        <v>8499</v>
      </c>
      <c r="R373" s="21">
        <v>3384</v>
      </c>
      <c r="S373" s="21">
        <v>1881</v>
      </c>
      <c r="T373" s="21">
        <v>6329</v>
      </c>
      <c r="U373" s="22">
        <v>2967</v>
      </c>
      <c r="W373" s="15"/>
      <c r="Z373"/>
      <c r="AA373"/>
    </row>
    <row r="374" spans="1:27" s="19" customFormat="1" ht="19.149999999999999" customHeight="1" x14ac:dyDescent="0.25">
      <c r="A374" s="25" t="s">
        <v>377</v>
      </c>
      <c r="B374" s="20">
        <v>157</v>
      </c>
      <c r="C374" s="21">
        <v>8912</v>
      </c>
      <c r="D374" s="21">
        <v>4605</v>
      </c>
      <c r="E374" s="21">
        <v>5995</v>
      </c>
      <c r="F374" s="21">
        <v>1332</v>
      </c>
      <c r="G374" s="21">
        <v>3120</v>
      </c>
      <c r="H374" s="21">
        <v>5943</v>
      </c>
      <c r="I374" s="21">
        <v>4768</v>
      </c>
      <c r="J374" s="21">
        <v>3303</v>
      </c>
      <c r="K374" s="21">
        <v>5590</v>
      </c>
      <c r="L374" s="21">
        <v>7414</v>
      </c>
      <c r="M374" s="21">
        <v>3761</v>
      </c>
      <c r="N374" s="21">
        <v>1773</v>
      </c>
      <c r="O374" s="21">
        <v>6229</v>
      </c>
      <c r="P374" s="21">
        <v>7805</v>
      </c>
      <c r="Q374" s="21">
        <v>3977</v>
      </c>
      <c r="R374" s="21">
        <v>8410</v>
      </c>
      <c r="S374" s="21">
        <v>4795</v>
      </c>
      <c r="T374" s="21">
        <v>2711</v>
      </c>
      <c r="U374" s="22">
        <v>7432</v>
      </c>
      <c r="W374" s="15"/>
      <c r="Z374"/>
      <c r="AA374"/>
    </row>
    <row r="375" spans="1:27" s="19" customFormat="1" ht="19.149999999999999" customHeight="1" x14ac:dyDescent="0.25">
      <c r="A375" s="25" t="s">
        <v>378</v>
      </c>
      <c r="B375" s="20">
        <v>5690</v>
      </c>
      <c r="C375" s="21">
        <v>5817</v>
      </c>
      <c r="D375" s="21">
        <v>4266</v>
      </c>
      <c r="E375" s="21">
        <v>3969</v>
      </c>
      <c r="F375" s="21">
        <v>9869</v>
      </c>
      <c r="G375" s="21">
        <v>1355</v>
      </c>
      <c r="H375" s="21">
        <v>1779</v>
      </c>
      <c r="I375" s="21">
        <v>6466</v>
      </c>
      <c r="J375" s="21">
        <v>4600</v>
      </c>
      <c r="K375" s="21">
        <v>5397</v>
      </c>
      <c r="L375" s="21">
        <v>809</v>
      </c>
      <c r="M375" s="21">
        <v>4872</v>
      </c>
      <c r="N375" s="21">
        <v>1909</v>
      </c>
      <c r="O375" s="21">
        <v>4585</v>
      </c>
      <c r="P375" s="21">
        <v>1921</v>
      </c>
      <c r="Q375" s="21">
        <v>7378</v>
      </c>
      <c r="R375" s="21">
        <v>3215</v>
      </c>
      <c r="S375" s="21">
        <v>7447</v>
      </c>
      <c r="T375" s="21">
        <v>1272</v>
      </c>
      <c r="U375" s="22">
        <v>696</v>
      </c>
      <c r="W375" s="15"/>
      <c r="Z375"/>
      <c r="AA375"/>
    </row>
    <row r="376" spans="1:27" s="19" customFormat="1" ht="19.149999999999999" customHeight="1" x14ac:dyDescent="0.25">
      <c r="A376" s="25" t="s">
        <v>379</v>
      </c>
      <c r="B376" s="20">
        <v>9595</v>
      </c>
      <c r="C376" s="21">
        <v>3350</v>
      </c>
      <c r="D376" s="21">
        <v>6255</v>
      </c>
      <c r="E376" s="21">
        <v>7335</v>
      </c>
      <c r="F376" s="21">
        <v>6406</v>
      </c>
      <c r="G376" s="21">
        <v>1258</v>
      </c>
      <c r="H376" s="21">
        <v>9615</v>
      </c>
      <c r="I376" s="21">
        <v>7470</v>
      </c>
      <c r="J376" s="21">
        <v>566</v>
      </c>
      <c r="K376" s="21">
        <v>5336</v>
      </c>
      <c r="L376" s="21">
        <v>1259</v>
      </c>
      <c r="M376" s="21">
        <v>3447</v>
      </c>
      <c r="N376" s="21">
        <v>5437</v>
      </c>
      <c r="O376" s="21">
        <v>2428</v>
      </c>
      <c r="P376" s="21">
        <v>6818</v>
      </c>
      <c r="Q376" s="21">
        <v>8974</v>
      </c>
      <c r="R376" s="21">
        <v>474</v>
      </c>
      <c r="S376" s="21">
        <v>4669</v>
      </c>
      <c r="T376" s="21">
        <v>2982</v>
      </c>
      <c r="U376" s="22">
        <v>1581</v>
      </c>
      <c r="W376" s="15"/>
      <c r="Z376"/>
      <c r="AA376"/>
    </row>
    <row r="377" spans="1:27" s="19" customFormat="1" ht="19.149999999999999" customHeight="1" x14ac:dyDescent="0.25">
      <c r="A377" s="25" t="s">
        <v>380</v>
      </c>
      <c r="B377" s="20">
        <v>2339</v>
      </c>
      <c r="C377" s="21">
        <v>6965</v>
      </c>
      <c r="D377" s="21">
        <v>8457</v>
      </c>
      <c r="E377" s="21">
        <v>8739</v>
      </c>
      <c r="F377" s="21">
        <v>7338</v>
      </c>
      <c r="G377" s="21">
        <v>1447</v>
      </c>
      <c r="H377" s="21">
        <v>3055</v>
      </c>
      <c r="I377" s="21">
        <v>6135</v>
      </c>
      <c r="J377" s="21">
        <v>2417</v>
      </c>
      <c r="K377" s="21">
        <v>4190</v>
      </c>
      <c r="L377" s="21">
        <v>9679</v>
      </c>
      <c r="M377" s="21">
        <v>7770</v>
      </c>
      <c r="N377" s="21">
        <v>220</v>
      </c>
      <c r="O377" s="21">
        <v>8539</v>
      </c>
      <c r="P377" s="21">
        <v>2904</v>
      </c>
      <c r="Q377" s="21">
        <v>8868</v>
      </c>
      <c r="R377" s="21">
        <v>2221</v>
      </c>
      <c r="S377" s="21">
        <v>476</v>
      </c>
      <c r="T377" s="21">
        <v>5838</v>
      </c>
      <c r="U377" s="22">
        <v>9007</v>
      </c>
      <c r="W377" s="15"/>
      <c r="Z377"/>
      <c r="AA377"/>
    </row>
    <row r="378" spans="1:27" s="19" customFormat="1" ht="19.149999999999999" customHeight="1" x14ac:dyDescent="0.25">
      <c r="A378" s="25" t="s">
        <v>381</v>
      </c>
      <c r="B378" s="20">
        <v>8006</v>
      </c>
      <c r="C378" s="21">
        <v>3942</v>
      </c>
      <c r="D378" s="21">
        <v>1158</v>
      </c>
      <c r="E378" s="21">
        <v>8691</v>
      </c>
      <c r="F378" s="21">
        <v>8427</v>
      </c>
      <c r="G378" s="21">
        <v>4450</v>
      </c>
      <c r="H378" s="21">
        <v>2016</v>
      </c>
      <c r="I378" s="21">
        <v>7004</v>
      </c>
      <c r="J378" s="21">
        <v>1239</v>
      </c>
      <c r="K378" s="21">
        <v>5194</v>
      </c>
      <c r="L378" s="21">
        <v>8453</v>
      </c>
      <c r="M378" s="21">
        <v>1801</v>
      </c>
      <c r="N378" s="21">
        <v>3160</v>
      </c>
      <c r="O378" s="21">
        <v>2632</v>
      </c>
      <c r="P378" s="21">
        <v>2068</v>
      </c>
      <c r="Q378" s="21">
        <v>6975</v>
      </c>
      <c r="R378" s="21">
        <v>8712</v>
      </c>
      <c r="S378" s="21">
        <v>4730</v>
      </c>
      <c r="T378" s="21">
        <v>6753</v>
      </c>
      <c r="U378" s="22">
        <v>422</v>
      </c>
      <c r="W378" s="15"/>
      <c r="Z378"/>
      <c r="AA378"/>
    </row>
    <row r="379" spans="1:27" s="19" customFormat="1" ht="19.149999999999999" customHeight="1" x14ac:dyDescent="0.25">
      <c r="A379" s="25" t="s">
        <v>382</v>
      </c>
      <c r="B379" s="20">
        <v>3534</v>
      </c>
      <c r="C379" s="21">
        <v>2239</v>
      </c>
      <c r="D379" s="21">
        <v>3684</v>
      </c>
      <c r="E379" s="21">
        <v>1648</v>
      </c>
      <c r="F379" s="21">
        <v>3975</v>
      </c>
      <c r="G379" s="21">
        <v>3978</v>
      </c>
      <c r="H379" s="21">
        <v>4566</v>
      </c>
      <c r="I379" s="21">
        <v>9888</v>
      </c>
      <c r="J379" s="21">
        <v>4715</v>
      </c>
      <c r="K379" s="21">
        <v>8121</v>
      </c>
      <c r="L379" s="21">
        <v>3748</v>
      </c>
      <c r="M379" s="21">
        <v>1770</v>
      </c>
      <c r="N379" s="21">
        <v>49</v>
      </c>
      <c r="O379" s="21">
        <v>6337</v>
      </c>
      <c r="P379" s="21">
        <v>961</v>
      </c>
      <c r="Q379" s="21">
        <v>4526</v>
      </c>
      <c r="R379" s="21">
        <v>6845</v>
      </c>
      <c r="S379" s="21">
        <v>2694</v>
      </c>
      <c r="T379" s="21">
        <v>3026</v>
      </c>
      <c r="U379" s="22">
        <v>4566</v>
      </c>
      <c r="W379" s="15"/>
      <c r="Z379"/>
      <c r="AA379"/>
    </row>
    <row r="380" spans="1:27" s="19" customFormat="1" ht="19.149999999999999" customHeight="1" x14ac:dyDescent="0.25">
      <c r="A380" s="25" t="s">
        <v>383</v>
      </c>
      <c r="B380" s="20">
        <v>2327</v>
      </c>
      <c r="C380" s="21">
        <v>1770</v>
      </c>
      <c r="D380" s="21">
        <v>3485</v>
      </c>
      <c r="E380" s="21">
        <v>6083</v>
      </c>
      <c r="F380" s="21">
        <v>8845</v>
      </c>
      <c r="G380" s="21">
        <v>8074</v>
      </c>
      <c r="H380" s="21">
        <v>8340</v>
      </c>
      <c r="I380" s="21">
        <v>4684</v>
      </c>
      <c r="J380" s="21">
        <v>2120</v>
      </c>
      <c r="K380" s="21">
        <v>9972</v>
      </c>
      <c r="L380" s="21">
        <v>9480</v>
      </c>
      <c r="M380" s="21">
        <v>1877</v>
      </c>
      <c r="N380" s="21">
        <v>8262</v>
      </c>
      <c r="O380" s="21">
        <v>872</v>
      </c>
      <c r="P380" s="21">
        <v>2647</v>
      </c>
      <c r="Q380" s="21">
        <v>7984</v>
      </c>
      <c r="R380" s="21">
        <v>1755</v>
      </c>
      <c r="S380" s="21">
        <v>5913</v>
      </c>
      <c r="T380" s="21">
        <v>7744</v>
      </c>
      <c r="U380" s="22">
        <v>9857</v>
      </c>
      <c r="W380" s="15"/>
      <c r="Z380"/>
      <c r="AA380"/>
    </row>
    <row r="381" spans="1:27" s="19" customFormat="1" ht="19.149999999999999" customHeight="1" x14ac:dyDescent="0.25">
      <c r="A381" s="25" t="s">
        <v>384</v>
      </c>
      <c r="B381" s="20">
        <v>248</v>
      </c>
      <c r="C381" s="21">
        <v>4122</v>
      </c>
      <c r="D381" s="21">
        <v>9790</v>
      </c>
      <c r="E381" s="21">
        <v>509</v>
      </c>
      <c r="F381" s="21">
        <v>5774</v>
      </c>
      <c r="G381" s="21">
        <v>9898</v>
      </c>
      <c r="H381" s="21">
        <v>6221</v>
      </c>
      <c r="I381" s="21">
        <v>4049</v>
      </c>
      <c r="J381" s="21">
        <v>4657</v>
      </c>
      <c r="K381" s="21">
        <v>6722</v>
      </c>
      <c r="L381" s="21">
        <v>5205</v>
      </c>
      <c r="M381" s="21">
        <v>7069</v>
      </c>
      <c r="N381" s="21">
        <v>9201</v>
      </c>
      <c r="O381" s="21">
        <v>7859</v>
      </c>
      <c r="P381" s="21">
        <v>5083</v>
      </c>
      <c r="Q381" s="21">
        <v>1651</v>
      </c>
      <c r="R381" s="21">
        <v>6332</v>
      </c>
      <c r="S381" s="21">
        <v>206</v>
      </c>
      <c r="T381" s="21">
        <v>3798</v>
      </c>
      <c r="U381" s="22">
        <v>1741</v>
      </c>
      <c r="W381" s="15"/>
      <c r="Z381"/>
      <c r="AA381"/>
    </row>
    <row r="382" spans="1:27" s="19" customFormat="1" ht="19.149999999999999" customHeight="1" x14ac:dyDescent="0.25">
      <c r="A382" s="25" t="s">
        <v>385</v>
      </c>
      <c r="B382" s="20">
        <v>5863</v>
      </c>
      <c r="C382" s="21">
        <v>674</v>
      </c>
      <c r="D382" s="21">
        <v>7971</v>
      </c>
      <c r="E382" s="21">
        <v>7780</v>
      </c>
      <c r="F382" s="21">
        <v>8874</v>
      </c>
      <c r="G382" s="21">
        <v>7249</v>
      </c>
      <c r="H382" s="21">
        <v>2541</v>
      </c>
      <c r="I382" s="21">
        <v>8998</v>
      </c>
      <c r="J382" s="21">
        <v>3101</v>
      </c>
      <c r="K382" s="21">
        <v>790</v>
      </c>
      <c r="L382" s="21">
        <v>3125</v>
      </c>
      <c r="M382" s="21">
        <v>1042</v>
      </c>
      <c r="N382" s="21">
        <v>3172</v>
      </c>
      <c r="O382" s="21">
        <v>9342</v>
      </c>
      <c r="P382" s="21">
        <v>1929</v>
      </c>
      <c r="Q382" s="21">
        <v>2140</v>
      </c>
      <c r="R382" s="21">
        <v>7595</v>
      </c>
      <c r="S382" s="21">
        <v>6280</v>
      </c>
      <c r="T382" s="21">
        <v>5511</v>
      </c>
      <c r="U382" s="22">
        <v>8442</v>
      </c>
      <c r="W382" s="15"/>
      <c r="Z382"/>
      <c r="AA382"/>
    </row>
    <row r="383" spans="1:27" s="19" customFormat="1" ht="19.149999999999999" customHeight="1" x14ac:dyDescent="0.25">
      <c r="A383" s="25" t="s">
        <v>386</v>
      </c>
      <c r="B383" s="20">
        <v>5118</v>
      </c>
      <c r="C383" s="21">
        <v>1244</v>
      </c>
      <c r="D383" s="21">
        <v>5307</v>
      </c>
      <c r="E383" s="21">
        <v>6920</v>
      </c>
      <c r="F383" s="21">
        <v>9259</v>
      </c>
      <c r="G383" s="21">
        <v>663</v>
      </c>
      <c r="H383" s="21">
        <v>9224</v>
      </c>
      <c r="I383" s="21">
        <v>5312</v>
      </c>
      <c r="J383" s="21">
        <v>4797</v>
      </c>
      <c r="K383" s="21">
        <v>9247</v>
      </c>
      <c r="L383" s="21">
        <v>727</v>
      </c>
      <c r="M383" s="21">
        <v>8250</v>
      </c>
      <c r="N383" s="21">
        <v>5815</v>
      </c>
      <c r="O383" s="21">
        <v>5180</v>
      </c>
      <c r="P383" s="21">
        <v>8088</v>
      </c>
      <c r="Q383" s="21">
        <v>1492</v>
      </c>
      <c r="R383" s="21">
        <v>5426</v>
      </c>
      <c r="S383" s="21">
        <v>2593</v>
      </c>
      <c r="T383" s="21">
        <v>2526</v>
      </c>
      <c r="U383" s="22">
        <v>8876</v>
      </c>
      <c r="W383" s="15"/>
      <c r="Z383"/>
      <c r="AA383"/>
    </row>
    <row r="384" spans="1:27" s="19" customFormat="1" ht="19.149999999999999" customHeight="1" x14ac:dyDescent="0.25">
      <c r="A384" s="25" t="s">
        <v>387</v>
      </c>
      <c r="B384" s="20">
        <v>3639</v>
      </c>
      <c r="C384" s="21">
        <v>6083</v>
      </c>
      <c r="D384" s="21">
        <v>510</v>
      </c>
      <c r="E384" s="21">
        <v>754</v>
      </c>
      <c r="F384" s="21">
        <v>7729</v>
      </c>
      <c r="G384" s="21">
        <v>3849</v>
      </c>
      <c r="H384" s="21">
        <v>8886</v>
      </c>
      <c r="I384" s="21">
        <v>1011</v>
      </c>
      <c r="J384" s="21">
        <v>9724</v>
      </c>
      <c r="K384" s="21">
        <v>7649</v>
      </c>
      <c r="L384" s="21">
        <v>1386</v>
      </c>
      <c r="M384" s="21">
        <v>1821</v>
      </c>
      <c r="N384" s="21">
        <v>1301</v>
      </c>
      <c r="O384" s="21">
        <v>8600</v>
      </c>
      <c r="P384" s="21">
        <v>8109</v>
      </c>
      <c r="Q384" s="21">
        <v>9811</v>
      </c>
      <c r="R384" s="21">
        <v>6414</v>
      </c>
      <c r="S384" s="21">
        <v>4212</v>
      </c>
      <c r="T384" s="21">
        <v>9866</v>
      </c>
      <c r="U384" s="22">
        <v>881</v>
      </c>
      <c r="W384" s="15"/>
      <c r="Z384"/>
      <c r="AA384"/>
    </row>
    <row r="385" spans="1:27" s="19" customFormat="1" ht="19.149999999999999" customHeight="1" x14ac:dyDescent="0.25">
      <c r="A385" s="25" t="s">
        <v>388</v>
      </c>
      <c r="B385" s="20">
        <v>9682</v>
      </c>
      <c r="C385" s="21">
        <v>8318</v>
      </c>
      <c r="D385" s="21">
        <v>4309</v>
      </c>
      <c r="E385" s="21">
        <v>3434</v>
      </c>
      <c r="F385" s="21">
        <v>215</v>
      </c>
      <c r="G385" s="21">
        <v>5647</v>
      </c>
      <c r="H385" s="21">
        <v>902</v>
      </c>
      <c r="I385" s="21">
        <v>6504</v>
      </c>
      <c r="J385" s="21">
        <v>5234</v>
      </c>
      <c r="K385" s="21">
        <v>1681</v>
      </c>
      <c r="L385" s="21">
        <v>8935</v>
      </c>
      <c r="M385" s="21">
        <v>7930</v>
      </c>
      <c r="N385" s="21">
        <v>8910</v>
      </c>
      <c r="O385" s="21">
        <v>8628</v>
      </c>
      <c r="P385" s="21">
        <v>6572</v>
      </c>
      <c r="Q385" s="21">
        <v>9390</v>
      </c>
      <c r="R385" s="21">
        <v>1190</v>
      </c>
      <c r="S385" s="21">
        <v>9628</v>
      </c>
      <c r="T385" s="21">
        <v>8204</v>
      </c>
      <c r="U385" s="22">
        <v>7361</v>
      </c>
      <c r="W385" s="15"/>
      <c r="Z385"/>
      <c r="AA385"/>
    </row>
    <row r="386" spans="1:27" s="19" customFormat="1" ht="19.149999999999999" customHeight="1" x14ac:dyDescent="0.25">
      <c r="A386" s="25" t="s">
        <v>389</v>
      </c>
      <c r="B386" s="20">
        <v>917</v>
      </c>
      <c r="C386" s="21">
        <v>2223</v>
      </c>
      <c r="D386" s="21">
        <v>9492</v>
      </c>
      <c r="E386" s="21">
        <v>6994</v>
      </c>
      <c r="F386" s="21">
        <v>1899</v>
      </c>
      <c r="G386" s="21">
        <v>8617</v>
      </c>
      <c r="H386" s="21">
        <v>4722</v>
      </c>
      <c r="I386" s="21">
        <v>3654</v>
      </c>
      <c r="J386" s="21">
        <v>352</v>
      </c>
      <c r="K386" s="21">
        <v>5222</v>
      </c>
      <c r="L386" s="21">
        <v>743</v>
      </c>
      <c r="M386" s="21">
        <v>2270</v>
      </c>
      <c r="N386" s="21">
        <v>2471</v>
      </c>
      <c r="O386" s="21">
        <v>7370</v>
      </c>
      <c r="P386" s="21">
        <v>9742</v>
      </c>
      <c r="Q386" s="21">
        <v>6066</v>
      </c>
      <c r="R386" s="21">
        <v>2146</v>
      </c>
      <c r="S386" s="21">
        <v>2590</v>
      </c>
      <c r="T386" s="21">
        <v>1549</v>
      </c>
      <c r="U386" s="22">
        <v>4791</v>
      </c>
      <c r="W386" s="15"/>
      <c r="Z386"/>
      <c r="AA386"/>
    </row>
    <row r="387" spans="1:27" s="19" customFormat="1" ht="19.149999999999999" customHeight="1" x14ac:dyDescent="0.25">
      <c r="A387" s="25" t="s">
        <v>390</v>
      </c>
      <c r="B387" s="20">
        <v>7089</v>
      </c>
      <c r="C387" s="21">
        <v>1462</v>
      </c>
      <c r="D387" s="21">
        <v>7820</v>
      </c>
      <c r="E387" s="21">
        <v>6040</v>
      </c>
      <c r="F387" s="21">
        <v>4623</v>
      </c>
      <c r="G387" s="21">
        <v>8946</v>
      </c>
      <c r="H387" s="21">
        <v>6180</v>
      </c>
      <c r="I387" s="21">
        <v>9244</v>
      </c>
      <c r="J387" s="21">
        <v>4215</v>
      </c>
      <c r="K387" s="21">
        <v>7321</v>
      </c>
      <c r="L387" s="21">
        <v>9828</v>
      </c>
      <c r="M387" s="21">
        <v>6497</v>
      </c>
      <c r="N387" s="21">
        <v>9959</v>
      </c>
      <c r="O387" s="21">
        <v>8156</v>
      </c>
      <c r="P387" s="21">
        <v>9661</v>
      </c>
      <c r="Q387" s="21">
        <v>7959</v>
      </c>
      <c r="R387" s="21">
        <v>5358</v>
      </c>
      <c r="S387" s="21">
        <v>709</v>
      </c>
      <c r="T387" s="21">
        <v>7709</v>
      </c>
      <c r="U387" s="22">
        <v>7566</v>
      </c>
      <c r="W387" s="15"/>
      <c r="Z387"/>
      <c r="AA387"/>
    </row>
    <row r="388" spans="1:27" s="19" customFormat="1" ht="19.149999999999999" customHeight="1" x14ac:dyDescent="0.25">
      <c r="A388" s="25" t="s">
        <v>391</v>
      </c>
      <c r="B388" s="20">
        <v>6345</v>
      </c>
      <c r="C388" s="21">
        <v>2560</v>
      </c>
      <c r="D388" s="21">
        <v>1100</v>
      </c>
      <c r="E388" s="21">
        <v>9523</v>
      </c>
      <c r="F388" s="21">
        <v>7619</v>
      </c>
      <c r="G388" s="21">
        <v>1975</v>
      </c>
      <c r="H388" s="21">
        <v>6492</v>
      </c>
      <c r="I388" s="21">
        <v>5775</v>
      </c>
      <c r="J388" s="21">
        <v>4758</v>
      </c>
      <c r="K388" s="21">
        <v>346</v>
      </c>
      <c r="L388" s="21">
        <v>7380</v>
      </c>
      <c r="M388" s="21">
        <v>3389</v>
      </c>
      <c r="N388" s="21">
        <v>2249</v>
      </c>
      <c r="O388" s="21">
        <v>2264</v>
      </c>
      <c r="P388" s="21">
        <v>1254</v>
      </c>
      <c r="Q388" s="21">
        <v>2563</v>
      </c>
      <c r="R388" s="21">
        <v>6442</v>
      </c>
      <c r="S388" s="21">
        <v>3678</v>
      </c>
      <c r="T388" s="21">
        <v>2414</v>
      </c>
      <c r="U388" s="22">
        <v>7294</v>
      </c>
      <c r="W388" s="15"/>
      <c r="Z388"/>
      <c r="AA388"/>
    </row>
    <row r="389" spans="1:27" s="19" customFormat="1" ht="19.149999999999999" customHeight="1" x14ac:dyDescent="0.25">
      <c r="A389" s="25" t="s">
        <v>392</v>
      </c>
      <c r="B389" s="20">
        <v>7049</v>
      </c>
      <c r="C389" s="21">
        <v>7693</v>
      </c>
      <c r="D389" s="21">
        <v>2056</v>
      </c>
      <c r="E389" s="21">
        <v>5566</v>
      </c>
      <c r="F389" s="21">
        <v>966</v>
      </c>
      <c r="G389" s="21">
        <v>5042</v>
      </c>
      <c r="H389" s="21">
        <v>7750</v>
      </c>
      <c r="I389" s="21">
        <v>926</v>
      </c>
      <c r="J389" s="21">
        <v>9279</v>
      </c>
      <c r="K389" s="21">
        <v>6286</v>
      </c>
      <c r="L389" s="21">
        <v>8110</v>
      </c>
      <c r="M389" s="21">
        <v>5138</v>
      </c>
      <c r="N389" s="21">
        <v>483</v>
      </c>
      <c r="O389" s="21">
        <v>6023</v>
      </c>
      <c r="P389" s="21">
        <v>2714</v>
      </c>
      <c r="Q389" s="21">
        <v>6771</v>
      </c>
      <c r="R389" s="21">
        <v>6424</v>
      </c>
      <c r="S389" s="21">
        <v>4014</v>
      </c>
      <c r="T389" s="21">
        <v>5660</v>
      </c>
      <c r="U389" s="22">
        <v>562</v>
      </c>
      <c r="W389" s="15"/>
      <c r="Z389"/>
      <c r="AA389"/>
    </row>
    <row r="390" spans="1:27" s="19" customFormat="1" ht="19.149999999999999" customHeight="1" x14ac:dyDescent="0.25">
      <c r="A390" s="25" t="s">
        <v>393</v>
      </c>
      <c r="B390" s="20">
        <v>1881</v>
      </c>
      <c r="C390" s="21">
        <v>95</v>
      </c>
      <c r="D390" s="21">
        <v>4300</v>
      </c>
      <c r="E390" s="21">
        <v>4404</v>
      </c>
      <c r="F390" s="21">
        <v>5170</v>
      </c>
      <c r="G390" s="21">
        <v>7695</v>
      </c>
      <c r="H390" s="21">
        <v>3105</v>
      </c>
      <c r="I390" s="21">
        <v>2234</v>
      </c>
      <c r="J390" s="21">
        <v>2985</v>
      </c>
      <c r="K390" s="21">
        <v>6089</v>
      </c>
      <c r="L390" s="21">
        <v>1971</v>
      </c>
      <c r="M390" s="21">
        <v>5023</v>
      </c>
      <c r="N390" s="21">
        <v>6246</v>
      </c>
      <c r="O390" s="21">
        <v>1777</v>
      </c>
      <c r="P390" s="21">
        <v>9777</v>
      </c>
      <c r="Q390" s="21">
        <v>3821</v>
      </c>
      <c r="R390" s="21">
        <v>4611</v>
      </c>
      <c r="S390" s="21">
        <v>9547</v>
      </c>
      <c r="T390" s="21">
        <v>8039</v>
      </c>
      <c r="U390" s="22">
        <v>7883</v>
      </c>
      <c r="W390" s="15"/>
      <c r="Z390"/>
      <c r="AA390"/>
    </row>
    <row r="391" spans="1:27" s="19" customFormat="1" ht="19.149999999999999" customHeight="1" x14ac:dyDescent="0.25">
      <c r="A391" s="25" t="s">
        <v>394</v>
      </c>
      <c r="B391" s="20">
        <v>3016</v>
      </c>
      <c r="C391" s="21">
        <v>4805</v>
      </c>
      <c r="D391" s="21">
        <v>5822</v>
      </c>
      <c r="E391" s="21">
        <v>5830</v>
      </c>
      <c r="F391" s="21">
        <v>7662</v>
      </c>
      <c r="G391" s="21">
        <v>266</v>
      </c>
      <c r="H391" s="21">
        <v>3234</v>
      </c>
      <c r="I391" s="21">
        <v>5062</v>
      </c>
      <c r="J391" s="21">
        <v>6373</v>
      </c>
      <c r="K391" s="21">
        <v>9732</v>
      </c>
      <c r="L391" s="21">
        <v>8232</v>
      </c>
      <c r="M391" s="21">
        <v>7808</v>
      </c>
      <c r="N391" s="21">
        <v>7437</v>
      </c>
      <c r="O391" s="21">
        <v>5820</v>
      </c>
      <c r="P391" s="21">
        <v>5652</v>
      </c>
      <c r="Q391" s="21">
        <v>161</v>
      </c>
      <c r="R391" s="21">
        <v>334</v>
      </c>
      <c r="S391" s="21">
        <v>989</v>
      </c>
      <c r="T391" s="21">
        <v>4706</v>
      </c>
      <c r="U391" s="22">
        <v>8180</v>
      </c>
      <c r="W391" s="15"/>
      <c r="Z391"/>
      <c r="AA391"/>
    </row>
    <row r="392" spans="1:27" s="19" customFormat="1" ht="19.149999999999999" customHeight="1" x14ac:dyDescent="0.25">
      <c r="A392" s="25" t="s">
        <v>395</v>
      </c>
      <c r="B392" s="20">
        <v>4218</v>
      </c>
      <c r="C392" s="21">
        <v>5616</v>
      </c>
      <c r="D392" s="21">
        <v>1964</v>
      </c>
      <c r="E392" s="21">
        <v>6059</v>
      </c>
      <c r="F392" s="21">
        <v>518</v>
      </c>
      <c r="G392" s="21">
        <v>2403</v>
      </c>
      <c r="H392" s="21">
        <v>5610</v>
      </c>
      <c r="I392" s="21">
        <v>1838</v>
      </c>
      <c r="J392" s="21">
        <v>1738</v>
      </c>
      <c r="K392" s="21">
        <v>7057</v>
      </c>
      <c r="L392" s="21">
        <v>4660</v>
      </c>
      <c r="M392" s="21">
        <v>8298</v>
      </c>
      <c r="N392" s="21">
        <v>7243</v>
      </c>
      <c r="O392" s="21">
        <v>7800</v>
      </c>
      <c r="P392" s="21">
        <v>9748</v>
      </c>
      <c r="Q392" s="21">
        <v>4509</v>
      </c>
      <c r="R392" s="21">
        <v>2225</v>
      </c>
      <c r="S392" s="21">
        <v>5115</v>
      </c>
      <c r="T392" s="21">
        <v>5780</v>
      </c>
      <c r="U392" s="22">
        <v>1871</v>
      </c>
      <c r="W392" s="15"/>
      <c r="Z392"/>
      <c r="AA392"/>
    </row>
    <row r="393" spans="1:27" s="19" customFormat="1" ht="19.149999999999999" customHeight="1" x14ac:dyDescent="0.25">
      <c r="A393" s="25" t="s">
        <v>396</v>
      </c>
      <c r="B393" s="20">
        <v>1849</v>
      </c>
      <c r="C393" s="21">
        <v>4196</v>
      </c>
      <c r="D393" s="21">
        <v>8264</v>
      </c>
      <c r="E393" s="21">
        <v>9757</v>
      </c>
      <c r="F393" s="21">
        <v>6505</v>
      </c>
      <c r="G393" s="21">
        <v>8628</v>
      </c>
      <c r="H393" s="21">
        <v>7276</v>
      </c>
      <c r="I393" s="21">
        <v>6918</v>
      </c>
      <c r="J393" s="21">
        <v>6612</v>
      </c>
      <c r="K393" s="21">
        <v>7386</v>
      </c>
      <c r="L393" s="21">
        <v>6851</v>
      </c>
      <c r="M393" s="21">
        <v>4811</v>
      </c>
      <c r="N393" s="21">
        <v>5050</v>
      </c>
      <c r="O393" s="21">
        <v>7342</v>
      </c>
      <c r="P393" s="21">
        <v>8369</v>
      </c>
      <c r="Q393" s="21">
        <v>6792</v>
      </c>
      <c r="R393" s="21">
        <v>2215</v>
      </c>
      <c r="S393" s="21">
        <v>8891</v>
      </c>
      <c r="T393" s="21">
        <v>2160</v>
      </c>
      <c r="U393" s="22">
        <v>7592</v>
      </c>
      <c r="W393" s="15"/>
      <c r="Z393"/>
      <c r="AA393"/>
    </row>
    <row r="394" spans="1:27" s="19" customFormat="1" ht="19.149999999999999" customHeight="1" x14ac:dyDescent="0.25">
      <c r="A394" s="25" t="s">
        <v>397</v>
      </c>
      <c r="B394" s="20">
        <v>3157</v>
      </c>
      <c r="C394" s="21">
        <v>8992</v>
      </c>
      <c r="D394" s="21">
        <v>5409</v>
      </c>
      <c r="E394" s="21">
        <v>5490</v>
      </c>
      <c r="F394" s="21">
        <v>4482</v>
      </c>
      <c r="G394" s="21">
        <v>7483</v>
      </c>
      <c r="H394" s="21">
        <v>5453</v>
      </c>
      <c r="I394" s="21">
        <v>2897</v>
      </c>
      <c r="J394" s="21">
        <v>2243</v>
      </c>
      <c r="K394" s="21">
        <v>2302</v>
      </c>
      <c r="L394" s="21">
        <v>9959</v>
      </c>
      <c r="M394" s="21">
        <v>4076</v>
      </c>
      <c r="N394" s="21">
        <v>6040</v>
      </c>
      <c r="O394" s="21">
        <v>7472</v>
      </c>
      <c r="P394" s="21">
        <v>828</v>
      </c>
      <c r="Q394" s="21">
        <v>7447</v>
      </c>
      <c r="R394" s="21">
        <v>3050</v>
      </c>
      <c r="S394" s="21">
        <v>1175</v>
      </c>
      <c r="T394" s="21">
        <v>4223</v>
      </c>
      <c r="U394" s="22">
        <v>4653</v>
      </c>
      <c r="W394" s="15"/>
      <c r="Z394"/>
      <c r="AA394"/>
    </row>
    <row r="395" spans="1:27" s="19" customFormat="1" ht="19.149999999999999" customHeight="1" x14ac:dyDescent="0.25">
      <c r="A395" s="25" t="s">
        <v>398</v>
      </c>
      <c r="B395" s="20">
        <v>226</v>
      </c>
      <c r="C395" s="21">
        <v>1962</v>
      </c>
      <c r="D395" s="21">
        <v>1822</v>
      </c>
      <c r="E395" s="21">
        <v>5244</v>
      </c>
      <c r="F395" s="21">
        <v>4796</v>
      </c>
      <c r="G395" s="21">
        <v>3045</v>
      </c>
      <c r="H395" s="21">
        <v>6825</v>
      </c>
      <c r="I395" s="21">
        <v>6350</v>
      </c>
      <c r="J395" s="21">
        <v>7238</v>
      </c>
      <c r="K395" s="21">
        <v>8971</v>
      </c>
      <c r="L395" s="21">
        <v>1782</v>
      </c>
      <c r="M395" s="21">
        <v>2621</v>
      </c>
      <c r="N395" s="21">
        <v>3089</v>
      </c>
      <c r="O395" s="21">
        <v>1012</v>
      </c>
      <c r="P395" s="21">
        <v>1579</v>
      </c>
      <c r="Q395" s="21">
        <v>2661</v>
      </c>
      <c r="R395" s="21">
        <v>7839</v>
      </c>
      <c r="S395" s="21">
        <v>6846</v>
      </c>
      <c r="T395" s="21">
        <v>9571</v>
      </c>
      <c r="U395" s="22">
        <v>7570</v>
      </c>
      <c r="W395" s="15"/>
      <c r="Z395"/>
      <c r="AA395"/>
    </row>
    <row r="396" spans="1:27" s="19" customFormat="1" ht="19.149999999999999" customHeight="1" x14ac:dyDescent="0.25">
      <c r="A396" s="25" t="s">
        <v>399</v>
      </c>
      <c r="B396" s="20">
        <v>2772</v>
      </c>
      <c r="C396" s="21">
        <v>548</v>
      </c>
      <c r="D396" s="21">
        <v>859</v>
      </c>
      <c r="E396" s="21">
        <v>3321</v>
      </c>
      <c r="F396" s="21">
        <v>7289</v>
      </c>
      <c r="G396" s="21">
        <v>7544</v>
      </c>
      <c r="H396" s="21">
        <v>2535</v>
      </c>
      <c r="I396" s="21">
        <v>6306</v>
      </c>
      <c r="J396" s="21">
        <v>4542</v>
      </c>
      <c r="K396" s="21">
        <v>6263</v>
      </c>
      <c r="L396" s="21">
        <v>9490</v>
      </c>
      <c r="M396" s="21">
        <v>6592</v>
      </c>
      <c r="N396" s="21">
        <v>5187</v>
      </c>
      <c r="O396" s="21">
        <v>9525</v>
      </c>
      <c r="P396" s="21">
        <v>239</v>
      </c>
      <c r="Q396" s="21">
        <v>9553</v>
      </c>
      <c r="R396" s="21">
        <v>8504</v>
      </c>
      <c r="S396" s="21">
        <v>2329</v>
      </c>
      <c r="T396" s="21">
        <v>1289</v>
      </c>
      <c r="U396" s="22">
        <v>4378</v>
      </c>
      <c r="W396" s="15"/>
      <c r="Z396"/>
      <c r="AA396"/>
    </row>
    <row r="397" spans="1:27" s="19" customFormat="1" ht="19.149999999999999" customHeight="1" x14ac:dyDescent="0.25">
      <c r="A397" s="25" t="s">
        <v>400</v>
      </c>
      <c r="B397" s="20">
        <v>7090</v>
      </c>
      <c r="C397" s="21">
        <v>9540</v>
      </c>
      <c r="D397" s="21">
        <v>3125</v>
      </c>
      <c r="E397" s="21">
        <v>1489</v>
      </c>
      <c r="F397" s="21">
        <v>4364</v>
      </c>
      <c r="G397" s="21">
        <v>9104</v>
      </c>
      <c r="H397" s="21">
        <v>9383</v>
      </c>
      <c r="I397" s="21">
        <v>84</v>
      </c>
      <c r="J397" s="21">
        <v>4592</v>
      </c>
      <c r="K397" s="21">
        <v>6760</v>
      </c>
      <c r="L397" s="21">
        <v>9215</v>
      </c>
      <c r="M397" s="21">
        <v>9669</v>
      </c>
      <c r="N397" s="21">
        <v>2267</v>
      </c>
      <c r="O397" s="21">
        <v>1588</v>
      </c>
      <c r="P397" s="21">
        <v>21</v>
      </c>
      <c r="Q397" s="21">
        <v>8080</v>
      </c>
      <c r="R397" s="21">
        <v>7345</v>
      </c>
      <c r="S397" s="21">
        <v>5221</v>
      </c>
      <c r="T397" s="21">
        <v>4312</v>
      </c>
      <c r="U397" s="22">
        <v>4686</v>
      </c>
      <c r="W397" s="15"/>
      <c r="Z397"/>
      <c r="AA397"/>
    </row>
    <row r="398" spans="1:27" s="19" customFormat="1" ht="19.149999999999999" customHeight="1" x14ac:dyDescent="0.25">
      <c r="A398" s="25" t="s">
        <v>401</v>
      </c>
      <c r="B398" s="20">
        <v>9991</v>
      </c>
      <c r="C398" s="21">
        <v>7371</v>
      </c>
      <c r="D398" s="21">
        <v>9502</v>
      </c>
      <c r="E398" s="21">
        <v>6251</v>
      </c>
      <c r="F398" s="21">
        <v>561</v>
      </c>
      <c r="G398" s="21">
        <v>5584</v>
      </c>
      <c r="H398" s="21">
        <v>4471</v>
      </c>
      <c r="I398" s="21">
        <v>7857</v>
      </c>
      <c r="J398" s="21">
        <v>3720</v>
      </c>
      <c r="K398" s="21">
        <v>8479</v>
      </c>
      <c r="L398" s="21">
        <v>2286</v>
      </c>
      <c r="M398" s="21">
        <v>8125</v>
      </c>
      <c r="N398" s="21">
        <v>7549</v>
      </c>
      <c r="O398" s="21">
        <v>6210</v>
      </c>
      <c r="P398" s="21">
        <v>4533</v>
      </c>
      <c r="Q398" s="21">
        <v>1578</v>
      </c>
      <c r="R398" s="21">
        <v>4699</v>
      </c>
      <c r="S398" s="21">
        <v>916</v>
      </c>
      <c r="T398" s="21">
        <v>7947</v>
      </c>
      <c r="U398" s="22">
        <v>3983</v>
      </c>
      <c r="W398" s="15"/>
      <c r="Z398"/>
      <c r="AA398"/>
    </row>
    <row r="399" spans="1:27" s="19" customFormat="1" ht="19.149999999999999" customHeight="1" x14ac:dyDescent="0.25">
      <c r="A399" s="25" t="s">
        <v>402</v>
      </c>
      <c r="B399" s="20">
        <v>1651</v>
      </c>
      <c r="C399" s="21">
        <v>7833</v>
      </c>
      <c r="D399" s="21">
        <v>5100</v>
      </c>
      <c r="E399" s="21">
        <v>5842</v>
      </c>
      <c r="F399" s="21">
        <v>5235</v>
      </c>
      <c r="G399" s="21">
        <v>1133</v>
      </c>
      <c r="H399" s="21">
        <v>7921</v>
      </c>
      <c r="I399" s="21">
        <v>3611</v>
      </c>
      <c r="J399" s="21">
        <v>302</v>
      </c>
      <c r="K399" s="21">
        <v>7271</v>
      </c>
      <c r="L399" s="21">
        <v>6837</v>
      </c>
      <c r="M399" s="21">
        <v>8343</v>
      </c>
      <c r="N399" s="21">
        <v>5</v>
      </c>
      <c r="O399" s="21">
        <v>211</v>
      </c>
      <c r="P399" s="21">
        <v>9500</v>
      </c>
      <c r="Q399" s="21">
        <v>8390</v>
      </c>
      <c r="R399" s="21">
        <v>3777</v>
      </c>
      <c r="S399" s="21">
        <v>2560</v>
      </c>
      <c r="T399" s="21">
        <v>7384</v>
      </c>
      <c r="U399" s="22">
        <v>6436</v>
      </c>
      <c r="W399" s="15"/>
      <c r="Z399"/>
      <c r="AA399"/>
    </row>
    <row r="400" spans="1:27" s="19" customFormat="1" ht="19.149999999999999" customHeight="1" x14ac:dyDescent="0.25">
      <c r="A400" s="25" t="s">
        <v>403</v>
      </c>
      <c r="B400" s="20">
        <v>5093</v>
      </c>
      <c r="C400" s="21">
        <v>637</v>
      </c>
      <c r="D400" s="21">
        <v>6602</v>
      </c>
      <c r="E400" s="21">
        <v>9745</v>
      </c>
      <c r="F400" s="21">
        <v>1534</v>
      </c>
      <c r="G400" s="21">
        <v>2451</v>
      </c>
      <c r="H400" s="21">
        <v>5199</v>
      </c>
      <c r="I400" s="21">
        <v>5230</v>
      </c>
      <c r="J400" s="21">
        <v>1741</v>
      </c>
      <c r="K400" s="21">
        <v>812</v>
      </c>
      <c r="L400" s="21">
        <v>7056</v>
      </c>
      <c r="M400" s="21">
        <v>3590</v>
      </c>
      <c r="N400" s="21">
        <v>6991</v>
      </c>
      <c r="O400" s="21">
        <v>7251</v>
      </c>
      <c r="P400" s="21">
        <v>709</v>
      </c>
      <c r="Q400" s="21">
        <v>7081</v>
      </c>
      <c r="R400" s="21">
        <v>5578</v>
      </c>
      <c r="S400" s="21">
        <v>5624</v>
      </c>
      <c r="T400" s="21">
        <v>5627</v>
      </c>
      <c r="U400" s="22">
        <v>6361</v>
      </c>
      <c r="W400" s="15"/>
      <c r="Z400"/>
      <c r="AA400"/>
    </row>
    <row r="401" spans="1:27" s="19" customFormat="1" ht="19.149999999999999" customHeight="1" thickBot="1" x14ac:dyDescent="0.3">
      <c r="A401" s="25" t="s">
        <v>404</v>
      </c>
      <c r="B401" s="29">
        <v>4455</v>
      </c>
      <c r="C401" s="30">
        <v>303</v>
      </c>
      <c r="D401" s="30">
        <v>2586</v>
      </c>
      <c r="E401" s="30">
        <v>6718</v>
      </c>
      <c r="F401" s="30">
        <v>6845</v>
      </c>
      <c r="G401" s="30">
        <v>3340</v>
      </c>
      <c r="H401" s="30">
        <v>1753</v>
      </c>
      <c r="I401" s="30">
        <v>4927</v>
      </c>
      <c r="J401" s="30">
        <v>2346</v>
      </c>
      <c r="K401" s="30">
        <v>8373</v>
      </c>
      <c r="L401" s="30">
        <v>4288</v>
      </c>
      <c r="M401" s="30">
        <v>2573</v>
      </c>
      <c r="N401" s="30">
        <v>1531</v>
      </c>
      <c r="O401" s="30">
        <v>8371</v>
      </c>
      <c r="P401" s="30">
        <v>9894</v>
      </c>
      <c r="Q401" s="30">
        <v>8274</v>
      </c>
      <c r="R401" s="30">
        <v>7769</v>
      </c>
      <c r="S401" s="30">
        <v>8567</v>
      </c>
      <c r="T401" s="30">
        <v>9466</v>
      </c>
      <c r="U401" s="31">
        <v>666</v>
      </c>
      <c r="W401" s="15"/>
      <c r="Z401"/>
      <c r="AA401"/>
    </row>
    <row r="402" spans="1:27" s="19" customFormat="1" ht="19.149999999999999" customHeight="1" x14ac:dyDescent="0.25">
      <c r="W402" s="15"/>
      <c r="Z402"/>
      <c r="AA402"/>
    </row>
    <row r="403" spans="1:27" s="19" customFormat="1" ht="19.149999999999999" customHeight="1" x14ac:dyDescent="0.25">
      <c r="W403" s="15"/>
      <c r="Z403"/>
      <c r="AA403"/>
    </row>
    <row r="404" spans="1:27" s="19" customFormat="1" ht="19.149999999999999" customHeight="1" x14ac:dyDescent="0.25">
      <c r="W404" s="15"/>
      <c r="Z404"/>
      <c r="AA404"/>
    </row>
    <row r="405" spans="1:27" s="19" customFormat="1" ht="19.149999999999999" customHeight="1" x14ac:dyDescent="0.25">
      <c r="W405" s="15"/>
      <c r="Z405"/>
      <c r="AA405"/>
    </row>
    <row r="406" spans="1:27" s="19" customFormat="1" ht="19.149999999999999" customHeight="1" x14ac:dyDescent="0.25">
      <c r="W406" s="15"/>
      <c r="Z406"/>
      <c r="AA406"/>
    </row>
    <row r="407" spans="1:27" s="19" customFormat="1" ht="19.149999999999999" customHeight="1" x14ac:dyDescent="0.25">
      <c r="W407" s="15"/>
      <c r="Z407"/>
      <c r="AA407"/>
    </row>
    <row r="408" spans="1:27" s="19" customFormat="1" ht="19.149999999999999" customHeight="1" x14ac:dyDescent="0.25">
      <c r="W408" s="15"/>
      <c r="Z408"/>
      <c r="AA408"/>
    </row>
    <row r="409" spans="1:27" s="19" customFormat="1" ht="19.149999999999999" customHeight="1" x14ac:dyDescent="0.25">
      <c r="W409" s="15"/>
      <c r="Z409"/>
      <c r="AA409"/>
    </row>
    <row r="410" spans="1:27" s="19" customFormat="1" ht="19.149999999999999" customHeight="1" x14ac:dyDescent="0.25">
      <c r="W410" s="15"/>
      <c r="Z410"/>
      <c r="AA410"/>
    </row>
    <row r="411" spans="1:27" s="19" customFormat="1" ht="19.149999999999999" customHeight="1" x14ac:dyDescent="0.25">
      <c r="W411" s="15"/>
      <c r="Z411"/>
      <c r="AA411"/>
    </row>
    <row r="412" spans="1:27" s="19" customFormat="1" ht="19.149999999999999" customHeight="1" x14ac:dyDescent="0.25">
      <c r="W412" s="15"/>
      <c r="Z412"/>
      <c r="AA412"/>
    </row>
    <row r="413" spans="1:27" s="19" customFormat="1" ht="19.149999999999999" customHeight="1" x14ac:dyDescent="0.25">
      <c r="W413" s="15"/>
      <c r="Z413"/>
      <c r="AA413"/>
    </row>
    <row r="414" spans="1:27" s="19" customFormat="1" ht="19.149999999999999" customHeight="1" x14ac:dyDescent="0.25">
      <c r="W414" s="15"/>
      <c r="Z414"/>
      <c r="AA414"/>
    </row>
    <row r="415" spans="1:27" s="19" customFormat="1" ht="19.149999999999999" customHeight="1" x14ac:dyDescent="0.25">
      <c r="W415" s="15"/>
      <c r="Z415"/>
      <c r="AA415"/>
    </row>
    <row r="416" spans="1:27" s="19" customFormat="1" ht="19.149999999999999" customHeight="1" x14ac:dyDescent="0.25">
      <c r="W416" s="15"/>
      <c r="Z416"/>
      <c r="AA416"/>
    </row>
    <row r="417" spans="23:27" s="19" customFormat="1" ht="19.149999999999999" customHeight="1" x14ac:dyDescent="0.25">
      <c r="W417" s="15"/>
      <c r="Z417"/>
      <c r="AA417"/>
    </row>
    <row r="418" spans="23:27" s="19" customFormat="1" ht="19.149999999999999" customHeight="1" x14ac:dyDescent="0.25">
      <c r="W418" s="15"/>
      <c r="Z418"/>
      <c r="AA418"/>
    </row>
    <row r="419" spans="23:27" s="19" customFormat="1" ht="19.149999999999999" customHeight="1" x14ac:dyDescent="0.25">
      <c r="W419" s="15"/>
      <c r="Z419"/>
      <c r="AA419"/>
    </row>
    <row r="420" spans="23:27" s="19" customFormat="1" ht="19.149999999999999" customHeight="1" x14ac:dyDescent="0.25">
      <c r="W420" s="15"/>
      <c r="Z420"/>
      <c r="AA420"/>
    </row>
    <row r="421" spans="23:27" s="19" customFormat="1" ht="19.149999999999999" customHeight="1" x14ac:dyDescent="0.25">
      <c r="W421" s="15"/>
      <c r="Z421"/>
      <c r="AA421"/>
    </row>
    <row r="422" spans="23:27" s="19" customFormat="1" ht="19.149999999999999" customHeight="1" x14ac:dyDescent="0.25">
      <c r="W422" s="15"/>
      <c r="Z422"/>
      <c r="AA422"/>
    </row>
    <row r="423" spans="23:27" s="19" customFormat="1" ht="19.149999999999999" customHeight="1" x14ac:dyDescent="0.25">
      <c r="W423" s="15"/>
      <c r="Z423"/>
      <c r="AA423"/>
    </row>
    <row r="424" spans="23:27" s="19" customFormat="1" ht="19.149999999999999" customHeight="1" x14ac:dyDescent="0.25">
      <c r="W424" s="15"/>
      <c r="Z424"/>
      <c r="AA424"/>
    </row>
    <row r="425" spans="23:27" s="19" customFormat="1" ht="19.149999999999999" customHeight="1" x14ac:dyDescent="0.25">
      <c r="W425" s="15"/>
      <c r="Z425"/>
      <c r="AA425"/>
    </row>
    <row r="426" spans="23:27" s="19" customFormat="1" ht="19.149999999999999" customHeight="1" x14ac:dyDescent="0.25">
      <c r="W426" s="15"/>
      <c r="Z426"/>
      <c r="AA426"/>
    </row>
    <row r="427" spans="23:27" s="19" customFormat="1" ht="19.149999999999999" customHeight="1" x14ac:dyDescent="0.25">
      <c r="W427" s="15"/>
      <c r="Z427"/>
      <c r="AA427"/>
    </row>
    <row r="428" spans="23:27" s="19" customFormat="1" ht="19.149999999999999" customHeight="1" x14ac:dyDescent="0.25">
      <c r="W428" s="15"/>
      <c r="Z428"/>
      <c r="AA428"/>
    </row>
    <row r="429" spans="23:27" s="19" customFormat="1" ht="19.149999999999999" customHeight="1" x14ac:dyDescent="0.25">
      <c r="W429" s="15"/>
      <c r="Z429"/>
      <c r="AA429"/>
    </row>
    <row r="430" spans="23:27" s="19" customFormat="1" ht="19.149999999999999" customHeight="1" x14ac:dyDescent="0.25">
      <c r="W430" s="15"/>
      <c r="Z430"/>
      <c r="AA430"/>
    </row>
    <row r="431" spans="23:27" s="19" customFormat="1" ht="19.149999999999999" customHeight="1" x14ac:dyDescent="0.25">
      <c r="W431" s="15"/>
      <c r="Z431"/>
      <c r="AA431"/>
    </row>
    <row r="432" spans="23:27" s="19" customFormat="1" ht="19.149999999999999" customHeight="1" x14ac:dyDescent="0.25">
      <c r="W432" s="15"/>
      <c r="Z432"/>
      <c r="AA432"/>
    </row>
    <row r="433" spans="23:27" s="19" customFormat="1" ht="19.149999999999999" customHeight="1" x14ac:dyDescent="0.25">
      <c r="W433" s="15"/>
      <c r="Z433"/>
      <c r="AA433"/>
    </row>
    <row r="434" spans="23:27" s="19" customFormat="1" ht="19.149999999999999" customHeight="1" x14ac:dyDescent="0.25">
      <c r="W434" s="15"/>
      <c r="Z434"/>
      <c r="AA434"/>
    </row>
    <row r="435" spans="23:27" s="19" customFormat="1" ht="19.149999999999999" customHeight="1" x14ac:dyDescent="0.25">
      <c r="W435" s="15"/>
      <c r="Z435"/>
      <c r="AA435"/>
    </row>
    <row r="436" spans="23:27" s="19" customFormat="1" ht="19.149999999999999" customHeight="1" x14ac:dyDescent="0.25">
      <c r="W436" s="15"/>
      <c r="Z436"/>
      <c r="AA436"/>
    </row>
    <row r="437" spans="23:27" s="19" customFormat="1" ht="19.149999999999999" customHeight="1" x14ac:dyDescent="0.25">
      <c r="W437" s="15"/>
      <c r="Z437"/>
      <c r="AA437"/>
    </row>
    <row r="438" spans="23:27" s="19" customFormat="1" ht="19.149999999999999" customHeight="1" x14ac:dyDescent="0.25">
      <c r="W438" s="15"/>
      <c r="Z438"/>
      <c r="AA438"/>
    </row>
    <row r="439" spans="23:27" s="19" customFormat="1" ht="19.149999999999999" customHeight="1" x14ac:dyDescent="0.25">
      <c r="W439" s="15"/>
      <c r="Z439"/>
      <c r="AA439"/>
    </row>
    <row r="440" spans="23:27" s="19" customFormat="1" ht="19.149999999999999" customHeight="1" x14ac:dyDescent="0.25">
      <c r="W440" s="15"/>
      <c r="Z440"/>
      <c r="AA440"/>
    </row>
    <row r="441" spans="23:27" s="19" customFormat="1" ht="19.149999999999999" customHeight="1" x14ac:dyDescent="0.25">
      <c r="W441" s="15"/>
      <c r="Z441"/>
      <c r="AA441"/>
    </row>
    <row r="442" spans="23:27" s="19" customFormat="1" ht="19.149999999999999" customHeight="1" x14ac:dyDescent="0.25">
      <c r="W442" s="15"/>
      <c r="Z442"/>
      <c r="AA442"/>
    </row>
    <row r="443" spans="23:27" s="19" customFormat="1" ht="19.149999999999999" customHeight="1" x14ac:dyDescent="0.25">
      <c r="W443" s="15"/>
      <c r="Z443"/>
      <c r="AA443"/>
    </row>
    <row r="444" spans="23:27" s="19" customFormat="1" ht="19.149999999999999" customHeight="1" x14ac:dyDescent="0.25">
      <c r="W444" s="15"/>
      <c r="Z444"/>
      <c r="AA444"/>
    </row>
    <row r="445" spans="23:27" s="19" customFormat="1" ht="19.149999999999999" customHeight="1" x14ac:dyDescent="0.25">
      <c r="W445" s="15"/>
      <c r="Z445"/>
      <c r="AA445"/>
    </row>
    <row r="446" spans="23:27" s="19" customFormat="1" ht="19.149999999999999" customHeight="1" x14ac:dyDescent="0.25">
      <c r="W446" s="15"/>
      <c r="Z446"/>
      <c r="AA446"/>
    </row>
    <row r="447" spans="23:27" s="19" customFormat="1" ht="19.149999999999999" customHeight="1" x14ac:dyDescent="0.25">
      <c r="W447" s="15"/>
      <c r="Z447"/>
      <c r="AA447"/>
    </row>
    <row r="448" spans="23:27" s="19" customFormat="1" ht="19.149999999999999" customHeight="1" x14ac:dyDescent="0.25">
      <c r="W448" s="15"/>
      <c r="Z448"/>
      <c r="AA448"/>
    </row>
    <row r="449" spans="23:27" s="19" customFormat="1" ht="19.149999999999999" customHeight="1" x14ac:dyDescent="0.25">
      <c r="W449" s="15"/>
      <c r="Z449"/>
      <c r="AA449"/>
    </row>
    <row r="450" spans="23:27" s="19" customFormat="1" ht="19.149999999999999" customHeight="1" x14ac:dyDescent="0.25">
      <c r="W450" s="15"/>
      <c r="Z450"/>
      <c r="AA450"/>
    </row>
    <row r="451" spans="23:27" s="19" customFormat="1" ht="19.149999999999999" customHeight="1" x14ac:dyDescent="0.25">
      <c r="W451" s="15"/>
      <c r="Z451"/>
      <c r="AA451"/>
    </row>
    <row r="452" spans="23:27" s="19" customFormat="1" ht="19.149999999999999" customHeight="1" x14ac:dyDescent="0.25">
      <c r="W452" s="15"/>
      <c r="Z452"/>
      <c r="AA452"/>
    </row>
    <row r="453" spans="23:27" s="19" customFormat="1" ht="19.149999999999999" customHeight="1" x14ac:dyDescent="0.25">
      <c r="W453" s="15"/>
      <c r="Z453"/>
      <c r="AA453"/>
    </row>
    <row r="454" spans="23:27" s="19" customFormat="1" ht="19.149999999999999" customHeight="1" x14ac:dyDescent="0.25">
      <c r="W454" s="15"/>
      <c r="Z454"/>
      <c r="AA454"/>
    </row>
    <row r="455" spans="23:27" s="19" customFormat="1" ht="19.149999999999999" customHeight="1" x14ac:dyDescent="0.25">
      <c r="W455" s="15"/>
      <c r="Z455"/>
      <c r="AA455"/>
    </row>
    <row r="456" spans="23:27" s="19" customFormat="1" ht="19.149999999999999" customHeight="1" x14ac:dyDescent="0.25">
      <c r="W456" s="15"/>
      <c r="Z456"/>
      <c r="AA456"/>
    </row>
    <row r="457" spans="23:27" s="19" customFormat="1" ht="19.149999999999999" customHeight="1" x14ac:dyDescent="0.25">
      <c r="W457" s="15"/>
      <c r="Z457"/>
      <c r="AA457"/>
    </row>
    <row r="458" spans="23:27" s="19" customFormat="1" ht="19.149999999999999" customHeight="1" x14ac:dyDescent="0.25">
      <c r="W458" s="15"/>
      <c r="Z458"/>
      <c r="AA458"/>
    </row>
    <row r="459" spans="23:27" s="19" customFormat="1" ht="19.149999999999999" customHeight="1" x14ac:dyDescent="0.25">
      <c r="W459" s="15"/>
      <c r="Z459"/>
      <c r="AA459"/>
    </row>
    <row r="460" spans="23:27" s="19" customFormat="1" ht="19.149999999999999" customHeight="1" x14ac:dyDescent="0.25">
      <c r="W460" s="15"/>
      <c r="Z460"/>
      <c r="AA460"/>
    </row>
    <row r="461" spans="23:27" s="19" customFormat="1" ht="19.149999999999999" customHeight="1" x14ac:dyDescent="0.25">
      <c r="W461" s="15"/>
      <c r="Z461"/>
      <c r="AA461"/>
    </row>
    <row r="462" spans="23:27" s="19" customFormat="1" ht="19.149999999999999" customHeight="1" x14ac:dyDescent="0.25">
      <c r="W462" s="15"/>
      <c r="Z462"/>
      <c r="AA462"/>
    </row>
    <row r="463" spans="23:27" s="19" customFormat="1" ht="19.149999999999999" customHeight="1" x14ac:dyDescent="0.25">
      <c r="W463" s="15"/>
      <c r="Z463"/>
      <c r="AA463"/>
    </row>
    <row r="464" spans="23:27" s="19" customFormat="1" ht="19.149999999999999" customHeight="1" x14ac:dyDescent="0.25">
      <c r="W464" s="15"/>
      <c r="Z464"/>
      <c r="AA464"/>
    </row>
    <row r="465" spans="23:27" s="19" customFormat="1" ht="19.149999999999999" customHeight="1" x14ac:dyDescent="0.25">
      <c r="W465" s="15"/>
      <c r="Z465"/>
      <c r="AA465"/>
    </row>
    <row r="466" spans="23:27" s="19" customFormat="1" ht="19.149999999999999" customHeight="1" x14ac:dyDescent="0.25">
      <c r="W466" s="15"/>
      <c r="Z466"/>
      <c r="AA466"/>
    </row>
    <row r="467" spans="23:27" s="19" customFormat="1" ht="19.149999999999999" customHeight="1" x14ac:dyDescent="0.25">
      <c r="W467" s="15"/>
      <c r="Z467"/>
      <c r="AA467"/>
    </row>
    <row r="468" spans="23:27" s="19" customFormat="1" ht="19.149999999999999" customHeight="1" x14ac:dyDescent="0.25">
      <c r="W468" s="15"/>
      <c r="Z468"/>
      <c r="AA468"/>
    </row>
    <row r="469" spans="23:27" s="19" customFormat="1" ht="19.149999999999999" customHeight="1" x14ac:dyDescent="0.25">
      <c r="W469" s="15"/>
      <c r="Z469"/>
      <c r="AA469"/>
    </row>
    <row r="470" spans="23:27" s="19" customFormat="1" ht="19.149999999999999" customHeight="1" x14ac:dyDescent="0.25">
      <c r="W470" s="15"/>
      <c r="Z470"/>
      <c r="AA470"/>
    </row>
    <row r="471" spans="23:27" s="19" customFormat="1" ht="19.149999999999999" customHeight="1" x14ac:dyDescent="0.25">
      <c r="W471" s="15"/>
      <c r="Z471"/>
      <c r="AA471"/>
    </row>
    <row r="472" spans="23:27" s="19" customFormat="1" ht="19.149999999999999" customHeight="1" x14ac:dyDescent="0.25">
      <c r="W472" s="15"/>
      <c r="Z472"/>
      <c r="AA472"/>
    </row>
    <row r="473" spans="23:27" s="19" customFormat="1" ht="19.149999999999999" customHeight="1" x14ac:dyDescent="0.25">
      <c r="W473" s="15"/>
      <c r="Z473"/>
      <c r="AA473"/>
    </row>
    <row r="474" spans="23:27" s="19" customFormat="1" ht="19.149999999999999" customHeight="1" x14ac:dyDescent="0.25">
      <c r="W474" s="15"/>
      <c r="Z474"/>
      <c r="AA474"/>
    </row>
    <row r="475" spans="23:27" s="19" customFormat="1" ht="19.149999999999999" customHeight="1" x14ac:dyDescent="0.25">
      <c r="W475" s="15"/>
      <c r="Z475"/>
      <c r="AA475"/>
    </row>
    <row r="476" spans="23:27" s="19" customFormat="1" ht="19.149999999999999" customHeight="1" x14ac:dyDescent="0.25">
      <c r="W476" s="15"/>
      <c r="Z476"/>
      <c r="AA476"/>
    </row>
    <row r="477" spans="23:27" x14ac:dyDescent="0.25">
      <c r="Z477"/>
    </row>
    <row r="478" spans="23:27" x14ac:dyDescent="0.25">
      <c r="Z478"/>
    </row>
    <row r="479" spans="23:27" x14ac:dyDescent="0.25">
      <c r="Z479"/>
    </row>
    <row r="480" spans="23:27" x14ac:dyDescent="0.25">
      <c r="Z480"/>
    </row>
    <row r="481" spans="26:26" x14ac:dyDescent="0.25">
      <c r="Z481"/>
    </row>
    <row r="482" spans="26:26" x14ac:dyDescent="0.25">
      <c r="Z482"/>
    </row>
    <row r="483" spans="26:26" x14ac:dyDescent="0.25">
      <c r="Z483"/>
    </row>
    <row r="484" spans="26:26" x14ac:dyDescent="0.25">
      <c r="Z484"/>
    </row>
    <row r="485" spans="26:26" x14ac:dyDescent="0.25">
      <c r="Z485"/>
    </row>
    <row r="486" spans="26:26" x14ac:dyDescent="0.25">
      <c r="Z486"/>
    </row>
    <row r="487" spans="26:26" x14ac:dyDescent="0.25">
      <c r="Z487"/>
    </row>
    <row r="488" spans="26:26" x14ac:dyDescent="0.25">
      <c r="Z488"/>
    </row>
  </sheetData>
  <conditionalFormatting sqref="B3:U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PG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T540"/>
  <sheetViews>
    <sheetView topLeftCell="K1" workbookViewId="0">
      <selection activeCell="T24" sqref="T24:T26"/>
    </sheetView>
  </sheetViews>
  <sheetFormatPr defaultRowHeight="15" x14ac:dyDescent="0.25"/>
  <cols>
    <col min="2" max="2" width="11.140625" customWidth="1"/>
    <col min="3" max="3" width="10.7109375" customWidth="1"/>
    <col min="4" max="4" width="10.42578125" customWidth="1"/>
    <col min="5" max="5" width="12.7109375" customWidth="1"/>
    <col min="7" max="7" width="12.28515625" customWidth="1"/>
    <col min="8" max="8" width="14.42578125" bestFit="1" customWidth="1"/>
    <col min="9" max="9" width="14.42578125" customWidth="1"/>
    <col min="10" max="11" width="30.28515625" customWidth="1"/>
    <col min="12" max="12" width="9.5703125" bestFit="1" customWidth="1"/>
    <col min="13" max="14" width="12.42578125" customWidth="1"/>
    <col min="15" max="15" width="10.7109375" customWidth="1"/>
    <col min="17" max="17" width="12.85546875" bestFit="1" customWidth="1"/>
  </cols>
  <sheetData>
    <row r="4" spans="2:15" s="77" customFormat="1" ht="43.15" x14ac:dyDescent="0.3">
      <c r="B4" s="71" t="s">
        <v>825</v>
      </c>
      <c r="C4" s="71" t="s">
        <v>826</v>
      </c>
      <c r="D4" s="71" t="s">
        <v>828</v>
      </c>
      <c r="E4" s="71" t="s">
        <v>829</v>
      </c>
      <c r="F4" s="71" t="s">
        <v>832</v>
      </c>
      <c r="G4" s="71" t="s">
        <v>827</v>
      </c>
      <c r="H4" s="71" t="s">
        <v>830</v>
      </c>
      <c r="I4" s="71" t="s">
        <v>831</v>
      </c>
      <c r="J4" s="71" t="s">
        <v>828</v>
      </c>
      <c r="K4" s="71" t="s">
        <v>829</v>
      </c>
      <c r="L4" s="71" t="s">
        <v>832</v>
      </c>
      <c r="M4" s="71" t="s">
        <v>833</v>
      </c>
      <c r="N4" s="71" t="s">
        <v>834</v>
      </c>
      <c r="O4" s="71" t="s">
        <v>835</v>
      </c>
    </row>
    <row r="5" spans="2:15" ht="21" customHeight="1" x14ac:dyDescent="0.3">
      <c r="B5" s="15">
        <v>2</v>
      </c>
      <c r="C5" s="15">
        <v>1</v>
      </c>
      <c r="D5" s="24">
        <f>PI()^(B5/2)</f>
        <v>3.1415926535897931</v>
      </c>
      <c r="E5" s="15">
        <f>EXP(_xlfn.GAMMALN.PRECISE((B5/2)+1))</f>
        <v>1</v>
      </c>
      <c r="F5" s="15">
        <f>C5^B5</f>
        <v>1</v>
      </c>
      <c r="G5" s="4">
        <f>D5*F5/E5</f>
        <v>3.1415926535897931</v>
      </c>
      <c r="H5" s="76">
        <v>0.01</v>
      </c>
      <c r="I5" s="15">
        <f>C5+(H5*C5)</f>
        <v>1.01</v>
      </c>
      <c r="J5" s="4">
        <f>PI()^(B5/2)</f>
        <v>3.1415926535897931</v>
      </c>
      <c r="K5" s="24">
        <f>EXP(_xlfn.GAMMALN.PRECISE((B5/2)+1))</f>
        <v>1</v>
      </c>
      <c r="L5" s="75">
        <f>I5^B5</f>
        <v>1.0201</v>
      </c>
      <c r="M5" s="75">
        <f>J5*L5/K5</f>
        <v>3.2047386659269481</v>
      </c>
      <c r="N5" s="4">
        <f>M5-G5</f>
        <v>6.3146012337155E-2</v>
      </c>
      <c r="O5" s="81">
        <f>N5/M5</f>
        <v>1.9703950593079157E-2</v>
      </c>
    </row>
    <row r="6" spans="2:15" ht="21" customHeight="1" x14ac:dyDescent="0.3">
      <c r="B6" s="15">
        <v>3</v>
      </c>
      <c r="C6" s="15">
        <v>1</v>
      </c>
      <c r="D6" s="24">
        <f>PI()^(B6/2)</f>
        <v>5.5683279968317088</v>
      </c>
      <c r="E6" s="24">
        <f>EXP(_xlfn.GAMMALN.PRECISE((B6/2)+1))</f>
        <v>1.329340388179137</v>
      </c>
      <c r="F6" s="15">
        <f>C6^B6</f>
        <v>1</v>
      </c>
      <c r="G6" s="4">
        <f>D6*F6/E6</f>
        <v>4.1887902047863914</v>
      </c>
      <c r="H6" s="76">
        <v>0.01</v>
      </c>
      <c r="I6" s="15">
        <f>C6+(H6*C6)</f>
        <v>1.01</v>
      </c>
      <c r="J6" s="4">
        <f>PI()^(B6/2)</f>
        <v>5.5683279968317088</v>
      </c>
      <c r="K6" s="24">
        <f>EXP(_xlfn.GAMMALN.PRECISE((B6/2)+1))</f>
        <v>1.329340388179137</v>
      </c>
      <c r="L6" s="75">
        <f>I6^B6</f>
        <v>1.0303009999999999</v>
      </c>
      <c r="M6" s="75">
        <f>J6*L6/K6</f>
        <v>4.315714736781624</v>
      </c>
      <c r="N6" s="4">
        <f>M6-G6</f>
        <v>0.12692453199523257</v>
      </c>
      <c r="O6" s="81">
        <f>N6/M6</f>
        <v>2.9409852072355584E-2</v>
      </c>
    </row>
    <row r="7" spans="2:15" ht="21" customHeight="1" x14ac:dyDescent="0.3">
      <c r="B7" s="15">
        <v>4</v>
      </c>
      <c r="C7" s="15">
        <v>1</v>
      </c>
      <c r="D7" s="24">
        <f>PI()^(B7/2)</f>
        <v>9.869604401089358</v>
      </c>
      <c r="E7" s="24">
        <f>EXP(_xlfn.GAMMALN.PRECISE((B7/2)+1))</f>
        <v>2</v>
      </c>
      <c r="F7" s="15">
        <f>C7^B7</f>
        <v>1</v>
      </c>
      <c r="G7" s="4">
        <f>D7*F7/E7</f>
        <v>4.934802200544679</v>
      </c>
      <c r="H7" s="76">
        <v>0.01</v>
      </c>
      <c r="I7" s="15">
        <f>C7+(H7*C7)</f>
        <v>1.01</v>
      </c>
      <c r="J7" s="4">
        <f>PI()^(B7/2)</f>
        <v>9.869604401089358</v>
      </c>
      <c r="K7" s="24">
        <f>EXP(_xlfn.GAMMALN.PRECISE((B7/2)+1))</f>
        <v>2</v>
      </c>
      <c r="L7" s="75">
        <f>I7^B7</f>
        <v>1.04060401</v>
      </c>
      <c r="M7" s="75">
        <f>J7*L7/K7</f>
        <v>5.135174958443617</v>
      </c>
      <c r="N7" s="4">
        <f>M7-G7</f>
        <v>0.20037275789893805</v>
      </c>
      <c r="O7" s="81">
        <f>N7/M7</f>
        <v>3.9019655517183699E-2</v>
      </c>
    </row>
    <row r="8" spans="2:15" ht="21" customHeight="1" x14ac:dyDescent="0.3">
      <c r="B8" s="15">
        <v>5</v>
      </c>
      <c r="C8" s="15">
        <v>1</v>
      </c>
      <c r="D8" s="24">
        <f>PI()^(B8/2)</f>
        <v>17.493418327624859</v>
      </c>
      <c r="E8" s="24">
        <f>EXP(_xlfn.GAMMALN.PRECISE((B8/2)+1))</f>
        <v>3.3233509704478426</v>
      </c>
      <c r="F8" s="15">
        <f>C8^B8</f>
        <v>1</v>
      </c>
      <c r="G8" s="4">
        <f>D8*F8/E8</f>
        <v>5.2637890139143231</v>
      </c>
      <c r="H8" s="76">
        <v>0.01</v>
      </c>
      <c r="I8" s="15">
        <f>C8+(H8*C8)</f>
        <v>1.01</v>
      </c>
      <c r="J8" s="4">
        <f>PI()^(B8/2)</f>
        <v>17.493418327624859</v>
      </c>
      <c r="K8" s="24">
        <f>EXP(_xlfn.GAMMALN.PRECISE((B8/2)+1))</f>
        <v>3.3233509704478426</v>
      </c>
      <c r="L8" s="75">
        <f>I8^B8</f>
        <v>1.0510100500999999</v>
      </c>
      <c r="M8" s="75">
        <f>J8*L8/K8</f>
        <v>5.5322951552299218</v>
      </c>
      <c r="N8" s="4">
        <f>M8-G8</f>
        <v>0.26850614131559869</v>
      </c>
      <c r="O8" s="81">
        <f>N8/M8</f>
        <v>4.8534312393251115E-2</v>
      </c>
    </row>
    <row r="9" spans="2:15" ht="21" customHeight="1" x14ac:dyDescent="0.3">
      <c r="B9" s="15">
        <v>6</v>
      </c>
      <c r="C9" s="15">
        <v>1</v>
      </c>
      <c r="D9" s="24">
        <f>PI()^(B9/2)</f>
        <v>31.006276680299816</v>
      </c>
      <c r="E9" s="24">
        <f>EXP(_xlfn.GAMMALN.PRECISE((B9/2)+1))</f>
        <v>6</v>
      </c>
      <c r="F9" s="15">
        <f>C9^B9</f>
        <v>1</v>
      </c>
      <c r="G9" s="4">
        <f>D9*F9/E9</f>
        <v>5.1677127800499694</v>
      </c>
      <c r="H9" s="76">
        <v>0.01</v>
      </c>
      <c r="I9" s="15">
        <f>C9+(H9*C9)</f>
        <v>1.01</v>
      </c>
      <c r="J9" s="4">
        <f>PI()^(B9/2)</f>
        <v>31.006276680299816</v>
      </c>
      <c r="K9" s="24">
        <f>EXP(_xlfn.GAMMALN.PRECISE((B9/2)+1))</f>
        <v>6</v>
      </c>
      <c r="L9" s="75">
        <f>I9^B9</f>
        <v>1.0615201506010001</v>
      </c>
      <c r="M9" s="75">
        <f>J9*L9/K9</f>
        <v>5.4856312485413561</v>
      </c>
      <c r="N9" s="4">
        <f>M9-G9</f>
        <v>0.31791846849138672</v>
      </c>
      <c r="O9" s="81">
        <f>N9/M9</f>
        <v>5.7954764745793308E-2</v>
      </c>
    </row>
    <row r="10" spans="2:15" ht="21" customHeight="1" x14ac:dyDescent="0.3">
      <c r="B10" s="15">
        <v>7</v>
      </c>
      <c r="C10" s="15">
        <v>1</v>
      </c>
      <c r="D10" s="24">
        <f t="shared" ref="D10:D21" si="0">PI()^(B10/2)</f>
        <v>54.957194504239297</v>
      </c>
      <c r="E10" s="24">
        <f t="shared" ref="E10:E21" si="1">EXP(_xlfn.GAMMALN.PRECISE((B10/2)+1))</f>
        <v>11.63172839656745</v>
      </c>
      <c r="F10" s="15">
        <f t="shared" ref="F10:F21" si="2">C10^B10</f>
        <v>1</v>
      </c>
      <c r="G10" s="4">
        <f t="shared" ref="G10:G21" si="3">D10*F10/E10</f>
        <v>4.7247659703313989</v>
      </c>
      <c r="H10" s="76">
        <v>0.01</v>
      </c>
      <c r="I10" s="15">
        <f t="shared" ref="I10:I21" si="4">C10+(H10*C10)</f>
        <v>1.01</v>
      </c>
      <c r="J10" s="4">
        <f t="shared" ref="J10:J21" si="5">PI()^(B10/2)</f>
        <v>54.957194504239297</v>
      </c>
      <c r="K10" s="24">
        <f t="shared" ref="K10:K21" si="6">EXP(_xlfn.GAMMALN.PRECISE((B10/2)+1))</f>
        <v>11.63172839656745</v>
      </c>
      <c r="L10" s="75">
        <f t="shared" ref="L10:L21" si="7">I10^B10</f>
        <v>1.0721353521070098</v>
      </c>
      <c r="M10" s="75">
        <f t="shared" ref="M10:M21" si="8">J10*L10/K10</f>
        <v>5.0655886272244732</v>
      </c>
      <c r="N10" s="4">
        <f t="shared" ref="N10:N21" si="9">M10-G10</f>
        <v>0.34082265689307434</v>
      </c>
      <c r="O10" s="81">
        <f t="shared" ref="O10:O21" si="10">N10/M10</f>
        <v>6.7281945292864645E-2</v>
      </c>
    </row>
    <row r="11" spans="2:15" ht="14.45" x14ac:dyDescent="0.3">
      <c r="B11" s="15">
        <v>8</v>
      </c>
      <c r="C11" s="15">
        <v>1</v>
      </c>
      <c r="D11" s="24">
        <f t="shared" si="0"/>
        <v>97.409091034002429</v>
      </c>
      <c r="E11" s="24">
        <f t="shared" si="1"/>
        <v>24.000000000000004</v>
      </c>
      <c r="F11" s="15">
        <f t="shared" si="2"/>
        <v>1</v>
      </c>
      <c r="G11" s="4">
        <f t="shared" si="3"/>
        <v>4.0587121264167676</v>
      </c>
      <c r="H11" s="76">
        <v>0.01</v>
      </c>
      <c r="I11" s="15">
        <f t="shared" si="4"/>
        <v>1.01</v>
      </c>
      <c r="J11" s="4">
        <f t="shared" si="5"/>
        <v>97.409091034002429</v>
      </c>
      <c r="K11" s="24">
        <f t="shared" si="6"/>
        <v>24.000000000000004</v>
      </c>
      <c r="L11" s="75">
        <f t="shared" si="7"/>
        <v>1.0828567056280802</v>
      </c>
      <c r="M11" s="4">
        <f t="shared" si="8"/>
        <v>4.3950036423044008</v>
      </c>
      <c r="N11" s="4">
        <f t="shared" si="9"/>
        <v>0.33629151588763317</v>
      </c>
      <c r="O11" s="81">
        <f t="shared" si="10"/>
        <v>7.6516777517687762E-2</v>
      </c>
    </row>
    <row r="12" spans="2:15" ht="14.45" x14ac:dyDescent="0.3">
      <c r="B12" s="15">
        <v>9</v>
      </c>
      <c r="C12" s="15">
        <v>1</v>
      </c>
      <c r="D12" s="24">
        <f t="shared" si="0"/>
        <v>172.65311851642363</v>
      </c>
      <c r="E12" s="24">
        <f t="shared" si="1"/>
        <v>52.342777784553533</v>
      </c>
      <c r="F12" s="15">
        <f t="shared" si="2"/>
        <v>1</v>
      </c>
      <c r="G12" s="4">
        <f t="shared" si="3"/>
        <v>3.2985089027387069</v>
      </c>
      <c r="H12" s="76">
        <v>0.01</v>
      </c>
      <c r="I12" s="15">
        <f t="shared" si="4"/>
        <v>1.01</v>
      </c>
      <c r="J12" s="4">
        <f t="shared" si="5"/>
        <v>172.65311851642363</v>
      </c>
      <c r="K12" s="24">
        <f t="shared" si="6"/>
        <v>52.342777784553533</v>
      </c>
      <c r="L12" s="75">
        <f t="shared" si="7"/>
        <v>1.0936852726843611</v>
      </c>
      <c r="M12" s="4">
        <f t="shared" si="8"/>
        <v>3.6075306087435752</v>
      </c>
      <c r="N12" s="4">
        <f t="shared" si="9"/>
        <v>0.30902170600486834</v>
      </c>
      <c r="O12" s="81">
        <f t="shared" si="10"/>
        <v>8.5660175760087012E-2</v>
      </c>
    </row>
    <row r="13" spans="2:15" ht="14.45" x14ac:dyDescent="0.3">
      <c r="B13" s="15">
        <v>10</v>
      </c>
      <c r="C13" s="15">
        <v>1</v>
      </c>
      <c r="D13" s="24">
        <f t="shared" si="0"/>
        <v>306.01968478528141</v>
      </c>
      <c r="E13" s="24">
        <f t="shared" si="1"/>
        <v>119.99999999999997</v>
      </c>
      <c r="F13" s="15">
        <f t="shared" si="2"/>
        <v>1</v>
      </c>
      <c r="G13" s="4">
        <f t="shared" si="3"/>
        <v>2.5501640398773455</v>
      </c>
      <c r="H13" s="76">
        <v>0.01</v>
      </c>
      <c r="I13" s="15">
        <f t="shared" si="4"/>
        <v>1.01</v>
      </c>
      <c r="J13" s="4">
        <f t="shared" si="5"/>
        <v>306.01968478528141</v>
      </c>
      <c r="K13" s="24">
        <f t="shared" si="6"/>
        <v>119.99999999999997</v>
      </c>
      <c r="L13" s="75">
        <f t="shared" si="7"/>
        <v>1.1046221254112047</v>
      </c>
      <c r="M13" s="4">
        <f t="shared" si="8"/>
        <v>2.8169676218765383</v>
      </c>
      <c r="N13" s="4">
        <f t="shared" si="9"/>
        <v>0.26680358199919274</v>
      </c>
      <c r="O13" s="81">
        <f t="shared" si="10"/>
        <v>9.4713045307017088E-2</v>
      </c>
    </row>
    <row r="14" spans="2:15" ht="14.45" x14ac:dyDescent="0.3">
      <c r="B14" s="15">
        <v>11</v>
      </c>
      <c r="C14" s="15">
        <v>1</v>
      </c>
      <c r="D14" s="24">
        <f t="shared" si="0"/>
        <v>542.40576875056433</v>
      </c>
      <c r="E14" s="24">
        <f t="shared" si="1"/>
        <v>287.88527781504416</v>
      </c>
      <c r="F14" s="15">
        <f t="shared" si="2"/>
        <v>1</v>
      </c>
      <c r="G14" s="4">
        <f t="shared" si="3"/>
        <v>1.8841038793899019</v>
      </c>
      <c r="H14" s="76">
        <v>0.01</v>
      </c>
      <c r="I14" s="15">
        <f t="shared" si="4"/>
        <v>1.01</v>
      </c>
      <c r="J14" s="4">
        <f t="shared" si="5"/>
        <v>542.40576875056433</v>
      </c>
      <c r="K14" s="24">
        <f t="shared" si="6"/>
        <v>287.88527781504416</v>
      </c>
      <c r="L14" s="75">
        <f t="shared" si="7"/>
        <v>1.1156683466653166</v>
      </c>
      <c r="M14" s="4">
        <f t="shared" si="8"/>
        <v>2.1020350600646407</v>
      </c>
      <c r="N14" s="4">
        <f t="shared" si="9"/>
        <v>0.21793118067473882</v>
      </c>
      <c r="O14" s="78">
        <f t="shared" si="10"/>
        <v>0.10367628248219471</v>
      </c>
    </row>
    <row r="15" spans="2:15" ht="14.45" x14ac:dyDescent="0.3">
      <c r="B15" s="15">
        <v>12</v>
      </c>
      <c r="C15" s="15">
        <v>1</v>
      </c>
      <c r="D15" s="24">
        <f t="shared" si="0"/>
        <v>961.38919357530426</v>
      </c>
      <c r="E15" s="24">
        <f t="shared" si="1"/>
        <v>720.00000000000011</v>
      </c>
      <c r="F15" s="15">
        <f t="shared" si="2"/>
        <v>1</v>
      </c>
      <c r="G15" s="4">
        <f t="shared" si="3"/>
        <v>1.3352627688545891</v>
      </c>
      <c r="H15" s="76">
        <v>0.01</v>
      </c>
      <c r="I15" s="15">
        <f t="shared" si="4"/>
        <v>1.01</v>
      </c>
      <c r="J15" s="4">
        <f t="shared" si="5"/>
        <v>961.38919357530426</v>
      </c>
      <c r="K15" s="24">
        <f t="shared" si="6"/>
        <v>720.00000000000011</v>
      </c>
      <c r="L15" s="75">
        <f t="shared" si="7"/>
        <v>1.1268250301319698</v>
      </c>
      <c r="M15" s="4">
        <f t="shared" si="8"/>
        <v>1.5046075097486697</v>
      </c>
      <c r="N15" s="4">
        <f t="shared" si="9"/>
        <v>0.16934474089408069</v>
      </c>
      <c r="O15" s="78">
        <f t="shared" si="10"/>
        <v>0.11255077473484637</v>
      </c>
    </row>
    <row r="16" spans="2:15" ht="14.45" x14ac:dyDescent="0.3">
      <c r="B16" s="15">
        <v>13</v>
      </c>
      <c r="C16" s="15">
        <v>1</v>
      </c>
      <c r="D16" s="24">
        <f t="shared" si="0"/>
        <v>1704.0179783714966</v>
      </c>
      <c r="E16" s="24">
        <f t="shared" si="1"/>
        <v>1871.2543057977896</v>
      </c>
      <c r="F16" s="15">
        <f t="shared" si="2"/>
        <v>1</v>
      </c>
      <c r="G16" s="4">
        <f t="shared" si="3"/>
        <v>0.91062875478328242</v>
      </c>
      <c r="H16" s="76">
        <v>0.01</v>
      </c>
      <c r="I16" s="15">
        <f t="shared" si="4"/>
        <v>1.01</v>
      </c>
      <c r="J16" s="4">
        <f t="shared" si="5"/>
        <v>1704.0179783714966</v>
      </c>
      <c r="K16" s="24">
        <f t="shared" si="6"/>
        <v>1871.2543057977896</v>
      </c>
      <c r="L16" s="75">
        <f t="shared" si="7"/>
        <v>1.1380932804332895</v>
      </c>
      <c r="M16" s="4">
        <f t="shared" si="8"/>
        <v>1.0363804667881873</v>
      </c>
      <c r="N16" s="4">
        <f t="shared" si="9"/>
        <v>0.12575171200490487</v>
      </c>
      <c r="O16" s="78">
        <f t="shared" si="10"/>
        <v>0.12133740072757052</v>
      </c>
    </row>
    <row r="17" spans="2:20" ht="14.45" x14ac:dyDescent="0.3">
      <c r="B17" s="15">
        <v>14</v>
      </c>
      <c r="C17" s="15">
        <v>1</v>
      </c>
      <c r="D17" s="24">
        <f t="shared" si="0"/>
        <v>3020.2932277767914</v>
      </c>
      <c r="E17" s="24">
        <f t="shared" si="1"/>
        <v>5039.9999999999927</v>
      </c>
      <c r="F17" s="15">
        <f t="shared" si="2"/>
        <v>1</v>
      </c>
      <c r="G17" s="4">
        <f t="shared" si="3"/>
        <v>0.59926452932079277</v>
      </c>
      <c r="H17" s="76">
        <v>0.01</v>
      </c>
      <c r="I17" s="15">
        <f t="shared" si="4"/>
        <v>1.01</v>
      </c>
      <c r="J17" s="4">
        <f t="shared" si="5"/>
        <v>3020.2932277767914</v>
      </c>
      <c r="K17" s="24">
        <f t="shared" si="6"/>
        <v>5039.9999999999927</v>
      </c>
      <c r="L17" s="75">
        <f t="shared" si="7"/>
        <v>1.1494742132376226</v>
      </c>
      <c r="M17" s="4">
        <f t="shared" si="8"/>
        <v>0.68883912336223252</v>
      </c>
      <c r="N17" s="4">
        <f t="shared" si="9"/>
        <v>8.9574594041439748E-2</v>
      </c>
      <c r="O17" s="78">
        <f t="shared" si="10"/>
        <v>0.13003703042333747</v>
      </c>
    </row>
    <row r="18" spans="2:20" ht="14.45" x14ac:dyDescent="0.3">
      <c r="B18" s="15">
        <v>15</v>
      </c>
      <c r="C18" s="15">
        <v>1</v>
      </c>
      <c r="D18" s="24">
        <f t="shared" si="0"/>
        <v>5353.3303624368236</v>
      </c>
      <c r="E18" s="24">
        <f t="shared" si="1"/>
        <v>14034.407293483402</v>
      </c>
      <c r="F18" s="15">
        <f t="shared" si="2"/>
        <v>1</v>
      </c>
      <c r="G18" s="4">
        <f t="shared" si="3"/>
        <v>0.38144328082330459</v>
      </c>
      <c r="H18" s="76">
        <v>0.01</v>
      </c>
      <c r="I18" s="15">
        <f t="shared" si="4"/>
        <v>1.01</v>
      </c>
      <c r="J18" s="4">
        <f t="shared" si="5"/>
        <v>5353.3303624368236</v>
      </c>
      <c r="K18" s="24">
        <f t="shared" si="6"/>
        <v>14034.407293483402</v>
      </c>
      <c r="L18" s="75">
        <f t="shared" si="7"/>
        <v>1.1609689553699984</v>
      </c>
      <c r="M18" s="4">
        <f t="shared" si="8"/>
        <v>0.4428438072703369</v>
      </c>
      <c r="N18" s="4">
        <f t="shared" si="9"/>
        <v>6.1400526447032311E-2</v>
      </c>
      <c r="O18" s="78">
        <f t="shared" si="10"/>
        <v>0.13865052517162096</v>
      </c>
    </row>
    <row r="19" spans="2:20" ht="14.45" x14ac:dyDescent="0.3">
      <c r="B19" s="15">
        <v>16</v>
      </c>
      <c r="C19" s="15">
        <v>1</v>
      </c>
      <c r="D19" s="24">
        <f t="shared" si="0"/>
        <v>9488.5310160705722</v>
      </c>
      <c r="E19" s="24">
        <f t="shared" si="1"/>
        <v>40320.000000000095</v>
      </c>
      <c r="F19" s="15">
        <f t="shared" si="2"/>
        <v>1</v>
      </c>
      <c r="G19" s="4">
        <f t="shared" si="3"/>
        <v>0.2353306303588926</v>
      </c>
      <c r="H19" s="76">
        <v>0.01</v>
      </c>
      <c r="I19" s="15">
        <f t="shared" si="4"/>
        <v>1.01</v>
      </c>
      <c r="J19" s="4">
        <f t="shared" si="5"/>
        <v>9488.5310160705722</v>
      </c>
      <c r="K19" s="24">
        <f t="shared" si="6"/>
        <v>40320.000000000095</v>
      </c>
      <c r="L19" s="75">
        <f t="shared" si="7"/>
        <v>1.1725786449236988</v>
      </c>
      <c r="M19" s="4">
        <f t="shared" si="8"/>
        <v>0.27594367165527017</v>
      </c>
      <c r="N19" s="4">
        <f t="shared" si="9"/>
        <v>4.0613041296377578E-2</v>
      </c>
      <c r="O19" s="78">
        <f t="shared" si="10"/>
        <v>0.14717873779368451</v>
      </c>
    </row>
    <row r="20" spans="2:20" ht="14.45" x14ac:dyDescent="0.3">
      <c r="B20" s="15">
        <v>17</v>
      </c>
      <c r="C20" s="15">
        <v>1</v>
      </c>
      <c r="D20" s="24">
        <f t="shared" si="0"/>
        <v>16817.983338870723</v>
      </c>
      <c r="E20" s="24">
        <f t="shared" si="1"/>
        <v>119292.46199460901</v>
      </c>
      <c r="F20" s="15">
        <f t="shared" si="2"/>
        <v>1</v>
      </c>
      <c r="G20" s="4">
        <f t="shared" si="3"/>
        <v>0.14098110691713908</v>
      </c>
      <c r="H20" s="76">
        <v>0.01</v>
      </c>
      <c r="I20" s="15">
        <f t="shared" si="4"/>
        <v>1.01</v>
      </c>
      <c r="J20" s="4">
        <f t="shared" si="5"/>
        <v>16817.983338870723</v>
      </c>
      <c r="K20" s="24">
        <f t="shared" si="6"/>
        <v>119292.46199460901</v>
      </c>
      <c r="L20" s="75">
        <f t="shared" si="7"/>
        <v>1.1843044313729358</v>
      </c>
      <c r="M20" s="4">
        <f t="shared" si="8"/>
        <v>0.16696454966182947</v>
      </c>
      <c r="N20" s="4">
        <f t="shared" si="9"/>
        <v>2.5983442744690388E-2</v>
      </c>
      <c r="O20" s="78">
        <f t="shared" si="10"/>
        <v>0.15562251266701427</v>
      </c>
    </row>
    <row r="21" spans="2:20" ht="14.45" x14ac:dyDescent="0.3">
      <c r="B21" s="15">
        <v>18</v>
      </c>
      <c r="C21" s="15">
        <v>1</v>
      </c>
      <c r="D21" s="24">
        <f t="shared" si="0"/>
        <v>29809.099333446204</v>
      </c>
      <c r="E21" s="24">
        <f t="shared" si="1"/>
        <v>362880.00000000047</v>
      </c>
      <c r="F21" s="15">
        <f t="shared" si="2"/>
        <v>1</v>
      </c>
      <c r="G21" s="4">
        <f t="shared" si="3"/>
        <v>8.2145886611128108E-2</v>
      </c>
      <c r="H21" s="76">
        <v>0.01</v>
      </c>
      <c r="I21" s="15">
        <f t="shared" si="4"/>
        <v>1.01</v>
      </c>
      <c r="J21" s="4">
        <f t="shared" si="5"/>
        <v>29809.099333446204</v>
      </c>
      <c r="K21" s="24">
        <f t="shared" si="6"/>
        <v>362880.00000000047</v>
      </c>
      <c r="L21" s="75">
        <f t="shared" si="7"/>
        <v>1.1961474756866652</v>
      </c>
      <c r="M21" s="4">
        <f t="shared" si="8"/>
        <v>9.8258594907943919E-2</v>
      </c>
      <c r="N21" s="4">
        <f t="shared" si="9"/>
        <v>1.6112708296815811E-2</v>
      </c>
      <c r="O21" s="78">
        <f t="shared" si="10"/>
        <v>0.16398268580892505</v>
      </c>
    </row>
    <row r="22" spans="2:20" ht="14.45" x14ac:dyDescent="0.3">
      <c r="B22" s="15">
        <v>19</v>
      </c>
      <c r="C22" s="15">
        <v>1</v>
      </c>
      <c r="D22" s="24">
        <f t="shared" ref="D22:D85" si="11">PI()^(B22/2)</f>
        <v>52835.25290559174</v>
      </c>
      <c r="E22" s="24">
        <f t="shared" ref="E22:E85" si="12">EXP(_xlfn.GAMMALN.PRECISE((B22/2)+1))</f>
        <v>1133278.3889487833</v>
      </c>
      <c r="F22" s="15">
        <f t="shared" ref="F22:F85" si="13">C22^B22</f>
        <v>1</v>
      </c>
      <c r="G22" s="4">
        <f t="shared" ref="G22:G85" si="14">D22*F22/E22</f>
        <v>4.6621601030088597E-2</v>
      </c>
      <c r="H22" s="76">
        <v>0.01</v>
      </c>
      <c r="I22" s="15">
        <f t="shared" ref="I22:I85" si="15">C22+(H22*C22)</f>
        <v>1.01</v>
      </c>
      <c r="J22" s="4">
        <f t="shared" ref="J22:J85" si="16">PI()^(B22/2)</f>
        <v>52835.25290559174</v>
      </c>
      <c r="K22" s="24">
        <f t="shared" ref="K22:K85" si="17">EXP(_xlfn.GAMMALN.PRECISE((B22/2)+1))</f>
        <v>1133278.3889487833</v>
      </c>
      <c r="L22" s="79">
        <f t="shared" ref="L22:L83" si="18">I22^B22</f>
        <v>1.2081089504435316</v>
      </c>
      <c r="M22" s="79">
        <f t="shared" ref="M22:M83" si="19">J22*L22/K22</f>
        <v>5.6323973488457406E-2</v>
      </c>
      <c r="N22" s="79">
        <f t="shared" ref="N22:N83" si="20">M22-G22</f>
        <v>9.702372458368809E-3</v>
      </c>
      <c r="O22" s="78">
        <f t="shared" ref="O22:O85" si="21">N22/M22</f>
        <v>0.17226008495933151</v>
      </c>
      <c r="R22" t="s">
        <v>882</v>
      </c>
      <c r="T22" t="s">
        <v>883</v>
      </c>
    </row>
    <row r="23" spans="2:20" ht="14.45" x14ac:dyDescent="0.3">
      <c r="B23" s="15">
        <v>20</v>
      </c>
      <c r="C23" s="15">
        <v>1</v>
      </c>
      <c r="D23" s="24">
        <f t="shared" si="11"/>
        <v>93648.047476082997</v>
      </c>
      <c r="E23" s="24">
        <f t="shared" si="12"/>
        <v>3628800.0000000084</v>
      </c>
      <c r="F23" s="15">
        <f t="shared" si="13"/>
        <v>1</v>
      </c>
      <c r="G23" s="4">
        <f t="shared" si="14"/>
        <v>2.5806891390013995E-2</v>
      </c>
      <c r="H23" s="76">
        <v>0.01</v>
      </c>
      <c r="I23" s="15">
        <f t="shared" si="15"/>
        <v>1.01</v>
      </c>
      <c r="J23" s="79">
        <f t="shared" si="16"/>
        <v>93648.047476082997</v>
      </c>
      <c r="K23" s="79">
        <f t="shared" si="17"/>
        <v>3628800.0000000084</v>
      </c>
      <c r="L23" s="79">
        <f t="shared" si="18"/>
        <v>1.220190039947967</v>
      </c>
      <c r="M23" s="79">
        <f t="shared" si="19"/>
        <v>3.1489311836114017E-2</v>
      </c>
      <c r="N23" s="79">
        <f t="shared" si="20"/>
        <v>5.682420446100022E-3</v>
      </c>
      <c r="O23" s="78">
        <f t="shared" si="21"/>
        <v>0.18045552966270439</v>
      </c>
      <c r="Q23" t="s">
        <v>884</v>
      </c>
      <c r="R23">
        <v>1.01</v>
      </c>
    </row>
    <row r="24" spans="2:20" ht="14.45" x14ac:dyDescent="0.3">
      <c r="B24" s="15">
        <v>21</v>
      </c>
      <c r="C24" s="15">
        <v>1</v>
      </c>
      <c r="D24" s="24">
        <f t="shared" si="11"/>
        <v>165986.8423787659</v>
      </c>
      <c r="E24" s="24">
        <f t="shared" si="12"/>
        <v>11899423.083962262</v>
      </c>
      <c r="F24" s="15">
        <f t="shared" si="13"/>
        <v>1</v>
      </c>
      <c r="G24" s="4">
        <f t="shared" si="14"/>
        <v>1.3949150409020982E-2</v>
      </c>
      <c r="H24" s="76">
        <v>0.01</v>
      </c>
      <c r="I24" s="15">
        <f t="shared" si="15"/>
        <v>1.01</v>
      </c>
      <c r="J24" s="79">
        <f t="shared" si="16"/>
        <v>165986.8423787659</v>
      </c>
      <c r="K24" s="79">
        <f t="shared" si="17"/>
        <v>11899423.083962262</v>
      </c>
      <c r="L24" s="79">
        <f t="shared" si="18"/>
        <v>1.2323919403474466</v>
      </c>
      <c r="M24" s="79">
        <f t="shared" si="19"/>
        <v>1.7190820538771745E-2</v>
      </c>
      <c r="N24" s="79">
        <f t="shared" si="20"/>
        <v>3.2416701297507625E-3</v>
      </c>
      <c r="O24" s="78">
        <f t="shared" si="21"/>
        <v>0.18856983134921229</v>
      </c>
      <c r="Q24" t="s">
        <v>885</v>
      </c>
      <c r="R24">
        <f>PI()</f>
        <v>3.1415926535897931</v>
      </c>
      <c r="T24" s="152">
        <f>(4*PI())/3</f>
        <v>4.1887902047863905</v>
      </c>
    </row>
    <row r="25" spans="2:20" ht="14.45" x14ac:dyDescent="0.3">
      <c r="B25" s="15">
        <v>22</v>
      </c>
      <c r="C25" s="15">
        <v>1</v>
      </c>
      <c r="D25" s="24">
        <f t="shared" si="11"/>
        <v>294204.01797389053</v>
      </c>
      <c r="E25" s="24">
        <f t="shared" si="12"/>
        <v>39916800.000000171</v>
      </c>
      <c r="F25" s="15">
        <f t="shared" si="13"/>
        <v>1</v>
      </c>
      <c r="G25" s="4">
        <f t="shared" si="14"/>
        <v>7.3704309457143175E-3</v>
      </c>
      <c r="H25" s="76">
        <v>0.01</v>
      </c>
      <c r="I25" s="15">
        <f t="shared" si="15"/>
        <v>1.01</v>
      </c>
      <c r="J25" s="79">
        <f t="shared" si="16"/>
        <v>294204.01797389053</v>
      </c>
      <c r="K25" s="79">
        <f t="shared" si="17"/>
        <v>39916800.000000171</v>
      </c>
      <c r="L25" s="79">
        <f t="shared" si="18"/>
        <v>1.2447158597509214</v>
      </c>
      <c r="M25" s="79">
        <f t="shared" si="19"/>
        <v>9.1740922913295924E-3</v>
      </c>
      <c r="N25" s="79">
        <f t="shared" si="20"/>
        <v>1.8036613456152749E-3</v>
      </c>
      <c r="O25" s="78">
        <f t="shared" si="21"/>
        <v>0.19660379341506187</v>
      </c>
      <c r="Q25" t="s">
        <v>887</v>
      </c>
      <c r="R25">
        <f>PI()*R23^2</f>
        <v>3.2047386659269481</v>
      </c>
      <c r="T25" s="152">
        <f>(4*PI()*R23^3)/3</f>
        <v>4.3157147367816231</v>
      </c>
    </row>
    <row r="26" spans="2:20" ht="14.45" x14ac:dyDescent="0.3">
      <c r="B26" s="15">
        <v>23</v>
      </c>
      <c r="C26" s="15">
        <v>1</v>
      </c>
      <c r="D26" s="24">
        <f t="shared" si="11"/>
        <v>521463.04460969829</v>
      </c>
      <c r="E26" s="24">
        <f t="shared" si="12"/>
        <v>136843365.46556622</v>
      </c>
      <c r="F26" s="15">
        <f t="shared" si="13"/>
        <v>1</v>
      </c>
      <c r="G26" s="4">
        <f t="shared" si="14"/>
        <v>3.8106563868521167E-3</v>
      </c>
      <c r="H26" s="76">
        <v>0.01</v>
      </c>
      <c r="I26" s="15">
        <f t="shared" si="15"/>
        <v>1.01</v>
      </c>
      <c r="J26" s="79">
        <f t="shared" si="16"/>
        <v>521463.04460969829</v>
      </c>
      <c r="K26" s="79">
        <f t="shared" si="17"/>
        <v>136843365.46556622</v>
      </c>
      <c r="L26" s="79">
        <f t="shared" si="18"/>
        <v>1.2571630183484304</v>
      </c>
      <c r="M26" s="79">
        <f t="shared" si="19"/>
        <v>4.7906162851837309E-3</v>
      </c>
      <c r="N26" s="79">
        <f t="shared" si="20"/>
        <v>9.7995989833161426E-4</v>
      </c>
      <c r="O26" s="78">
        <f t="shared" si="21"/>
        <v>0.20455821130204141</v>
      </c>
      <c r="Q26" t="s">
        <v>886</v>
      </c>
      <c r="R26">
        <f>R25-R24</f>
        <v>6.3146012337155E-2</v>
      </c>
      <c r="T26" s="152">
        <f>T25-T24</f>
        <v>0.12692453199523257</v>
      </c>
    </row>
    <row r="27" spans="2:20" ht="14.45" x14ac:dyDescent="0.3">
      <c r="B27" s="15">
        <v>24</v>
      </c>
      <c r="C27" s="15">
        <v>1</v>
      </c>
      <c r="D27" s="24">
        <f t="shared" si="11"/>
        <v>924269.18152337393</v>
      </c>
      <c r="E27" s="24">
        <f t="shared" si="12"/>
        <v>479001599.99999928</v>
      </c>
      <c r="F27" s="15">
        <f t="shared" si="13"/>
        <v>1</v>
      </c>
      <c r="G27" s="4">
        <f t="shared" si="14"/>
        <v>1.9295743094039253E-3</v>
      </c>
      <c r="H27" s="76">
        <v>0.01</v>
      </c>
      <c r="I27" s="15">
        <f t="shared" si="15"/>
        <v>1.01</v>
      </c>
      <c r="J27" s="79">
        <f t="shared" si="16"/>
        <v>924269.18152337393</v>
      </c>
      <c r="K27" s="79">
        <f t="shared" si="17"/>
        <v>479001599.99999928</v>
      </c>
      <c r="L27" s="79">
        <f t="shared" si="18"/>
        <v>1.269734648531915</v>
      </c>
      <c r="M27" s="79">
        <f t="shared" si="19"/>
        <v>2.4500473575672058E-3</v>
      </c>
      <c r="N27" s="79">
        <f t="shared" si="20"/>
        <v>5.2047304816328047E-4</v>
      </c>
      <c r="O27" s="78">
        <f t="shared" si="21"/>
        <v>0.21243387257627883</v>
      </c>
    </row>
    <row r="28" spans="2:20" ht="14.45" x14ac:dyDescent="0.3">
      <c r="B28" s="15">
        <v>25</v>
      </c>
      <c r="C28" s="15">
        <v>1</v>
      </c>
      <c r="D28" s="24">
        <f t="shared" si="11"/>
        <v>1638224.4700643928</v>
      </c>
      <c r="E28" s="24">
        <f t="shared" si="12"/>
        <v>1710542068.3195722</v>
      </c>
      <c r="F28" s="15">
        <f t="shared" si="13"/>
        <v>1</v>
      </c>
      <c r="G28" s="4">
        <f t="shared" si="14"/>
        <v>9.5772240882317273E-4</v>
      </c>
      <c r="H28" s="76">
        <v>0.01</v>
      </c>
      <c r="I28" s="15">
        <f t="shared" si="15"/>
        <v>1.01</v>
      </c>
      <c r="J28" s="79">
        <f t="shared" si="16"/>
        <v>1638224.4700643928</v>
      </c>
      <c r="K28" s="79">
        <f t="shared" si="17"/>
        <v>1710542068.3195722</v>
      </c>
      <c r="L28" s="79">
        <f t="shared" si="18"/>
        <v>1.2824319950172343</v>
      </c>
      <c r="M28" s="79">
        <f t="shared" si="19"/>
        <v>1.2282138594198128E-3</v>
      </c>
      <c r="N28" s="79">
        <f t="shared" si="20"/>
        <v>2.7049145059664006E-4</v>
      </c>
      <c r="O28" s="78">
        <f t="shared" si="21"/>
        <v>0.2202315570062168</v>
      </c>
      <c r="Q28" t="s">
        <v>888</v>
      </c>
      <c r="R28" s="151">
        <f>R26/R24</f>
        <v>2.0100000000000052E-2</v>
      </c>
      <c r="T28" s="151">
        <f>T26/T24</f>
        <v>3.0301000000000036E-2</v>
      </c>
    </row>
    <row r="29" spans="2:20" x14ac:dyDescent="0.25">
      <c r="B29" s="15">
        <v>26</v>
      </c>
      <c r="C29" s="15">
        <v>1</v>
      </c>
      <c r="D29" s="24">
        <f t="shared" si="11"/>
        <v>2903677.2706132825</v>
      </c>
      <c r="E29" s="24">
        <f t="shared" si="12"/>
        <v>6227020799.9999886</v>
      </c>
      <c r="F29" s="15">
        <f t="shared" si="13"/>
        <v>1</v>
      </c>
      <c r="G29" s="4">
        <f t="shared" si="14"/>
        <v>4.6630280576761326E-4</v>
      </c>
      <c r="H29" s="76">
        <v>0.01</v>
      </c>
      <c r="I29" s="15">
        <f t="shared" si="15"/>
        <v>1.01</v>
      </c>
      <c r="J29" s="79">
        <f t="shared" si="16"/>
        <v>2903677.2706132825</v>
      </c>
      <c r="K29" s="79">
        <f t="shared" si="17"/>
        <v>6227020799.9999886</v>
      </c>
      <c r="L29" s="79">
        <f t="shared" si="18"/>
        <v>1.2952563149674066</v>
      </c>
      <c r="M29" s="79">
        <f t="shared" si="19"/>
        <v>6.0398165385752115E-4</v>
      </c>
      <c r="N29" s="79">
        <f t="shared" si="20"/>
        <v>1.3767884808990789E-4</v>
      </c>
      <c r="O29" s="78">
        <f t="shared" si="21"/>
        <v>0.22795203663981858</v>
      </c>
    </row>
    <row r="30" spans="2:20" x14ac:dyDescent="0.25">
      <c r="B30" s="15">
        <v>27</v>
      </c>
      <c r="C30" s="15">
        <v>1</v>
      </c>
      <c r="D30" s="80">
        <f t="shared" si="11"/>
        <v>5146633.9600853324</v>
      </c>
      <c r="E30" s="80">
        <f t="shared" si="12"/>
        <v>23092317922.314346</v>
      </c>
      <c r="F30" s="15">
        <f t="shared" si="13"/>
        <v>1</v>
      </c>
      <c r="G30" s="4">
        <f t="shared" si="14"/>
        <v>2.2287212472127307E-4</v>
      </c>
      <c r="H30" s="76">
        <v>0.01</v>
      </c>
      <c r="I30" s="15">
        <f t="shared" si="15"/>
        <v>1.01</v>
      </c>
      <c r="J30" s="79">
        <f t="shared" si="16"/>
        <v>5146633.9600853324</v>
      </c>
      <c r="K30" s="79">
        <f t="shared" si="17"/>
        <v>23092317922.314346</v>
      </c>
      <c r="L30" s="79">
        <f t="shared" si="18"/>
        <v>1.3082088781170802</v>
      </c>
      <c r="M30" s="79">
        <f t="shared" si="19"/>
        <v>2.9156329224518666E-4</v>
      </c>
      <c r="N30" s="79">
        <f t="shared" si="20"/>
        <v>6.8691167523913588E-5</v>
      </c>
      <c r="O30" s="78">
        <f t="shared" si="21"/>
        <v>0.23559607588100828</v>
      </c>
    </row>
    <row r="31" spans="2:20" x14ac:dyDescent="0.25">
      <c r="B31" s="15">
        <v>28</v>
      </c>
      <c r="C31" s="15">
        <v>1</v>
      </c>
      <c r="D31" s="80">
        <f t="shared" si="11"/>
        <v>9122171.1817543488</v>
      </c>
      <c r="E31" s="80">
        <f t="shared" si="12"/>
        <v>87178291200.000168</v>
      </c>
      <c r="F31" s="15">
        <f t="shared" si="13"/>
        <v>1</v>
      </c>
      <c r="G31" s="4">
        <f t="shared" si="14"/>
        <v>1.0463810492484546E-4</v>
      </c>
      <c r="H31" s="76">
        <v>0.01</v>
      </c>
      <c r="I31" s="15">
        <f t="shared" si="15"/>
        <v>1.01</v>
      </c>
      <c r="J31" s="79">
        <f t="shared" si="16"/>
        <v>9122171.1817543488</v>
      </c>
      <c r="K31" s="79">
        <f t="shared" si="17"/>
        <v>87178291200.000168</v>
      </c>
      <c r="L31" s="79">
        <f t="shared" si="18"/>
        <v>1.3212909668982511</v>
      </c>
      <c r="M31" s="79">
        <f t="shared" si="19"/>
        <v>1.3825738283054971E-4</v>
      </c>
      <c r="N31" s="79">
        <f t="shared" si="20"/>
        <v>3.3619277905704245E-5</v>
      </c>
      <c r="O31" s="78">
        <f t="shared" si="21"/>
        <v>0.24316443156535467</v>
      </c>
    </row>
    <row r="32" spans="2:20" x14ac:dyDescent="0.25">
      <c r="B32" s="15">
        <v>29</v>
      </c>
      <c r="C32" s="15">
        <v>1</v>
      </c>
      <c r="D32" s="80">
        <f t="shared" si="11"/>
        <v>16168627.439719807</v>
      </c>
      <c r="E32" s="80">
        <f t="shared" si="12"/>
        <v>334838609873.5564</v>
      </c>
      <c r="F32" s="15">
        <f t="shared" si="13"/>
        <v>1</v>
      </c>
      <c r="G32" s="4">
        <f t="shared" si="14"/>
        <v>4.8287822738917393E-5</v>
      </c>
      <c r="H32" s="76">
        <v>0.01</v>
      </c>
      <c r="I32" s="15">
        <f t="shared" si="15"/>
        <v>1.01</v>
      </c>
      <c r="J32" s="79">
        <f t="shared" si="16"/>
        <v>16168627.439719807</v>
      </c>
      <c r="K32" s="79">
        <f t="shared" si="17"/>
        <v>334838609873.5564</v>
      </c>
      <c r="L32" s="79">
        <f t="shared" si="18"/>
        <v>1.3345038765672337</v>
      </c>
      <c r="M32" s="79">
        <f t="shared" si="19"/>
        <v>6.4440286636076677E-5</v>
      </c>
      <c r="N32" s="79">
        <f t="shared" si="20"/>
        <v>1.6152463897159283E-5</v>
      </c>
      <c r="O32" s="78">
        <f t="shared" si="21"/>
        <v>0.25065785303500465</v>
      </c>
    </row>
    <row r="33" spans="2:15" x14ac:dyDescent="0.25">
      <c r="B33" s="15">
        <v>30</v>
      </c>
      <c r="C33" s="15">
        <v>1</v>
      </c>
      <c r="D33" s="80">
        <f t="shared" si="11"/>
        <v>28658145.969387986</v>
      </c>
      <c r="E33" s="80">
        <f t="shared" si="12"/>
        <v>1307674368000.0029</v>
      </c>
      <c r="F33" s="15">
        <f t="shared" si="13"/>
        <v>1</v>
      </c>
      <c r="G33" s="4">
        <f t="shared" si="14"/>
        <v>2.1915353447830156E-5</v>
      </c>
      <c r="H33" s="76">
        <v>0.01</v>
      </c>
      <c r="I33" s="15">
        <f t="shared" si="15"/>
        <v>1.01</v>
      </c>
      <c r="J33" s="79">
        <f t="shared" si="16"/>
        <v>28658145.969387986</v>
      </c>
      <c r="K33" s="79">
        <f t="shared" si="17"/>
        <v>1307674368000.0029</v>
      </c>
      <c r="L33" s="79">
        <f t="shared" si="18"/>
        <v>1.3478489153329063</v>
      </c>
      <c r="M33" s="79">
        <f t="shared" si="19"/>
        <v>2.9538585373795146E-5</v>
      </c>
      <c r="N33" s="79">
        <f t="shared" si="20"/>
        <v>7.6232319259649897E-6</v>
      </c>
      <c r="O33" s="78">
        <f t="shared" si="21"/>
        <v>0.25807708221287612</v>
      </c>
    </row>
    <row r="34" spans="2:15" x14ac:dyDescent="0.25">
      <c r="B34" s="15">
        <v>31</v>
      </c>
      <c r="C34" s="15">
        <v>1</v>
      </c>
      <c r="D34" s="80">
        <f t="shared" si="11"/>
        <v>50795241.183254123</v>
      </c>
      <c r="E34" s="80">
        <f t="shared" si="12"/>
        <v>5189998453040.1279</v>
      </c>
      <c r="F34" s="15">
        <f t="shared" si="13"/>
        <v>1</v>
      </c>
      <c r="G34" s="4">
        <f t="shared" si="14"/>
        <v>9.7871399467373563E-6</v>
      </c>
      <c r="H34" s="76">
        <v>0.01</v>
      </c>
      <c r="I34" s="15">
        <f t="shared" si="15"/>
        <v>1.01</v>
      </c>
      <c r="J34" s="79">
        <f t="shared" si="16"/>
        <v>50795241.183254123</v>
      </c>
      <c r="K34" s="79">
        <f t="shared" si="17"/>
        <v>5189998453040.1279</v>
      </c>
      <c r="L34" s="79">
        <f t="shared" si="18"/>
        <v>1.3613274044862349</v>
      </c>
      <c r="M34" s="79">
        <f t="shared" si="19"/>
        <v>1.3323501821035514E-5</v>
      </c>
      <c r="N34" s="79">
        <f t="shared" si="20"/>
        <v>3.5363618742981574E-6</v>
      </c>
      <c r="O34" s="78">
        <f t="shared" si="21"/>
        <v>0.26542285367611473</v>
      </c>
    </row>
    <row r="35" spans="2:15" x14ac:dyDescent="0.25">
      <c r="B35" s="15">
        <v>32</v>
      </c>
      <c r="C35" s="15">
        <v>1</v>
      </c>
      <c r="D35" s="80">
        <f t="shared" si="11"/>
        <v>90032220.842933238</v>
      </c>
      <c r="E35" s="80">
        <f t="shared" si="12"/>
        <v>20922789888000.055</v>
      </c>
      <c r="F35" s="15">
        <f t="shared" si="13"/>
        <v>1</v>
      </c>
      <c r="G35" s="4">
        <f t="shared" si="14"/>
        <v>4.3030695870329337E-6</v>
      </c>
      <c r="H35" s="76">
        <v>0.01</v>
      </c>
      <c r="I35" s="15">
        <f t="shared" si="15"/>
        <v>1.01</v>
      </c>
      <c r="J35" s="79">
        <f t="shared" si="16"/>
        <v>90032220.842933238</v>
      </c>
      <c r="K35" s="79">
        <f t="shared" si="17"/>
        <v>20922789888000.055</v>
      </c>
      <c r="L35" s="79">
        <f t="shared" si="18"/>
        <v>1.3749406785310976</v>
      </c>
      <c r="M35" s="79">
        <f t="shared" si="19"/>
        <v>5.9164654177615913E-6</v>
      </c>
      <c r="N35" s="79">
        <f t="shared" si="20"/>
        <v>1.6133958307286575E-6</v>
      </c>
      <c r="O35" s="78">
        <f t="shared" si="21"/>
        <v>0.27269589472882655</v>
      </c>
    </row>
    <row r="36" spans="2:15" x14ac:dyDescent="0.25">
      <c r="B36" s="15">
        <v>33</v>
      </c>
      <c r="C36" s="15">
        <v>1</v>
      </c>
      <c r="D36" s="80">
        <f t="shared" si="11"/>
        <v>159577956.53863299</v>
      </c>
      <c r="E36" s="80">
        <f t="shared" si="12"/>
        <v>85634974475162.828</v>
      </c>
      <c r="F36" s="15">
        <f t="shared" si="13"/>
        <v>1</v>
      </c>
      <c r="G36" s="4">
        <f t="shared" si="14"/>
        <v>1.8634670882621239E-6</v>
      </c>
      <c r="H36" s="76">
        <v>0.01</v>
      </c>
      <c r="I36" s="15">
        <f t="shared" si="15"/>
        <v>1.01</v>
      </c>
      <c r="J36" s="79">
        <f t="shared" si="16"/>
        <v>159577956.53863299</v>
      </c>
      <c r="K36" s="79">
        <f t="shared" si="17"/>
        <v>85634974475162.828</v>
      </c>
      <c r="L36" s="79">
        <f t="shared" si="18"/>
        <v>1.3886900853164086</v>
      </c>
      <c r="M36" s="79">
        <f t="shared" si="19"/>
        <v>2.5877782697830484E-6</v>
      </c>
      <c r="N36" s="79">
        <f t="shared" si="20"/>
        <v>7.2431118152092442E-7</v>
      </c>
      <c r="O36" s="78">
        <f t="shared" si="21"/>
        <v>0.27989692547408573</v>
      </c>
    </row>
    <row r="37" spans="2:15" x14ac:dyDescent="0.25">
      <c r="B37" s="15">
        <v>34</v>
      </c>
      <c r="C37" s="15">
        <v>1</v>
      </c>
      <c r="D37" s="80">
        <f t="shared" si="11"/>
        <v>282844563.58653289</v>
      </c>
      <c r="E37" s="80">
        <f t="shared" si="12"/>
        <v>355687428096000.69</v>
      </c>
      <c r="F37" s="15">
        <f t="shared" si="13"/>
        <v>1</v>
      </c>
      <c r="G37" s="4">
        <f t="shared" si="14"/>
        <v>7.9520540014754925E-7</v>
      </c>
      <c r="H37" s="76">
        <v>0.01</v>
      </c>
      <c r="I37" s="15">
        <f t="shared" si="15"/>
        <v>1.01</v>
      </c>
      <c r="J37" s="79">
        <f t="shared" si="16"/>
        <v>282844563.58653289</v>
      </c>
      <c r="K37" s="79">
        <f t="shared" si="17"/>
        <v>355687428096000.69</v>
      </c>
      <c r="L37" s="79">
        <f t="shared" si="18"/>
        <v>1.4025769861695727</v>
      </c>
      <c r="M37" s="79">
        <f t="shared" si="19"/>
        <v>1.1153367935247188E-6</v>
      </c>
      <c r="N37" s="79">
        <f t="shared" si="20"/>
        <v>3.2013139337716955E-7</v>
      </c>
      <c r="O37" s="78">
        <f t="shared" si="21"/>
        <v>0.28702665888523349</v>
      </c>
    </row>
    <row r="38" spans="2:15" x14ac:dyDescent="0.25">
      <c r="B38" s="15">
        <v>35</v>
      </c>
      <c r="C38" s="15">
        <v>1</v>
      </c>
      <c r="D38" s="80">
        <f t="shared" si="11"/>
        <v>501328935.93664104</v>
      </c>
      <c r="E38" s="80">
        <f t="shared" si="12"/>
        <v>1498612053315332.5</v>
      </c>
      <c r="F38" s="15">
        <f t="shared" si="13"/>
        <v>1</v>
      </c>
      <c r="G38" s="4">
        <f t="shared" si="14"/>
        <v>3.3452882941089839E-7</v>
      </c>
      <c r="H38" s="76">
        <v>0.01</v>
      </c>
      <c r="I38" s="15">
        <f t="shared" si="15"/>
        <v>1.01</v>
      </c>
      <c r="J38" s="79">
        <f t="shared" si="16"/>
        <v>501328935.93664104</v>
      </c>
      <c r="K38" s="79">
        <f t="shared" si="17"/>
        <v>1498612053315332.5</v>
      </c>
      <c r="L38" s="79">
        <f t="shared" si="18"/>
        <v>1.4166027560312682</v>
      </c>
      <c r="M38" s="79">
        <f t="shared" si="19"/>
        <v>4.7389446171539264E-7</v>
      </c>
      <c r="N38" s="79">
        <f t="shared" si="20"/>
        <v>1.3936563230449426E-7</v>
      </c>
      <c r="O38" s="78">
        <f t="shared" si="21"/>
        <v>0.29408580087646863</v>
      </c>
    </row>
    <row r="39" spans="2:15" x14ac:dyDescent="0.25">
      <c r="B39" s="15">
        <v>36</v>
      </c>
      <c r="C39" s="15">
        <v>1</v>
      </c>
      <c r="D39" s="80">
        <f t="shared" si="11"/>
        <v>888582403.07126296</v>
      </c>
      <c r="E39" s="80">
        <f t="shared" si="12"/>
        <v>6402373705727994</v>
      </c>
      <c r="F39" s="15">
        <f t="shared" si="13"/>
        <v>1</v>
      </c>
      <c r="G39" s="4">
        <f t="shared" si="14"/>
        <v>1.3878952462213779E-7</v>
      </c>
      <c r="H39" s="76">
        <v>0.01</v>
      </c>
      <c r="I39" s="15">
        <f t="shared" si="15"/>
        <v>1.01</v>
      </c>
      <c r="J39" s="79">
        <f t="shared" si="16"/>
        <v>888582403.07126296</v>
      </c>
      <c r="K39" s="79">
        <f t="shared" si="17"/>
        <v>6402373705727994</v>
      </c>
      <c r="L39" s="79">
        <f t="shared" si="18"/>
        <v>1.430768783591581</v>
      </c>
      <c r="M39" s="79">
        <f t="shared" si="19"/>
        <v>1.9857571931886984E-7</v>
      </c>
      <c r="N39" s="79">
        <f t="shared" si="20"/>
        <v>5.9786194696732052E-8</v>
      </c>
      <c r="O39" s="78">
        <f t="shared" si="21"/>
        <v>0.30107505037274118</v>
      </c>
    </row>
    <row r="40" spans="2:15" x14ac:dyDescent="0.25">
      <c r="B40" s="15">
        <v>37</v>
      </c>
      <c r="C40" s="15">
        <v>1</v>
      </c>
      <c r="D40" s="80">
        <f t="shared" si="11"/>
        <v>1574971302.1705406</v>
      </c>
      <c r="E40" s="80">
        <f t="shared" si="12"/>
        <v>2.7724322986333636E+16</v>
      </c>
      <c r="F40" s="15">
        <f t="shared" si="13"/>
        <v>1</v>
      </c>
      <c r="G40" s="4">
        <f t="shared" si="14"/>
        <v>5.6808287183312042E-8</v>
      </c>
      <c r="H40" s="76">
        <v>0.01</v>
      </c>
      <c r="I40" s="15">
        <f t="shared" si="15"/>
        <v>1.01</v>
      </c>
      <c r="J40" s="79">
        <f t="shared" si="16"/>
        <v>1574971302.1705406</v>
      </c>
      <c r="K40" s="79">
        <f t="shared" si="17"/>
        <v>2.7724322986333636E+16</v>
      </c>
      <c r="L40" s="79">
        <f t="shared" si="18"/>
        <v>1.4450764714274968</v>
      </c>
      <c r="M40" s="79">
        <f t="shared" si="19"/>
        <v>8.2092319190700452E-8</v>
      </c>
      <c r="N40" s="79">
        <f t="shared" si="20"/>
        <v>2.5284032007388411E-8</v>
      </c>
      <c r="O40" s="78">
        <f t="shared" si="21"/>
        <v>0.3079950993789517</v>
      </c>
    </row>
    <row r="41" spans="2:15" x14ac:dyDescent="0.25">
      <c r="B41" s="15">
        <v>38</v>
      </c>
      <c r="C41" s="15">
        <v>1</v>
      </c>
      <c r="D41" s="80">
        <f t="shared" si="11"/>
        <v>2791563949.5978441</v>
      </c>
      <c r="E41" s="80">
        <f t="shared" si="12"/>
        <v>1.2164510040883208E+17</v>
      </c>
      <c r="F41" s="15">
        <f t="shared" si="13"/>
        <v>1</v>
      </c>
      <c r="G41" s="4">
        <f t="shared" si="14"/>
        <v>2.2948428997269847E-8</v>
      </c>
      <c r="H41" s="76">
        <v>0.01</v>
      </c>
      <c r="I41" s="15">
        <f t="shared" si="15"/>
        <v>1.01</v>
      </c>
      <c r="J41" s="79">
        <f t="shared" si="16"/>
        <v>2791563949.5978441</v>
      </c>
      <c r="K41" s="79">
        <f t="shared" si="17"/>
        <v>1.2164510040883208E+17</v>
      </c>
      <c r="L41" s="79">
        <f t="shared" si="18"/>
        <v>1.4595272361417719</v>
      </c>
      <c r="M41" s="79">
        <f t="shared" si="19"/>
        <v>3.3493857148180956E-8</v>
      </c>
      <c r="N41" s="79">
        <f t="shared" si="20"/>
        <v>1.0545428150911109E-8</v>
      </c>
      <c r="O41" s="78">
        <f t="shared" si="21"/>
        <v>0.31484663304846722</v>
      </c>
    </row>
    <row r="42" spans="2:15" x14ac:dyDescent="0.25">
      <c r="B42" s="15">
        <v>39</v>
      </c>
      <c r="C42" s="15">
        <v>1</v>
      </c>
      <c r="D42" s="80">
        <f t="shared" si="11"/>
        <v>4947918272.5137062</v>
      </c>
      <c r="E42" s="80">
        <f t="shared" si="12"/>
        <v>5.406242982335072E+17</v>
      </c>
      <c r="F42" s="15">
        <f t="shared" si="13"/>
        <v>1</v>
      </c>
      <c r="G42" s="4">
        <f t="shared" si="14"/>
        <v>9.1522306501595579E-9</v>
      </c>
      <c r="H42" s="76">
        <v>0.01</v>
      </c>
      <c r="I42" s="15">
        <f t="shared" si="15"/>
        <v>1.01</v>
      </c>
      <c r="J42" s="79">
        <f t="shared" si="16"/>
        <v>4947918272.5137062</v>
      </c>
      <c r="K42" s="79">
        <f t="shared" si="17"/>
        <v>5.406242982335072E+17</v>
      </c>
      <c r="L42" s="79">
        <f t="shared" si="18"/>
        <v>1.4741225085031893</v>
      </c>
      <c r="M42" s="79">
        <f t="shared" si="19"/>
        <v>1.3491509204412982E-8</v>
      </c>
      <c r="N42" s="79">
        <f t="shared" si="20"/>
        <v>4.3392785542534242E-9</v>
      </c>
      <c r="O42" s="78">
        <f t="shared" si="21"/>
        <v>0.3216303297509574</v>
      </c>
    </row>
    <row r="43" spans="2:15" x14ac:dyDescent="0.25">
      <c r="B43" s="15">
        <v>40</v>
      </c>
      <c r="C43" s="15">
        <v>1</v>
      </c>
      <c r="D43" s="80">
        <f t="shared" si="11"/>
        <v>8769956796.082695</v>
      </c>
      <c r="E43" s="80">
        <f t="shared" si="12"/>
        <v>2.43290200817664E+18</v>
      </c>
      <c r="F43" s="15">
        <f t="shared" si="13"/>
        <v>1</v>
      </c>
      <c r="G43" s="4">
        <f t="shared" si="14"/>
        <v>3.604730797462499E-9</v>
      </c>
      <c r="H43" s="76">
        <v>0.01</v>
      </c>
      <c r="I43" s="15">
        <f t="shared" si="15"/>
        <v>1.01</v>
      </c>
      <c r="J43" s="79">
        <f t="shared" si="16"/>
        <v>8769956796.082695</v>
      </c>
      <c r="K43" s="79">
        <f t="shared" si="17"/>
        <v>2.43290200817664E+18</v>
      </c>
      <c r="L43" s="79">
        <f t="shared" si="18"/>
        <v>1.4888637335882215</v>
      </c>
      <c r="M43" s="79">
        <f t="shared" si="19"/>
        <v>5.3669529536904631E-9</v>
      </c>
      <c r="N43" s="79">
        <f t="shared" si="20"/>
        <v>1.762222156227964E-9</v>
      </c>
      <c r="O43" s="78">
        <f t="shared" si="21"/>
        <v>0.32834686113956191</v>
      </c>
    </row>
    <row r="44" spans="2:15" x14ac:dyDescent="0.25">
      <c r="B44" s="15">
        <v>41</v>
      </c>
      <c r="C44" s="15">
        <v>1</v>
      </c>
      <c r="D44" s="80">
        <f t="shared" si="11"/>
        <v>15544343695.49177</v>
      </c>
      <c r="E44" s="80">
        <f t="shared" si="12"/>
        <v>1.1082798113786888E+19</v>
      </c>
      <c r="F44" s="15">
        <f t="shared" si="13"/>
        <v>1</v>
      </c>
      <c r="G44" s="4">
        <f t="shared" si="14"/>
        <v>1.4025649060732023E-9</v>
      </c>
      <c r="H44" s="76">
        <v>0.01</v>
      </c>
      <c r="I44" s="15">
        <f t="shared" si="15"/>
        <v>1.01</v>
      </c>
      <c r="J44" s="79">
        <f t="shared" si="16"/>
        <v>15544343695.49177</v>
      </c>
      <c r="K44" s="79">
        <f t="shared" si="17"/>
        <v>1.1082798113786888E+19</v>
      </c>
      <c r="L44" s="79">
        <f t="shared" si="18"/>
        <v>1.5037523709241039</v>
      </c>
      <c r="M44" s="79">
        <f t="shared" si="19"/>
        <v>2.1091103028825206E-9</v>
      </c>
      <c r="N44" s="79">
        <f t="shared" si="20"/>
        <v>7.0654539680931828E-10</v>
      </c>
      <c r="O44" s="78">
        <f t="shared" si="21"/>
        <v>0.33499689221738799</v>
      </c>
    </row>
    <row r="45" spans="2:15" x14ac:dyDescent="0.25">
      <c r="B45" s="15">
        <v>42</v>
      </c>
      <c r="C45" s="15">
        <v>1</v>
      </c>
      <c r="D45" s="80">
        <f t="shared" si="11"/>
        <v>27551631842.873272</v>
      </c>
      <c r="E45" s="80">
        <f t="shared" si="12"/>
        <v>5.1090942171709424E+19</v>
      </c>
      <c r="F45" s="15">
        <f t="shared" si="13"/>
        <v>1</v>
      </c>
      <c r="G45" s="4">
        <f t="shared" si="14"/>
        <v>5.3926646626081269E-10</v>
      </c>
      <c r="H45" s="76">
        <v>0.01</v>
      </c>
      <c r="I45" s="15">
        <f t="shared" si="15"/>
        <v>1.01</v>
      </c>
      <c r="J45" s="79">
        <f t="shared" si="16"/>
        <v>27551631842.873272</v>
      </c>
      <c r="K45" s="79">
        <f t="shared" si="17"/>
        <v>5.1090942171709424E+19</v>
      </c>
      <c r="L45" s="79">
        <f t="shared" si="18"/>
        <v>1.5187898946333451</v>
      </c>
      <c r="M45" s="79">
        <f t="shared" si="19"/>
        <v>8.1903245947155609E-10</v>
      </c>
      <c r="N45" s="79">
        <f t="shared" si="20"/>
        <v>2.797659932107434E-10</v>
      </c>
      <c r="O45" s="78">
        <f t="shared" si="21"/>
        <v>0.34158108140335469</v>
      </c>
    </row>
    <row r="46" spans="2:15" x14ac:dyDescent="0.25">
      <c r="B46" s="15">
        <v>43</v>
      </c>
      <c r="C46" s="15">
        <v>1</v>
      </c>
      <c r="D46" s="80">
        <f t="shared" si="11"/>
        <v>48833995958.631798</v>
      </c>
      <c r="E46" s="80">
        <f t="shared" si="12"/>
        <v>2.3828015944641924E+20</v>
      </c>
      <c r="F46" s="15">
        <f t="shared" si="13"/>
        <v>1</v>
      </c>
      <c r="G46" s="4">
        <f t="shared" si="14"/>
        <v>2.049436095396471E-10</v>
      </c>
      <c r="H46" s="76">
        <v>0.01</v>
      </c>
      <c r="I46" s="15">
        <f t="shared" si="15"/>
        <v>1.01</v>
      </c>
      <c r="J46" s="79">
        <f t="shared" si="16"/>
        <v>48833995958.631798</v>
      </c>
      <c r="K46" s="79">
        <f t="shared" si="17"/>
        <v>2.3828015944641924E+20</v>
      </c>
      <c r="L46" s="79">
        <f t="shared" si="18"/>
        <v>1.5339777935796781</v>
      </c>
      <c r="M46" s="79">
        <f t="shared" si="19"/>
        <v>3.1437894596988293E-10</v>
      </c>
      <c r="N46" s="79">
        <f t="shared" si="20"/>
        <v>1.0943533643023582E-10</v>
      </c>
      <c r="O46" s="78">
        <f t="shared" si="21"/>
        <v>0.34810008059738068</v>
      </c>
    </row>
    <row r="47" spans="2:15" x14ac:dyDescent="0.25">
      <c r="B47" s="15">
        <v>44</v>
      </c>
      <c r="C47" s="15">
        <v>1</v>
      </c>
      <c r="D47" s="80">
        <f t="shared" si="11"/>
        <v>86556004191.981293</v>
      </c>
      <c r="E47" s="80">
        <f t="shared" si="12"/>
        <v>1.1240007277776115E+21</v>
      </c>
      <c r="F47" s="15">
        <f t="shared" si="13"/>
        <v>1</v>
      </c>
      <c r="G47" s="4">
        <f t="shared" si="14"/>
        <v>7.7007071306013228E-11</v>
      </c>
      <c r="H47" s="76">
        <v>0.01</v>
      </c>
      <c r="I47" s="15">
        <f t="shared" si="15"/>
        <v>1.01</v>
      </c>
      <c r="J47" s="79">
        <f t="shared" si="16"/>
        <v>86556004191.981293</v>
      </c>
      <c r="K47" s="79">
        <f t="shared" si="17"/>
        <v>1.1240007277776115E+21</v>
      </c>
      <c r="L47" s="79">
        <f t="shared" si="18"/>
        <v>1.549317571515475</v>
      </c>
      <c r="M47" s="79">
        <f t="shared" si="19"/>
        <v>1.1930840870535142E-10</v>
      </c>
      <c r="N47" s="79">
        <f t="shared" si="20"/>
        <v>4.2301337399338193E-11</v>
      </c>
      <c r="O47" s="78">
        <f t="shared" si="21"/>
        <v>0.35455453524493136</v>
      </c>
    </row>
    <row r="48" spans="2:15" x14ac:dyDescent="0.25">
      <c r="B48" s="15">
        <v>45</v>
      </c>
      <c r="C48" s="15">
        <v>1</v>
      </c>
      <c r="D48" s="80">
        <f t="shared" si="11"/>
        <v>153416522949.07141</v>
      </c>
      <c r="E48" s="80">
        <f t="shared" si="12"/>
        <v>5.3613035875444122E+21</v>
      </c>
      <c r="F48" s="15">
        <f t="shared" si="13"/>
        <v>1</v>
      </c>
      <c r="G48" s="4">
        <f t="shared" si="14"/>
        <v>2.8615526139108146E-11</v>
      </c>
      <c r="H48" s="76">
        <v>0.01</v>
      </c>
      <c r="I48" s="15">
        <f t="shared" si="15"/>
        <v>1.01</v>
      </c>
      <c r="J48" s="79">
        <f t="shared" si="16"/>
        <v>153416522949.07141</v>
      </c>
      <c r="K48" s="79">
        <f t="shared" si="17"/>
        <v>5.3613035875444122E+21</v>
      </c>
      <c r="L48" s="79">
        <f t="shared" si="18"/>
        <v>1.5648107472306299</v>
      </c>
      <c r="M48" s="79">
        <f t="shared" si="19"/>
        <v>4.4777882840135442E-11</v>
      </c>
      <c r="N48" s="79">
        <f t="shared" si="20"/>
        <v>1.6162356701027296E-11</v>
      </c>
      <c r="O48" s="78">
        <f t="shared" si="21"/>
        <v>0.36094508440092227</v>
      </c>
    </row>
    <row r="49" spans="2:15" x14ac:dyDescent="0.25">
      <c r="B49" s="15">
        <v>46</v>
      </c>
      <c r="C49" s="15">
        <v>1</v>
      </c>
      <c r="D49" s="80">
        <f t="shared" si="11"/>
        <v>271923706893.61575</v>
      </c>
      <c r="E49" s="80">
        <f t="shared" si="12"/>
        <v>2.5852016738885062E+22</v>
      </c>
      <c r="F49" s="15">
        <f t="shared" si="13"/>
        <v>1</v>
      </c>
      <c r="G49" s="4">
        <f t="shared" si="14"/>
        <v>1.0518471716932023E-11</v>
      </c>
      <c r="H49" s="76">
        <v>0.01</v>
      </c>
      <c r="I49" s="15">
        <f t="shared" si="15"/>
        <v>1.01</v>
      </c>
      <c r="J49" s="79">
        <f t="shared" si="16"/>
        <v>271923706893.61575</v>
      </c>
      <c r="K49" s="79">
        <f t="shared" si="17"/>
        <v>2.5852016738885062E+22</v>
      </c>
      <c r="L49" s="79">
        <f t="shared" si="18"/>
        <v>1.5804588547029363</v>
      </c>
      <c r="M49" s="79">
        <f t="shared" si="19"/>
        <v>1.6624011762967611E-11</v>
      </c>
      <c r="N49" s="79">
        <f t="shared" si="20"/>
        <v>6.1055400460355878E-12</v>
      </c>
      <c r="O49" s="78">
        <f t="shared" si="21"/>
        <v>0.36727236079299225</v>
      </c>
    </row>
    <row r="50" spans="2:15" x14ac:dyDescent="0.25">
      <c r="B50" s="15">
        <v>47</v>
      </c>
      <c r="C50" s="15">
        <v>1</v>
      </c>
      <c r="D50" s="80">
        <f t="shared" si="11"/>
        <v>481972221436.09296</v>
      </c>
      <c r="E50" s="80">
        <f t="shared" si="12"/>
        <v>1.2599063430729489E+23</v>
      </c>
      <c r="F50" s="15">
        <f t="shared" si="13"/>
        <v>1</v>
      </c>
      <c r="G50" s="4">
        <f t="shared" si="14"/>
        <v>3.8254607105203429E-12</v>
      </c>
      <c r="H50" s="76">
        <v>0.01</v>
      </c>
      <c r="I50" s="15">
        <f t="shared" si="15"/>
        <v>1.01</v>
      </c>
      <c r="J50" s="79">
        <f t="shared" si="16"/>
        <v>481972221436.09296</v>
      </c>
      <c r="K50" s="79">
        <f t="shared" si="17"/>
        <v>1.2599063430729489E+23</v>
      </c>
      <c r="L50" s="79">
        <f t="shared" si="18"/>
        <v>1.5962634432499652</v>
      </c>
      <c r="M50" s="79">
        <f t="shared" si="19"/>
        <v>6.1064430857926598E-12</v>
      </c>
      <c r="N50" s="79">
        <f t="shared" si="20"/>
        <v>2.2809823752723169E-12</v>
      </c>
      <c r="O50" s="78">
        <f t="shared" si="21"/>
        <v>0.37353699088415054</v>
      </c>
    </row>
    <row r="51" spans="2:15" x14ac:dyDescent="0.25">
      <c r="B51" s="15">
        <v>48</v>
      </c>
      <c r="C51" s="15">
        <v>1</v>
      </c>
      <c r="D51" s="80">
        <f t="shared" si="11"/>
        <v>854273519913.88745</v>
      </c>
      <c r="E51" s="80">
        <f t="shared" si="12"/>
        <v>6.2044840173323914E+23</v>
      </c>
      <c r="F51" s="15">
        <f t="shared" si="13"/>
        <v>1</v>
      </c>
      <c r="G51" s="4">
        <f t="shared" si="14"/>
        <v>1.3768647280377412E-12</v>
      </c>
      <c r="H51" s="76">
        <v>0.01</v>
      </c>
      <c r="I51" s="15">
        <f t="shared" si="15"/>
        <v>1.01</v>
      </c>
      <c r="J51" s="79">
        <f t="shared" si="16"/>
        <v>854273519913.88745</v>
      </c>
      <c r="K51" s="79">
        <f t="shared" si="17"/>
        <v>6.2044840173323914E+23</v>
      </c>
      <c r="L51" s="79">
        <f t="shared" si="18"/>
        <v>1.6122260776824653</v>
      </c>
      <c r="M51" s="79">
        <f t="shared" si="19"/>
        <v>2.2198172199836219E-12</v>
      </c>
      <c r="N51" s="79">
        <f t="shared" si="20"/>
        <v>8.429524919458807E-13</v>
      </c>
      <c r="O51" s="78">
        <f t="shared" si="21"/>
        <v>0.37973959493480286</v>
      </c>
    </row>
    <row r="52" spans="2:15" x14ac:dyDescent="0.25">
      <c r="B52" s="15">
        <v>49</v>
      </c>
      <c r="C52" s="15">
        <v>1</v>
      </c>
      <c r="D52" s="80">
        <f t="shared" si="11"/>
        <v>1514160390097.9783</v>
      </c>
      <c r="E52" s="80">
        <f t="shared" si="12"/>
        <v>3.0867705405286649E+24</v>
      </c>
      <c r="F52" s="15">
        <f t="shared" si="13"/>
        <v>1</v>
      </c>
      <c r="G52" s="4">
        <f t="shared" si="14"/>
        <v>4.9053221488846109E-13</v>
      </c>
      <c r="H52" s="76">
        <v>0.01</v>
      </c>
      <c r="I52" s="15">
        <f t="shared" si="15"/>
        <v>1.01</v>
      </c>
      <c r="J52" s="79">
        <f t="shared" si="16"/>
        <v>1514160390097.9783</v>
      </c>
      <c r="K52" s="79">
        <f t="shared" si="17"/>
        <v>3.0867705405286649E+24</v>
      </c>
      <c r="L52" s="79">
        <f t="shared" si="18"/>
        <v>1.6283483384592901</v>
      </c>
      <c r="M52" s="79">
        <f t="shared" si="19"/>
        <v>7.9875731707438107E-13</v>
      </c>
      <c r="N52" s="79">
        <f t="shared" si="20"/>
        <v>3.0822510218591998E-13</v>
      </c>
      <c r="O52" s="78">
        <f t="shared" si="21"/>
        <v>0.38588078706416123</v>
      </c>
    </row>
    <row r="53" spans="2:15" x14ac:dyDescent="0.25">
      <c r="B53" s="15">
        <v>50</v>
      </c>
      <c r="C53" s="15">
        <v>1</v>
      </c>
      <c r="D53" s="80">
        <f t="shared" si="11"/>
        <v>2683779414317.7627</v>
      </c>
      <c r="E53" s="80">
        <f t="shared" si="12"/>
        <v>1.5511210043330954E+25</v>
      </c>
      <c r="F53" s="15">
        <f t="shared" si="13"/>
        <v>1</v>
      </c>
      <c r="G53" s="4">
        <f t="shared" si="14"/>
        <v>1.7302192458361132E-13</v>
      </c>
      <c r="H53" s="76">
        <v>0.01</v>
      </c>
      <c r="I53" s="15">
        <f t="shared" si="15"/>
        <v>1.01</v>
      </c>
      <c r="J53" s="79">
        <f t="shared" si="16"/>
        <v>2683779414317.7627</v>
      </c>
      <c r="K53" s="79">
        <f t="shared" si="17"/>
        <v>1.5511210043330954E+25</v>
      </c>
      <c r="L53" s="79">
        <f t="shared" si="18"/>
        <v>1.6446318218438831</v>
      </c>
      <c r="M53" s="79">
        <f t="shared" si="19"/>
        <v>2.8455736304687962E-13</v>
      </c>
      <c r="N53" s="79">
        <f t="shared" si="20"/>
        <v>1.115354384632683E-13</v>
      </c>
      <c r="O53" s="78">
        <f t="shared" si="21"/>
        <v>0.39196117531105074</v>
      </c>
    </row>
    <row r="54" spans="2:15" x14ac:dyDescent="0.25">
      <c r="B54" s="15">
        <v>51</v>
      </c>
      <c r="C54" s="15">
        <v>1</v>
      </c>
      <c r="D54" s="80">
        <f t="shared" si="11"/>
        <v>4756875157888.4668</v>
      </c>
      <c r="E54" s="80">
        <f t="shared" si="12"/>
        <v>7.8712648783481964E+25</v>
      </c>
      <c r="F54" s="15">
        <f t="shared" si="13"/>
        <v>1</v>
      </c>
      <c r="G54" s="4">
        <f t="shared" si="14"/>
        <v>6.0433427554615699E-14</v>
      </c>
      <c r="H54" s="76">
        <v>0.01</v>
      </c>
      <c r="I54" s="15">
        <f t="shared" si="15"/>
        <v>1.01</v>
      </c>
      <c r="J54" s="79">
        <f t="shared" si="16"/>
        <v>4756875157888.4668</v>
      </c>
      <c r="K54" s="79">
        <f t="shared" si="17"/>
        <v>7.8712648783481964E+25</v>
      </c>
      <c r="L54" s="79">
        <f t="shared" si="18"/>
        <v>1.6610781400623216</v>
      </c>
      <c r="M54" s="79">
        <f t="shared" si="19"/>
        <v>1.003846454400121E-13</v>
      </c>
      <c r="N54" s="79">
        <f t="shared" si="20"/>
        <v>3.99512178853964E-14</v>
      </c>
      <c r="O54" s="78">
        <f t="shared" si="21"/>
        <v>0.39798136169410953</v>
      </c>
    </row>
    <row r="55" spans="2:15" x14ac:dyDescent="0.25">
      <c r="B55" s="15">
        <v>52</v>
      </c>
      <c r="C55" s="15">
        <v>1</v>
      </c>
      <c r="D55" s="80">
        <f t="shared" si="11"/>
        <v>8431341691876.2012</v>
      </c>
      <c r="E55" s="80">
        <f t="shared" si="12"/>
        <v>4.0329146112660538E+26</v>
      </c>
      <c r="F55" s="15">
        <f t="shared" si="13"/>
        <v>1</v>
      </c>
      <c r="G55" s="4">
        <f t="shared" si="14"/>
        <v>2.0906323353147685E-14</v>
      </c>
      <c r="H55" s="76">
        <v>0.01</v>
      </c>
      <c r="I55" s="15">
        <f t="shared" si="15"/>
        <v>1.01</v>
      </c>
      <c r="J55" s="79">
        <f t="shared" si="16"/>
        <v>8431341691876.2012</v>
      </c>
      <c r="K55" s="79">
        <f t="shared" si="17"/>
        <v>4.0329146112660538E+26</v>
      </c>
      <c r="L55" s="79">
        <f t="shared" si="18"/>
        <v>1.6776889214629449</v>
      </c>
      <c r="M55" s="79">
        <f t="shared" si="19"/>
        <v>3.5074307078097914E-14</v>
      </c>
      <c r="N55" s="79">
        <f t="shared" si="20"/>
        <v>1.416798372495023E-14</v>
      </c>
      <c r="O55" s="78">
        <f t="shared" si="21"/>
        <v>0.40394194227139557</v>
      </c>
    </row>
    <row r="56" spans="2:15" x14ac:dyDescent="0.25">
      <c r="B56" s="15">
        <v>53</v>
      </c>
      <c r="C56" s="15">
        <v>1</v>
      </c>
      <c r="D56" s="80">
        <f t="shared" si="11"/>
        <v>14944164050066.207</v>
      </c>
      <c r="E56" s="80">
        <f t="shared" si="12"/>
        <v>2.0858851927622731E+27</v>
      </c>
      <c r="F56" s="15">
        <f t="shared" si="13"/>
        <v>1</v>
      </c>
      <c r="G56" s="4">
        <f t="shared" si="14"/>
        <v>7.1644230957294983E-15</v>
      </c>
      <c r="H56" s="76">
        <v>0.01</v>
      </c>
      <c r="I56" s="15">
        <f t="shared" si="15"/>
        <v>1.01</v>
      </c>
      <c r="J56" s="79">
        <f t="shared" si="16"/>
        <v>14944164050066.207</v>
      </c>
      <c r="K56" s="79">
        <f t="shared" si="17"/>
        <v>2.0858851927622731E+27</v>
      </c>
      <c r="L56" s="79">
        <f t="shared" si="18"/>
        <v>1.6944658106775741</v>
      </c>
      <c r="M56" s="79">
        <f t="shared" si="19"/>
        <v>1.2139869988942421E-14</v>
      </c>
      <c r="N56" s="79">
        <f t="shared" si="20"/>
        <v>4.9754468932129222E-15</v>
      </c>
      <c r="O56" s="78">
        <f t="shared" si="21"/>
        <v>0.4098435071994016</v>
      </c>
    </row>
    <row r="57" spans="2:15" x14ac:dyDescent="0.25">
      <c r="B57" s="15">
        <v>54</v>
      </c>
      <c r="C57" s="15">
        <v>1</v>
      </c>
      <c r="D57" s="80">
        <f t="shared" si="11"/>
        <v>26487841119103.613</v>
      </c>
      <c r="E57" s="80">
        <f t="shared" si="12"/>
        <v>1.0888869450418268E+28</v>
      </c>
      <c r="F57" s="15">
        <f t="shared" si="13"/>
        <v>1</v>
      </c>
      <c r="G57" s="4">
        <f t="shared" si="14"/>
        <v>2.4325611799934059E-15</v>
      </c>
      <c r="H57" s="76">
        <v>0.01</v>
      </c>
      <c r="I57" s="15">
        <f t="shared" si="15"/>
        <v>1.01</v>
      </c>
      <c r="J57" s="79">
        <f t="shared" si="16"/>
        <v>26487841119103.613</v>
      </c>
      <c r="K57" s="79">
        <f t="shared" si="17"/>
        <v>1.0888869450418268E+28</v>
      </c>
      <c r="L57" s="79">
        <f t="shared" si="18"/>
        <v>1.7114104687843503</v>
      </c>
      <c r="M57" s="79">
        <f t="shared" si="19"/>
        <v>4.1631106693991276E-15</v>
      </c>
      <c r="N57" s="79">
        <f t="shared" si="20"/>
        <v>1.7305494894057217E-15</v>
      </c>
      <c r="O57" s="78">
        <f t="shared" si="21"/>
        <v>0.41568664079148687</v>
      </c>
    </row>
    <row r="58" spans="2:15" x14ac:dyDescent="0.25">
      <c r="B58" s="15">
        <v>55</v>
      </c>
      <c r="C58" s="15">
        <v>1</v>
      </c>
      <c r="D58" s="80">
        <f t="shared" si="11"/>
        <v>46948475993728.719</v>
      </c>
      <c r="E58" s="80">
        <f t="shared" si="12"/>
        <v>5.7361842800961449E+28</v>
      </c>
      <c r="F58" s="15">
        <f t="shared" si="13"/>
        <v>1</v>
      </c>
      <c r="G58" s="4">
        <f t="shared" si="14"/>
        <v>8.1846178053648248E-16</v>
      </c>
      <c r="H58" s="76">
        <v>0.01</v>
      </c>
      <c r="I58" s="15">
        <f t="shared" si="15"/>
        <v>1.01</v>
      </c>
      <c r="J58" s="79">
        <f t="shared" si="16"/>
        <v>46948475993728.719</v>
      </c>
      <c r="K58" s="79">
        <f t="shared" si="17"/>
        <v>5.7361842800961449E+28</v>
      </c>
      <c r="L58" s="79">
        <f t="shared" si="18"/>
        <v>1.7285245734721935</v>
      </c>
      <c r="M58" s="79">
        <f t="shared" si="19"/>
        <v>1.4147313001051155E-15</v>
      </c>
      <c r="N58" s="79">
        <f t="shared" si="20"/>
        <v>5.9626951956863302E-16</v>
      </c>
      <c r="O58" s="78">
        <f t="shared" si="21"/>
        <v>0.42147192157572944</v>
      </c>
    </row>
    <row r="59" spans="2:15" x14ac:dyDescent="0.25">
      <c r="B59" s="15">
        <v>56</v>
      </c>
      <c r="C59" s="15">
        <v>1</v>
      </c>
      <c r="D59" s="80">
        <f t="shared" si="11"/>
        <v>83214007069229.547</v>
      </c>
      <c r="E59" s="80">
        <f t="shared" si="12"/>
        <v>3.0488834461171542E+29</v>
      </c>
      <c r="F59" s="15">
        <f t="shared" si="13"/>
        <v>1</v>
      </c>
      <c r="G59" s="4">
        <f t="shared" si="14"/>
        <v>2.72932726159818E-16</v>
      </c>
      <c r="H59" s="76">
        <v>0.01</v>
      </c>
      <c r="I59" s="15">
        <f t="shared" si="15"/>
        <v>1.01</v>
      </c>
      <c r="J59" s="79">
        <f t="shared" si="16"/>
        <v>83214007069229.547</v>
      </c>
      <c r="K59" s="79">
        <f t="shared" si="17"/>
        <v>3.0488834461171542E+29</v>
      </c>
      <c r="L59" s="79">
        <f t="shared" si="18"/>
        <v>1.7458098192069158</v>
      </c>
      <c r="M59" s="79">
        <f t="shared" si="19"/>
        <v>4.7648863331272259E-16</v>
      </c>
      <c r="N59" s="79">
        <f t="shared" si="20"/>
        <v>2.035559071529046E-16</v>
      </c>
      <c r="O59" s="78">
        <f t="shared" si="21"/>
        <v>0.42719992235220755</v>
      </c>
    </row>
    <row r="60" spans="2:15" x14ac:dyDescent="0.25">
      <c r="B60" s="15">
        <v>57</v>
      </c>
      <c r="C60" s="15">
        <v>1</v>
      </c>
      <c r="D60" s="80">
        <f t="shared" si="11"/>
        <v>147492987279134.47</v>
      </c>
      <c r="E60" s="80">
        <f t="shared" si="12"/>
        <v>1.6348125198274318E+30</v>
      </c>
      <c r="F60" s="15">
        <f t="shared" si="13"/>
        <v>1</v>
      </c>
      <c r="G60" s="4">
        <f t="shared" si="14"/>
        <v>9.0220123402715072E-17</v>
      </c>
      <c r="H60" s="76">
        <v>0.01</v>
      </c>
      <c r="I60" s="15">
        <f t="shared" si="15"/>
        <v>1.01</v>
      </c>
      <c r="J60" s="79">
        <f t="shared" si="16"/>
        <v>147492987279134.47</v>
      </c>
      <c r="K60" s="79">
        <f t="shared" si="17"/>
        <v>1.6348125198274318E+30</v>
      </c>
      <c r="L60" s="79">
        <f t="shared" si="18"/>
        <v>1.7632679173989851</v>
      </c>
      <c r="M60" s="79">
        <f t="shared" si="19"/>
        <v>1.5908224909978485E-16</v>
      </c>
      <c r="N60" s="79">
        <f t="shared" si="20"/>
        <v>6.8862125697069776E-17</v>
      </c>
      <c r="O60" s="78">
        <f t="shared" si="21"/>
        <v>0.43287121024971043</v>
      </c>
    </row>
    <row r="61" spans="2:15" x14ac:dyDescent="0.25">
      <c r="B61" s="15">
        <v>58</v>
      </c>
      <c r="C61" s="15">
        <v>1</v>
      </c>
      <c r="D61" s="80">
        <f t="shared" si="11"/>
        <v>261424513284460.66</v>
      </c>
      <c r="E61" s="80">
        <f t="shared" si="12"/>
        <v>8.8417619937396265E+30</v>
      </c>
      <c r="F61" s="15">
        <f t="shared" si="13"/>
        <v>1</v>
      </c>
      <c r="G61" s="4">
        <f t="shared" si="14"/>
        <v>2.9567015428549334E-17</v>
      </c>
      <c r="H61" s="76">
        <v>0.01</v>
      </c>
      <c r="I61" s="15">
        <f t="shared" si="15"/>
        <v>1.01</v>
      </c>
      <c r="J61" s="79">
        <f t="shared" si="16"/>
        <v>261424513284460.66</v>
      </c>
      <c r="K61" s="79">
        <f t="shared" si="17"/>
        <v>8.8417619937396265E+30</v>
      </c>
      <c r="L61" s="79">
        <f t="shared" si="18"/>
        <v>1.7809005965729749</v>
      </c>
      <c r="M61" s="79">
        <f t="shared" si="19"/>
        <v>5.2655915415585869E-17</v>
      </c>
      <c r="N61" s="79">
        <f t="shared" si="20"/>
        <v>2.3088899987036535E-17</v>
      </c>
      <c r="O61" s="78">
        <f t="shared" si="21"/>
        <v>0.43848634678189158</v>
      </c>
    </row>
    <row r="62" spans="2:15" x14ac:dyDescent="0.25">
      <c r="B62" s="15">
        <v>59</v>
      </c>
      <c r="C62" s="15">
        <v>1</v>
      </c>
      <c r="D62" s="80">
        <f t="shared" si="11"/>
        <v>463362885292142</v>
      </c>
      <c r="E62" s="80">
        <f t="shared" si="12"/>
        <v>4.822696933490878E+31</v>
      </c>
      <c r="F62" s="15">
        <f t="shared" si="13"/>
        <v>1</v>
      </c>
      <c r="G62" s="4">
        <f t="shared" si="14"/>
        <v>9.6079619284046483E-18</v>
      </c>
      <c r="H62" s="76">
        <v>0.01</v>
      </c>
      <c r="I62" s="15">
        <f t="shared" si="15"/>
        <v>1.01</v>
      </c>
      <c r="J62" s="79">
        <f t="shared" si="16"/>
        <v>463362885292142</v>
      </c>
      <c r="K62" s="79">
        <f t="shared" si="17"/>
        <v>4.822696933490878E+31</v>
      </c>
      <c r="L62" s="79">
        <f t="shared" si="18"/>
        <v>1.7987096025387042</v>
      </c>
      <c r="M62" s="79">
        <f t="shared" si="19"/>
        <v>1.7281933381447726E-17</v>
      </c>
      <c r="N62" s="79">
        <f t="shared" si="20"/>
        <v>7.6739714530430779E-18</v>
      </c>
      <c r="O62" s="78">
        <f t="shared" si="21"/>
        <v>0.4440458879028627</v>
      </c>
    </row>
    <row r="63" spans="2:15" x14ac:dyDescent="0.25">
      <c r="B63" s="15">
        <v>60</v>
      </c>
      <c r="C63" s="15">
        <v>1</v>
      </c>
      <c r="D63" s="80">
        <f t="shared" si="11"/>
        <v>821289330402748.75</v>
      </c>
      <c r="E63" s="80">
        <f t="shared" si="12"/>
        <v>2.6525285981218941E+32</v>
      </c>
      <c r="F63" s="15">
        <f t="shared" si="13"/>
        <v>1</v>
      </c>
      <c r="G63" s="4">
        <f t="shared" si="14"/>
        <v>3.0962506152968809E-18</v>
      </c>
      <c r="H63" s="76">
        <v>0.01</v>
      </c>
      <c r="I63" s="15">
        <f t="shared" si="15"/>
        <v>1.01</v>
      </c>
      <c r="J63" s="79">
        <f t="shared" si="16"/>
        <v>821289330402748.75</v>
      </c>
      <c r="K63" s="79">
        <f t="shared" si="17"/>
        <v>2.6525285981218941E+32</v>
      </c>
      <c r="L63" s="79">
        <f t="shared" si="18"/>
        <v>1.8166966985640913</v>
      </c>
      <c r="M63" s="79">
        <f t="shared" si="19"/>
        <v>5.6249482707368798E-18</v>
      </c>
      <c r="N63" s="79">
        <f t="shared" si="20"/>
        <v>2.5286976554399988E-18</v>
      </c>
      <c r="O63" s="78">
        <f t="shared" si="21"/>
        <v>0.44955038406224029</v>
      </c>
    </row>
    <row r="64" spans="2:15" x14ac:dyDescent="0.25">
      <c r="B64" s="15">
        <v>61</v>
      </c>
      <c r="C64" s="15">
        <v>1</v>
      </c>
      <c r="D64" s="80">
        <f t="shared" si="11"/>
        <v>1455697436379964.2</v>
      </c>
      <c r="E64" s="80">
        <f t="shared" si="12"/>
        <v>1.4709225647146981E+33</v>
      </c>
      <c r="F64" s="15">
        <f t="shared" si="13"/>
        <v>1</v>
      </c>
      <c r="G64" s="4">
        <f t="shared" si="14"/>
        <v>9.8964926590973417E-19</v>
      </c>
      <c r="H64" s="76">
        <v>0.01</v>
      </c>
      <c r="I64" s="15">
        <f t="shared" si="15"/>
        <v>1.01</v>
      </c>
      <c r="J64" s="79">
        <f t="shared" si="16"/>
        <v>1455697436379964.2</v>
      </c>
      <c r="K64" s="79">
        <f t="shared" si="17"/>
        <v>1.4709225647146981E+33</v>
      </c>
      <c r="L64" s="79">
        <f t="shared" si="18"/>
        <v>1.8348636655497323</v>
      </c>
      <c r="M64" s="79">
        <f t="shared" si="19"/>
        <v>1.8158714796557365E-18</v>
      </c>
      <c r="N64" s="79">
        <f t="shared" si="20"/>
        <v>8.2622221374600237E-19</v>
      </c>
      <c r="O64" s="78">
        <f t="shared" si="21"/>
        <v>0.4550003802596439</v>
      </c>
    </row>
    <row r="65" spans="2:15" x14ac:dyDescent="0.25">
      <c r="B65" s="15">
        <v>62</v>
      </c>
      <c r="C65" s="15">
        <v>1</v>
      </c>
      <c r="D65" s="80">
        <f t="shared" si="11"/>
        <v>2580156526864956</v>
      </c>
      <c r="E65" s="80">
        <f t="shared" si="12"/>
        <v>8.2228386541778936E+33</v>
      </c>
      <c r="F65" s="15">
        <f t="shared" si="13"/>
        <v>1</v>
      </c>
      <c r="G65" s="4">
        <f t="shared" si="14"/>
        <v>3.1377929634482364E-19</v>
      </c>
      <c r="H65" s="76">
        <v>0.01</v>
      </c>
      <c r="I65" s="15">
        <f t="shared" si="15"/>
        <v>1.01</v>
      </c>
      <c r="J65" s="79">
        <f t="shared" si="16"/>
        <v>2580156526864956</v>
      </c>
      <c r="K65" s="79">
        <f t="shared" si="17"/>
        <v>8.2228386541778936E+33</v>
      </c>
      <c r="L65" s="79">
        <f t="shared" si="18"/>
        <v>1.85321230220523</v>
      </c>
      <c r="M65" s="79">
        <f t="shared" si="19"/>
        <v>5.8149965216352782E-19</v>
      </c>
      <c r="N65" s="79">
        <f t="shared" si="20"/>
        <v>2.6772035581870418E-19</v>
      </c>
      <c r="O65" s="78">
        <f t="shared" si="21"/>
        <v>0.46039641609865756</v>
      </c>
    </row>
    <row r="66" spans="2:15" x14ac:dyDescent="0.25">
      <c r="B66" s="15">
        <v>63</v>
      </c>
      <c r="C66" s="15">
        <v>1</v>
      </c>
      <c r="D66" s="80">
        <f t="shared" si="11"/>
        <v>4573208371980794</v>
      </c>
      <c r="E66" s="80">
        <f t="shared" si="12"/>
        <v>4.6334060788513766E+34</v>
      </c>
      <c r="F66" s="15">
        <f t="shared" si="13"/>
        <v>1</v>
      </c>
      <c r="G66" s="4">
        <f t="shared" si="14"/>
        <v>9.8700789314682606E-20</v>
      </c>
      <c r="H66" s="76">
        <v>0.01</v>
      </c>
      <c r="I66" s="15">
        <f t="shared" si="15"/>
        <v>1.01</v>
      </c>
      <c r="J66" s="79">
        <f t="shared" si="16"/>
        <v>4573208371980794</v>
      </c>
      <c r="K66" s="79">
        <f t="shared" si="17"/>
        <v>4.6334060788513766E+34</v>
      </c>
      <c r="L66" s="79">
        <f t="shared" si="18"/>
        <v>1.8717444252272817</v>
      </c>
      <c r="M66" s="79">
        <f t="shared" si="19"/>
        <v>1.8474265216528964E-19</v>
      </c>
      <c r="N66" s="79">
        <f t="shared" si="20"/>
        <v>8.6041862850607031E-20</v>
      </c>
      <c r="O66" s="78">
        <f t="shared" si="21"/>
        <v>0.46573902584025478</v>
      </c>
    </row>
    <row r="67" spans="2:15" x14ac:dyDescent="0.25">
      <c r="B67" s="15">
        <v>64</v>
      </c>
      <c r="C67" s="15">
        <v>1</v>
      </c>
      <c r="D67" s="80">
        <f t="shared" si="11"/>
        <v>8105800789910702</v>
      </c>
      <c r="E67" s="80">
        <f t="shared" si="12"/>
        <v>2.631308369336913E+35</v>
      </c>
      <c r="F67" s="15">
        <f t="shared" si="13"/>
        <v>1</v>
      </c>
      <c r="G67" s="4">
        <f t="shared" si="14"/>
        <v>3.080521038267117E-20</v>
      </c>
      <c r="H67" s="76">
        <v>0.01</v>
      </c>
      <c r="I67" s="15">
        <f t="shared" si="15"/>
        <v>1.01</v>
      </c>
      <c r="J67" s="79">
        <f t="shared" si="16"/>
        <v>8105800789910702</v>
      </c>
      <c r="K67" s="79">
        <f t="shared" si="17"/>
        <v>2.631308369336913E+35</v>
      </c>
      <c r="L67" s="79">
        <f t="shared" si="18"/>
        <v>1.890461869479555</v>
      </c>
      <c r="M67" s="79">
        <f t="shared" si="19"/>
        <v>5.8236075609735544E-20</v>
      </c>
      <c r="N67" s="79">
        <f t="shared" si="20"/>
        <v>2.7430865227064375E-20</v>
      </c>
      <c r="O67" s="78">
        <f t="shared" si="21"/>
        <v>0.47102873845569798</v>
      </c>
    </row>
    <row r="68" spans="2:15" x14ac:dyDescent="0.25">
      <c r="B68" s="15">
        <v>65</v>
      </c>
      <c r="C68" s="15">
        <v>1</v>
      </c>
      <c r="D68" s="80">
        <f t="shared" si="11"/>
        <v>1.4367157824750212E+16</v>
      </c>
      <c r="E68" s="80">
        <f t="shared" si="12"/>
        <v>1.5058569756266872E+36</v>
      </c>
      <c r="F68" s="15">
        <f t="shared" si="13"/>
        <v>1</v>
      </c>
      <c r="G68" s="4">
        <f t="shared" si="14"/>
        <v>9.540851526600714E-21</v>
      </c>
      <c r="H68" s="76">
        <v>0.01</v>
      </c>
      <c r="I68" s="15">
        <f t="shared" si="15"/>
        <v>1.01</v>
      </c>
      <c r="J68" s="79">
        <f t="shared" si="16"/>
        <v>1.4367157824750212E+16</v>
      </c>
      <c r="K68" s="79">
        <f t="shared" si="17"/>
        <v>1.5058569756266872E+36</v>
      </c>
      <c r="L68" s="79">
        <f t="shared" si="18"/>
        <v>1.9093664881743506</v>
      </c>
      <c r="M68" s="79">
        <f t="shared" si="19"/>
        <v>1.8216982173538496E-20</v>
      </c>
      <c r="N68" s="79">
        <f t="shared" si="20"/>
        <v>8.6761306469377824E-21</v>
      </c>
      <c r="O68" s="78">
        <f t="shared" si="21"/>
        <v>0.47626607767890877</v>
      </c>
    </row>
    <row r="69" spans="2:15" x14ac:dyDescent="0.25">
      <c r="B69" s="15">
        <v>66</v>
      </c>
      <c r="C69" s="15">
        <v>1</v>
      </c>
      <c r="D69" s="80">
        <f t="shared" si="11"/>
        <v>2.5465124213045804E+16</v>
      </c>
      <c r="E69" s="80">
        <f t="shared" si="12"/>
        <v>8.6833176188119946E+36</v>
      </c>
      <c r="F69" s="15">
        <f t="shared" si="13"/>
        <v>1</v>
      </c>
      <c r="G69" s="4">
        <f t="shared" si="14"/>
        <v>2.9326491706207802E-21</v>
      </c>
      <c r="H69" s="76">
        <v>0.01</v>
      </c>
      <c r="I69" s="15">
        <f t="shared" si="15"/>
        <v>1.01</v>
      </c>
      <c r="J69" s="79">
        <f t="shared" si="16"/>
        <v>2.5465124213045804E+16</v>
      </c>
      <c r="K69" s="79">
        <f t="shared" si="17"/>
        <v>8.6833176188119946E+36</v>
      </c>
      <c r="L69" s="79">
        <f t="shared" si="18"/>
        <v>1.9284601530560941</v>
      </c>
      <c r="M69" s="79">
        <f t="shared" si="19"/>
        <v>5.6554970684351774E-21</v>
      </c>
      <c r="N69" s="79">
        <f t="shared" si="20"/>
        <v>2.7228478978143971E-21</v>
      </c>
      <c r="O69" s="78">
        <f t="shared" si="21"/>
        <v>0.48145156205832557</v>
      </c>
    </row>
    <row r="70" spans="2:15" x14ac:dyDescent="0.25">
      <c r="B70" s="15">
        <v>67</v>
      </c>
      <c r="C70" s="15">
        <v>1</v>
      </c>
      <c r="D70" s="80">
        <f t="shared" si="11"/>
        <v>4.5135757475200408E+16</v>
      </c>
      <c r="E70" s="80">
        <f t="shared" si="12"/>
        <v>5.0446208683494764E+37</v>
      </c>
      <c r="F70" s="15">
        <f t="shared" si="13"/>
        <v>1</v>
      </c>
      <c r="G70" s="4">
        <f t="shared" si="14"/>
        <v>8.9473041984953258E-22</v>
      </c>
      <c r="H70" s="76">
        <v>0.01</v>
      </c>
      <c r="I70" s="15">
        <f t="shared" si="15"/>
        <v>1.01</v>
      </c>
      <c r="J70" s="79">
        <f t="shared" si="16"/>
        <v>4.5135757475200408E+16</v>
      </c>
      <c r="K70" s="79">
        <f t="shared" si="17"/>
        <v>5.0446208683494764E+37</v>
      </c>
      <c r="L70" s="79">
        <f t="shared" si="18"/>
        <v>1.9477447545866549</v>
      </c>
      <c r="M70" s="79">
        <f t="shared" si="19"/>
        <v>1.7427064820310424E-21</v>
      </c>
      <c r="N70" s="79">
        <f t="shared" si="20"/>
        <v>8.4797606218150982E-22</v>
      </c>
      <c r="O70" s="78">
        <f t="shared" si="21"/>
        <v>0.48658570500824305</v>
      </c>
    </row>
    <row r="71" spans="2:15" x14ac:dyDescent="0.25">
      <c r="B71" s="15">
        <v>68</v>
      </c>
      <c r="C71" s="15">
        <v>1</v>
      </c>
      <c r="D71" s="80">
        <f t="shared" si="11"/>
        <v>8.0001047150456256E+16</v>
      </c>
      <c r="E71" s="80">
        <f t="shared" si="12"/>
        <v>2.952327990396008E+38</v>
      </c>
      <c r="F71" s="15">
        <f t="shared" si="13"/>
        <v>1</v>
      </c>
      <c r="G71" s="4">
        <f t="shared" si="14"/>
        <v>2.7097614970525477E-22</v>
      </c>
      <c r="H71" s="76">
        <v>0.01</v>
      </c>
      <c r="I71" s="15">
        <f t="shared" si="15"/>
        <v>1.01</v>
      </c>
      <c r="J71" s="79">
        <f t="shared" si="16"/>
        <v>8.0001047150456256E+16</v>
      </c>
      <c r="K71" s="79">
        <f t="shared" si="17"/>
        <v>2.952327990396008E+38</v>
      </c>
      <c r="L71" s="79">
        <f t="shared" si="18"/>
        <v>1.9672222021325216</v>
      </c>
      <c r="M71" s="79">
        <f t="shared" si="19"/>
        <v>5.3307029794856311E-22</v>
      </c>
      <c r="N71" s="79">
        <f t="shared" si="20"/>
        <v>2.6209414824330834E-22</v>
      </c>
      <c r="O71" s="78">
        <f t="shared" si="21"/>
        <v>0.49166901485964665</v>
      </c>
    </row>
    <row r="72" spans="2:15" x14ac:dyDescent="0.25">
      <c r="B72" s="15">
        <v>69</v>
      </c>
      <c r="C72" s="15">
        <v>1</v>
      </c>
      <c r="D72" s="80">
        <f t="shared" si="11"/>
        <v>1.4179816409830029E+17</v>
      </c>
      <c r="E72" s="80">
        <f t="shared" si="12"/>
        <v>1.7403941995805498E+39</v>
      </c>
      <c r="F72" s="15">
        <f t="shared" si="13"/>
        <v>1</v>
      </c>
      <c r="G72" s="4">
        <f t="shared" si="14"/>
        <v>8.1474739534569166E-23</v>
      </c>
      <c r="H72" s="76">
        <v>0.01</v>
      </c>
      <c r="I72" s="15">
        <f t="shared" si="15"/>
        <v>1.01</v>
      </c>
      <c r="J72" s="79">
        <f t="shared" si="16"/>
        <v>1.4179816409830029E+17</v>
      </c>
      <c r="K72" s="79">
        <f t="shared" si="17"/>
        <v>1.7403941995805498E+39</v>
      </c>
      <c r="L72" s="79">
        <f t="shared" si="18"/>
        <v>1.9868944241538466</v>
      </c>
      <c r="M72" s="79">
        <f t="shared" si="19"/>
        <v>1.6188170569062245E-22</v>
      </c>
      <c r="N72" s="79">
        <f t="shared" si="20"/>
        <v>8.0406966156053282E-23</v>
      </c>
      <c r="O72" s="78">
        <f t="shared" si="21"/>
        <v>0.49670199491054123</v>
      </c>
    </row>
    <row r="73" spans="2:15" x14ac:dyDescent="0.25">
      <c r="B73" s="15">
        <v>70</v>
      </c>
      <c r="C73" s="15">
        <v>1</v>
      </c>
      <c r="D73" s="80">
        <f t="shared" si="11"/>
        <v>2.5133070200736403E+17</v>
      </c>
      <c r="E73" s="80">
        <f t="shared" si="12"/>
        <v>1.0333147966386003E+40</v>
      </c>
      <c r="F73" s="15">
        <f t="shared" si="13"/>
        <v>1</v>
      </c>
      <c r="G73" s="4">
        <f t="shared" si="14"/>
        <v>2.4322762320345097E-23</v>
      </c>
      <c r="H73" s="76">
        <v>0.01</v>
      </c>
      <c r="I73" s="15">
        <f t="shared" si="15"/>
        <v>1.01</v>
      </c>
      <c r="J73" s="79">
        <f t="shared" si="16"/>
        <v>2.5133070200736403E+17</v>
      </c>
      <c r="K73" s="79">
        <f t="shared" si="17"/>
        <v>1.0333147966386003E+40</v>
      </c>
      <c r="L73" s="79">
        <f t="shared" si="18"/>
        <v>2.0067633683953856</v>
      </c>
      <c r="M73" s="79">
        <f t="shared" si="19"/>
        <v>4.8810028442656089E-23</v>
      </c>
      <c r="N73" s="79">
        <f t="shared" si="20"/>
        <v>2.4487266122310992E-23</v>
      </c>
      <c r="O73" s="78">
        <f t="shared" si="21"/>
        <v>0.50168514347578341</v>
      </c>
    </row>
    <row r="74" spans="2:15" x14ac:dyDescent="0.25">
      <c r="B74" s="15">
        <v>71</v>
      </c>
      <c r="C74" s="15">
        <v>1</v>
      </c>
      <c r="D74" s="80">
        <f t="shared" si="11"/>
        <v>4.4547207062374042E+17</v>
      </c>
      <c r="E74" s="80">
        <f t="shared" si="12"/>
        <v>6.1783994085110667E+40</v>
      </c>
      <c r="F74" s="15">
        <f t="shared" si="13"/>
        <v>1</v>
      </c>
      <c r="G74" s="4">
        <f t="shared" si="14"/>
        <v>7.2101533288715436E-24</v>
      </c>
      <c r="H74" s="76">
        <v>0.01</v>
      </c>
      <c r="I74" s="15">
        <f t="shared" si="15"/>
        <v>1.01</v>
      </c>
      <c r="J74" s="79">
        <f t="shared" si="16"/>
        <v>4.4547207062374042E+17</v>
      </c>
      <c r="K74" s="79">
        <f t="shared" si="17"/>
        <v>6.1783994085110667E+40</v>
      </c>
      <c r="L74" s="79">
        <f t="shared" si="18"/>
        <v>2.0268310020793385</v>
      </c>
      <c r="M74" s="79">
        <f t="shared" si="19"/>
        <v>1.461376229670239E-23</v>
      </c>
      <c r="N74" s="79">
        <f t="shared" si="20"/>
        <v>7.4036089678308462E-24</v>
      </c>
      <c r="O74" s="78">
        <f t="shared" si="21"/>
        <v>0.50661895393641909</v>
      </c>
    </row>
    <row r="75" spans="2:15" x14ac:dyDescent="0.25">
      <c r="B75" s="15">
        <v>72</v>
      </c>
      <c r="C75" s="15">
        <v>1</v>
      </c>
      <c r="D75" s="80">
        <f t="shared" si="11"/>
        <v>7.8957868704790042E+17</v>
      </c>
      <c r="E75" s="80">
        <f t="shared" si="12"/>
        <v>3.7199332678990102E+41</v>
      </c>
      <c r="F75" s="15">
        <f t="shared" si="13"/>
        <v>1</v>
      </c>
      <c r="G75" s="4">
        <f t="shared" si="14"/>
        <v>2.1225614283501607E-24</v>
      </c>
      <c r="H75" s="76">
        <v>0.01</v>
      </c>
      <c r="I75" s="15">
        <f t="shared" si="15"/>
        <v>1.01</v>
      </c>
      <c r="J75" s="79">
        <f t="shared" si="16"/>
        <v>7.8957868704790042E+17</v>
      </c>
      <c r="K75" s="79">
        <f t="shared" si="17"/>
        <v>3.7199332678990102E+41</v>
      </c>
      <c r="L75" s="79">
        <f t="shared" si="18"/>
        <v>2.0470993121001326</v>
      </c>
      <c r="M75" s="79">
        <f t="shared" si="19"/>
        <v>4.345094039865889E-24</v>
      </c>
      <c r="N75" s="79">
        <f t="shared" si="20"/>
        <v>2.2225326115157283E-24</v>
      </c>
      <c r="O75" s="78">
        <f t="shared" si="21"/>
        <v>0.51150391478853396</v>
      </c>
    </row>
    <row r="76" spans="2:15" x14ac:dyDescent="0.25">
      <c r="B76" s="15">
        <v>73</v>
      </c>
      <c r="C76" s="15">
        <v>1</v>
      </c>
      <c r="D76" s="80">
        <f t="shared" si="11"/>
        <v>1.3994917844509775E+18</v>
      </c>
      <c r="E76" s="80">
        <f t="shared" si="12"/>
        <v>2.2551157841064906E+42</v>
      </c>
      <c r="F76" s="15">
        <f t="shared" si="13"/>
        <v>1</v>
      </c>
      <c r="G76" s="4">
        <f t="shared" si="14"/>
        <v>6.2058533504765312E-25</v>
      </c>
      <c r="H76" s="76">
        <v>0.01</v>
      </c>
      <c r="I76" s="15">
        <f t="shared" si="15"/>
        <v>1.01</v>
      </c>
      <c r="J76" s="79">
        <f t="shared" si="16"/>
        <v>1.3994917844509775E+18</v>
      </c>
      <c r="K76" s="79">
        <f t="shared" si="17"/>
        <v>2.2551157841064906E+42</v>
      </c>
      <c r="L76" s="79">
        <f t="shared" si="18"/>
        <v>2.0675703052211341</v>
      </c>
      <c r="M76" s="79">
        <f t="shared" si="19"/>
        <v>1.2831038106002359E-24</v>
      </c>
      <c r="N76" s="79">
        <f t="shared" si="20"/>
        <v>6.6251847555258281E-25</v>
      </c>
      <c r="O76" s="78">
        <f t="shared" si="21"/>
        <v>0.51634050969161782</v>
      </c>
    </row>
    <row r="77" spans="2:15" x14ac:dyDescent="0.25">
      <c r="B77" s="15">
        <v>74</v>
      </c>
      <c r="C77" s="15">
        <v>1</v>
      </c>
      <c r="D77" s="80">
        <f t="shared" si="11"/>
        <v>2.480534602660758E+18</v>
      </c>
      <c r="E77" s="80">
        <f t="shared" si="12"/>
        <v>1.3763753091225964E+43</v>
      </c>
      <c r="F77" s="15">
        <f t="shared" si="13"/>
        <v>1</v>
      </c>
      <c r="G77" s="4">
        <f t="shared" si="14"/>
        <v>1.8022225378643522E-25</v>
      </c>
      <c r="H77" s="76">
        <v>0.01</v>
      </c>
      <c r="I77" s="15">
        <f t="shared" si="15"/>
        <v>1.01</v>
      </c>
      <c r="J77" s="79">
        <f t="shared" si="16"/>
        <v>2.480534602660758E+18</v>
      </c>
      <c r="K77" s="79">
        <f t="shared" si="17"/>
        <v>1.3763753091225964E+43</v>
      </c>
      <c r="L77" s="79">
        <f t="shared" si="18"/>
        <v>2.0882460082733454</v>
      </c>
      <c r="M77" s="79">
        <f t="shared" si="19"/>
        <v>3.763484020715492E-25</v>
      </c>
      <c r="N77" s="79">
        <f t="shared" si="20"/>
        <v>1.9612614828511397E-25</v>
      </c>
      <c r="O77" s="78">
        <f t="shared" si="21"/>
        <v>0.52112921751645325</v>
      </c>
    </row>
    <row r="78" spans="2:15" x14ac:dyDescent="0.25">
      <c r="B78" s="15">
        <v>75</v>
      </c>
      <c r="C78" s="15">
        <v>1</v>
      </c>
      <c r="D78" s="80">
        <f t="shared" si="11"/>
        <v>4.3966331087904328E+18</v>
      </c>
      <c r="E78" s="80">
        <f t="shared" si="12"/>
        <v>8.4566841903994711E+43</v>
      </c>
      <c r="F78" s="15">
        <f t="shared" si="13"/>
        <v>1</v>
      </c>
      <c r="G78" s="4">
        <f t="shared" si="14"/>
        <v>5.1990035453632651E-26</v>
      </c>
      <c r="H78" s="76">
        <v>0.01</v>
      </c>
      <c r="I78" s="15">
        <f t="shared" si="15"/>
        <v>1.01</v>
      </c>
      <c r="J78" s="79">
        <f t="shared" si="16"/>
        <v>4.3966331087904328E+18</v>
      </c>
      <c r="K78" s="79">
        <f t="shared" si="17"/>
        <v>8.4566841903994711E+43</v>
      </c>
      <c r="L78" s="79">
        <f t="shared" si="18"/>
        <v>2.1091284683560785</v>
      </c>
      <c r="M78" s="79">
        <f t="shared" si="19"/>
        <v>1.0965366384609846E-25</v>
      </c>
      <c r="N78" s="79">
        <f t="shared" si="20"/>
        <v>5.7663628392465809E-26</v>
      </c>
      <c r="O78" s="78">
        <f t="shared" si="21"/>
        <v>0.52587051239252791</v>
      </c>
    </row>
    <row r="79" spans="2:15" x14ac:dyDescent="0.25">
      <c r="B79" s="15">
        <v>76</v>
      </c>
      <c r="C79" s="15">
        <v>1</v>
      </c>
      <c r="D79" s="80">
        <f t="shared" si="11"/>
        <v>7.792829284694314E+18</v>
      </c>
      <c r="E79" s="80">
        <f t="shared" si="12"/>
        <v>5.2302261746659953E+44</v>
      </c>
      <c r="F79" s="15">
        <f t="shared" si="13"/>
        <v>1</v>
      </c>
      <c r="G79" s="4">
        <f t="shared" si="14"/>
        <v>1.4899602855495954E-26</v>
      </c>
      <c r="H79" s="76">
        <v>0.01</v>
      </c>
      <c r="I79" s="15">
        <f t="shared" si="15"/>
        <v>1.01</v>
      </c>
      <c r="J79" s="79">
        <f t="shared" si="16"/>
        <v>7.792829284694314E+18</v>
      </c>
      <c r="K79" s="79">
        <f t="shared" si="17"/>
        <v>5.2302261746659953E+44</v>
      </c>
      <c r="L79" s="79">
        <f t="shared" si="18"/>
        <v>2.1302197530396394</v>
      </c>
      <c r="M79" s="79">
        <f t="shared" si="19"/>
        <v>3.1739428315223294E-26</v>
      </c>
      <c r="N79" s="79">
        <f t="shared" si="20"/>
        <v>1.683982545972734E-26</v>
      </c>
      <c r="O79" s="78">
        <f t="shared" si="21"/>
        <v>0.53056486375497802</v>
      </c>
    </row>
    <row r="80" spans="2:15" x14ac:dyDescent="0.25">
      <c r="B80" s="15">
        <v>77</v>
      </c>
      <c r="C80" s="15">
        <v>1</v>
      </c>
      <c r="D80" s="80">
        <f t="shared" si="11"/>
        <v>1.3812430275105688E+19</v>
      </c>
      <c r="E80" s="80">
        <f t="shared" si="12"/>
        <v>3.255823413303803E+45</v>
      </c>
      <c r="F80" s="15">
        <f t="shared" si="13"/>
        <v>1</v>
      </c>
      <c r="G80" s="4">
        <f t="shared" si="14"/>
        <v>4.2423769724936368E-27</v>
      </c>
      <c r="H80" s="76">
        <v>0.01</v>
      </c>
      <c r="I80" s="15">
        <f t="shared" si="15"/>
        <v>1.01</v>
      </c>
      <c r="J80" s="79">
        <f t="shared" si="16"/>
        <v>1.3812430275105688E+19</v>
      </c>
      <c r="K80" s="79">
        <f t="shared" si="17"/>
        <v>3.255823413303803E+45</v>
      </c>
      <c r="L80" s="79">
        <f t="shared" si="18"/>
        <v>2.1515219505700358</v>
      </c>
      <c r="M80" s="79">
        <f t="shared" si="19"/>
        <v>9.1275671789129126E-27</v>
      </c>
      <c r="N80" s="79">
        <f t="shared" si="20"/>
        <v>4.8851902064192758E-27</v>
      </c>
      <c r="O80" s="78">
        <f t="shared" si="21"/>
        <v>0.53521273639106748</v>
      </c>
    </row>
    <row r="81" spans="2:15" x14ac:dyDescent="0.25">
      <c r="B81" s="15">
        <v>78</v>
      </c>
      <c r="C81" s="15">
        <v>1</v>
      </c>
      <c r="D81" s="80">
        <f t="shared" si="11"/>
        <v>2.4481895231475061E+19</v>
      </c>
      <c r="E81" s="80">
        <f t="shared" si="12"/>
        <v>2.039788208119718E+46</v>
      </c>
      <c r="F81" s="15">
        <f t="shared" si="13"/>
        <v>1</v>
      </c>
      <c r="G81" s="4">
        <f t="shared" si="14"/>
        <v>1.2002175095444116E-27</v>
      </c>
      <c r="H81" s="76">
        <v>0.01</v>
      </c>
      <c r="I81" s="15">
        <f t="shared" si="15"/>
        <v>1.01</v>
      </c>
      <c r="J81" s="79">
        <f t="shared" si="16"/>
        <v>2.4481895231475061E+19</v>
      </c>
      <c r="K81" s="79">
        <f t="shared" si="17"/>
        <v>2.039788208119718E+46</v>
      </c>
      <c r="L81" s="79">
        <f t="shared" si="18"/>
        <v>2.1730371700757365</v>
      </c>
      <c r="M81" s="79">
        <f t="shared" si="19"/>
        <v>2.6081172604157366E-27</v>
      </c>
      <c r="N81" s="79">
        <f t="shared" si="20"/>
        <v>1.4078997508713249E-27</v>
      </c>
      <c r="O81" s="78">
        <f t="shared" si="21"/>
        <v>0.5398145904862055</v>
      </c>
    </row>
    <row r="82" spans="2:15" x14ac:dyDescent="0.25">
      <c r="B82" s="15">
        <v>79</v>
      </c>
      <c r="C82" s="15">
        <v>1</v>
      </c>
      <c r="D82" s="80">
        <f t="shared" si="11"/>
        <v>4.3393029480493302E+19</v>
      </c>
      <c r="E82" s="80">
        <f t="shared" si="12"/>
        <v>1.2860502482549963E+47</v>
      </c>
      <c r="F82" s="15">
        <f t="shared" si="13"/>
        <v>1</v>
      </c>
      <c r="G82" s="4">
        <f t="shared" si="14"/>
        <v>3.3741317292517943E-28</v>
      </c>
      <c r="H82" s="76">
        <v>0.01</v>
      </c>
      <c r="I82" s="15">
        <f t="shared" si="15"/>
        <v>1.01</v>
      </c>
      <c r="J82" s="79">
        <f t="shared" si="16"/>
        <v>4.3393029480493302E+19</v>
      </c>
      <c r="K82" s="79">
        <f t="shared" si="17"/>
        <v>1.2860502482549963E+47</v>
      </c>
      <c r="L82" s="79">
        <f t="shared" si="18"/>
        <v>2.1947675417764931</v>
      </c>
      <c r="M82" s="79">
        <f t="shared" si="19"/>
        <v>7.4054348010400278E-28</v>
      </c>
      <c r="N82" s="79">
        <f t="shared" si="20"/>
        <v>4.0313030717882335E-28</v>
      </c>
      <c r="O82" s="78">
        <f t="shared" si="21"/>
        <v>0.5443708816695102</v>
      </c>
    </row>
    <row r="83" spans="2:15" x14ac:dyDescent="0.25">
      <c r="B83" s="15">
        <v>80</v>
      </c>
      <c r="C83" s="15">
        <v>1</v>
      </c>
      <c r="D83" s="80">
        <f t="shared" si="11"/>
        <v>7.6912142205157032E+19</v>
      </c>
      <c r="E83" s="80">
        <f t="shared" si="12"/>
        <v>8.1591528324789411E+47</v>
      </c>
      <c r="F83" s="15">
        <f t="shared" si="13"/>
        <v>1</v>
      </c>
      <c r="G83" s="4">
        <f t="shared" si="14"/>
        <v>9.4264862767363223E-29</v>
      </c>
      <c r="H83" s="76">
        <v>0.01</v>
      </c>
      <c r="I83" s="15">
        <f t="shared" si="15"/>
        <v>1.01</v>
      </c>
      <c r="J83" s="79">
        <f t="shared" si="16"/>
        <v>7.6912142205157032E+19</v>
      </c>
      <c r="K83" s="79">
        <f t="shared" si="17"/>
        <v>8.1591528324789411E+47</v>
      </c>
      <c r="L83" s="79">
        <f t="shared" si="18"/>
        <v>2.2167152171942588</v>
      </c>
      <c r="M83" s="79">
        <f t="shared" si="19"/>
        <v>2.0895835574314255E-28</v>
      </c>
      <c r="N83" s="79">
        <f t="shared" si="20"/>
        <v>1.1469349297577932E-28</v>
      </c>
      <c r="O83" s="78">
        <f t="shared" si="21"/>
        <v>0.54888206105892112</v>
      </c>
    </row>
    <row r="84" spans="2:15" x14ac:dyDescent="0.25">
      <c r="B84" s="15">
        <v>81</v>
      </c>
      <c r="C84" s="15">
        <v>1</v>
      </c>
      <c r="D84" s="80">
        <f t="shared" si="11"/>
        <v>1.3632322263292317E+20</v>
      </c>
      <c r="E84" s="80">
        <f t="shared" si="12"/>
        <v>5.2085035054326024E+48</v>
      </c>
      <c r="F84" s="15">
        <f t="shared" si="13"/>
        <v>1</v>
      </c>
      <c r="G84" s="4">
        <f t="shared" si="14"/>
        <v>2.6173203587313432E-29</v>
      </c>
      <c r="H84" s="76">
        <v>0.01</v>
      </c>
      <c r="I84" s="15">
        <f t="shared" si="15"/>
        <v>1.01</v>
      </c>
      <c r="J84" s="79">
        <f t="shared" si="16"/>
        <v>1.3632322263292317E+20</v>
      </c>
      <c r="K84" s="79">
        <f t="shared" si="17"/>
        <v>5.2085035054326024E+48</v>
      </c>
      <c r="L84" s="79">
        <f t="shared" ref="L84:L90" si="22">I84^B84</f>
        <v>2.2388823693662014</v>
      </c>
      <c r="M84" s="79">
        <f t="shared" ref="M84:M90" si="23">J84*L84/K84</f>
        <v>5.8598724061468262E-29</v>
      </c>
      <c r="N84" s="79">
        <f t="shared" ref="N84:N90" si="24">M84-G84</f>
        <v>3.242552047415483E-29</v>
      </c>
      <c r="O84" s="78">
        <f t="shared" si="21"/>
        <v>0.55334857530586257</v>
      </c>
    </row>
    <row r="85" spans="2:15" x14ac:dyDescent="0.25">
      <c r="B85" s="15">
        <v>82</v>
      </c>
      <c r="C85" s="15">
        <v>1</v>
      </c>
      <c r="D85" s="80">
        <f t="shared" si="11"/>
        <v>2.4162662092357481E+20</v>
      </c>
      <c r="E85" s="80">
        <f t="shared" si="12"/>
        <v>3.3452526613163455E+49</v>
      </c>
      <c r="F85" s="15">
        <f t="shared" si="13"/>
        <v>1</v>
      </c>
      <c r="G85" s="4">
        <f t="shared" si="14"/>
        <v>7.2229707405268324E-30</v>
      </c>
      <c r="H85" s="76">
        <v>0.01</v>
      </c>
      <c r="I85" s="15">
        <f t="shared" si="15"/>
        <v>1.01</v>
      </c>
      <c r="J85" s="79">
        <f t="shared" si="16"/>
        <v>2.4162662092357481E+20</v>
      </c>
      <c r="K85" s="79">
        <f t="shared" si="17"/>
        <v>3.3452526613163455E+49</v>
      </c>
      <c r="L85" s="79">
        <f t="shared" si="22"/>
        <v>2.2612711930598639</v>
      </c>
      <c r="M85" s="79">
        <f t="shared" si="23"/>
        <v>1.6333095663867598E-29</v>
      </c>
      <c r="N85" s="79">
        <f t="shared" si="24"/>
        <v>9.1101249233407661E-30</v>
      </c>
      <c r="O85" s="78">
        <f t="shared" si="21"/>
        <v>0.55777086663946795</v>
      </c>
    </row>
    <row r="86" spans="2:15" x14ac:dyDescent="0.25">
      <c r="B86" s="15">
        <v>83</v>
      </c>
      <c r="C86" s="15">
        <v>1</v>
      </c>
      <c r="D86" s="80">
        <f t="shared" ref="D86:D149" si="25">PI()^(B86/2)</f>
        <v>4.282720347372775E+20</v>
      </c>
      <c r="E86" s="80">
        <f t="shared" ref="E86:E149" si="26">EXP(_xlfn.GAMMALN.PRECISE((B86/2)+1))</f>
        <v>2.1615289547545844E+50</v>
      </c>
      <c r="F86" s="15">
        <f t="shared" ref="F86:F149" si="27">C86^B86</f>
        <v>1</v>
      </c>
      <c r="G86" s="4">
        <f t="shared" ref="G86:G149" si="28">D86*F86/E86</f>
        <v>1.9813384123087197E-30</v>
      </c>
      <c r="H86" s="76">
        <v>0.01</v>
      </c>
      <c r="I86" s="15">
        <f t="shared" ref="I86:I149" si="29">C86+(H86*C86)</f>
        <v>1.01</v>
      </c>
      <c r="J86" s="79">
        <f t="shared" ref="J86:J149" si="30">PI()^(B86/2)</f>
        <v>4.282720347372775E+20</v>
      </c>
      <c r="K86" s="79">
        <f t="shared" ref="K86:K149" si="31">EXP(_xlfn.GAMMALN.PRECISE((B86/2)+1))</f>
        <v>2.1615289547545844E+50</v>
      </c>
      <c r="L86" s="79">
        <f t="shared" si="22"/>
        <v>2.283883904990462</v>
      </c>
      <c r="M86" s="79">
        <f t="shared" si="23"/>
        <v>4.5251469102112409E-30</v>
      </c>
      <c r="N86" s="79">
        <f t="shared" si="24"/>
        <v>2.5438084979025212E-30</v>
      </c>
      <c r="O86" s="78">
        <f t="shared" ref="O86:O149" si="32">N86/M86</f>
        <v>0.56214937291036415</v>
      </c>
    </row>
    <row r="87" spans="2:15" x14ac:dyDescent="0.25">
      <c r="B87" s="15">
        <v>84</v>
      </c>
      <c r="C87" s="15">
        <v>1</v>
      </c>
      <c r="D87" s="80">
        <f t="shared" si="25"/>
        <v>7.5909241720522854E+20</v>
      </c>
      <c r="E87" s="80">
        <f t="shared" si="26"/>
        <v>1.4050061177528572E+51</v>
      </c>
      <c r="F87" s="15">
        <f t="shared" si="27"/>
        <v>1</v>
      </c>
      <c r="G87" s="4">
        <f t="shared" si="28"/>
        <v>5.4027694798888701E-31</v>
      </c>
      <c r="H87" s="76">
        <v>0.01</v>
      </c>
      <c r="I87" s="15">
        <f t="shared" si="29"/>
        <v>1.01</v>
      </c>
      <c r="J87" s="79">
        <f t="shared" si="30"/>
        <v>7.5909241720522854E+20</v>
      </c>
      <c r="K87" s="79">
        <f t="shared" si="31"/>
        <v>1.4050061177528572E+51</v>
      </c>
      <c r="L87" s="79">
        <f t="shared" si="22"/>
        <v>2.3067227440403668</v>
      </c>
      <c r="M87" s="79">
        <f t="shared" si="23"/>
        <v>1.2462691240066799E-30</v>
      </c>
      <c r="N87" s="79">
        <f t="shared" si="24"/>
        <v>7.0599217601779294E-31</v>
      </c>
      <c r="O87" s="78">
        <f t="shared" si="32"/>
        <v>0.56648452763402402</v>
      </c>
    </row>
    <row r="88" spans="2:15" x14ac:dyDescent="0.25">
      <c r="B88" s="15">
        <v>85</v>
      </c>
      <c r="C88" s="15">
        <v>1</v>
      </c>
      <c r="D88" s="80">
        <f t="shared" si="25"/>
        <v>1.3454562780685848E+21</v>
      </c>
      <c r="E88" s="80">
        <f t="shared" si="26"/>
        <v>9.1864980577068859E+51</v>
      </c>
      <c r="F88" s="15">
        <f t="shared" si="27"/>
        <v>1</v>
      </c>
      <c r="G88" s="4">
        <f t="shared" si="28"/>
        <v>1.4646019295022142E-31</v>
      </c>
      <c r="H88" s="76">
        <v>0.01</v>
      </c>
      <c r="I88" s="15">
        <f t="shared" si="29"/>
        <v>1.01</v>
      </c>
      <c r="J88" s="79">
        <f t="shared" si="30"/>
        <v>1.3454562780685848E+21</v>
      </c>
      <c r="K88" s="79">
        <f t="shared" si="31"/>
        <v>9.1864980577068859E+51</v>
      </c>
      <c r="L88" s="79">
        <f t="shared" si="22"/>
        <v>2.3297899714807699</v>
      </c>
      <c r="M88" s="79">
        <f t="shared" si="23"/>
        <v>3.4122148875656441E-31</v>
      </c>
      <c r="N88" s="79">
        <f t="shared" si="24"/>
        <v>1.9476129580634299E-31</v>
      </c>
      <c r="O88" s="78">
        <f t="shared" si="32"/>
        <v>0.57077676003368694</v>
      </c>
    </row>
    <row r="89" spans="2:15" x14ac:dyDescent="0.25">
      <c r="B89" s="15">
        <v>86</v>
      </c>
      <c r="C89" s="15">
        <v>1</v>
      </c>
      <c r="D89" s="80">
        <f t="shared" si="25"/>
        <v>2.3847591612876645E+21</v>
      </c>
      <c r="E89" s="80">
        <f t="shared" si="26"/>
        <v>6.0415263063374111E+52</v>
      </c>
      <c r="F89" s="15">
        <f t="shared" si="27"/>
        <v>1</v>
      </c>
      <c r="G89" s="4">
        <f t="shared" si="28"/>
        <v>3.947279280711087E-32</v>
      </c>
      <c r="H89" s="76">
        <v>0.01</v>
      </c>
      <c r="I89" s="15">
        <f t="shared" si="29"/>
        <v>1.01</v>
      </c>
      <c r="J89" s="79">
        <f t="shared" si="30"/>
        <v>2.3847591612876645E+21</v>
      </c>
      <c r="K89" s="79">
        <f t="shared" si="31"/>
        <v>6.0415263063374111E+52</v>
      </c>
      <c r="L89" s="79">
        <f t="shared" si="22"/>
        <v>2.3530878711955783</v>
      </c>
      <c r="M89" s="79">
        <f t="shared" si="23"/>
        <v>9.2882949996628647E-32</v>
      </c>
      <c r="N89" s="79">
        <f t="shared" si="24"/>
        <v>5.3410157189517772E-32</v>
      </c>
      <c r="O89" s="78">
        <f t="shared" si="32"/>
        <v>0.57502649508285852</v>
      </c>
    </row>
    <row r="90" spans="2:15" x14ac:dyDescent="0.25">
      <c r="B90" s="15">
        <v>87</v>
      </c>
      <c r="C90" s="15">
        <v>1</v>
      </c>
      <c r="D90" s="80">
        <f t="shared" si="25"/>
        <v>4.2268755589065343E+21</v>
      </c>
      <c r="E90" s="80">
        <f t="shared" si="26"/>
        <v>3.9961266551025379E+53</v>
      </c>
      <c r="F90" s="15">
        <f t="shared" si="27"/>
        <v>1</v>
      </c>
      <c r="G90" s="4">
        <f t="shared" si="28"/>
        <v>1.0577431407258726E-32</v>
      </c>
      <c r="H90" s="76">
        <v>0.01</v>
      </c>
      <c r="I90" s="15">
        <f t="shared" si="29"/>
        <v>1.01</v>
      </c>
      <c r="J90" s="79">
        <f t="shared" si="30"/>
        <v>4.2268755589065343E+21</v>
      </c>
      <c r="K90" s="79">
        <f t="shared" si="31"/>
        <v>3.9961266551025379E+53</v>
      </c>
      <c r="L90" s="79">
        <f t="shared" si="22"/>
        <v>2.3766187499075335</v>
      </c>
      <c r="M90" s="79">
        <f t="shared" si="23"/>
        <v>2.5138521808351916E-32</v>
      </c>
      <c r="N90" s="79">
        <f t="shared" si="24"/>
        <v>1.4561090401093191E-32</v>
      </c>
      <c r="O90" s="78">
        <f t="shared" si="32"/>
        <v>0.57923415354738461</v>
      </c>
    </row>
    <row r="91" spans="2:15" x14ac:dyDescent="0.25">
      <c r="B91" s="15">
        <v>88</v>
      </c>
      <c r="C91" s="15">
        <v>1</v>
      </c>
      <c r="D91" s="80">
        <f t="shared" si="25"/>
        <v>7.4919418616822828E+21</v>
      </c>
      <c r="E91" s="80">
        <f t="shared" si="26"/>
        <v>2.6582715747884193E+54</v>
      </c>
      <c r="F91" s="15">
        <f t="shared" si="27"/>
        <v>1</v>
      </c>
      <c r="G91" s="4">
        <f t="shared" si="28"/>
        <v>2.8183508158975788E-33</v>
      </c>
      <c r="H91" s="76">
        <v>0.01</v>
      </c>
      <c r="I91" s="15">
        <f t="shared" si="29"/>
        <v>1.01</v>
      </c>
      <c r="J91" s="79">
        <f t="shared" si="30"/>
        <v>7.4919418616822828E+21</v>
      </c>
      <c r="K91" s="79">
        <f t="shared" si="31"/>
        <v>2.6582715747884193E+54</v>
      </c>
      <c r="L91" s="79">
        <f t="shared" ref="L91:L154" si="33">I91^B91</f>
        <v>2.4003849374066095</v>
      </c>
      <c r="M91" s="79">
        <f t="shared" ref="M91:M154" si="34">J91*L91/K91</f>
        <v>6.7651268468081762E-33</v>
      </c>
      <c r="N91" s="79">
        <f t="shared" ref="N91:N154" si="35">M91-G91</f>
        <v>3.9467760309105971E-33</v>
      </c>
      <c r="O91" s="78">
        <f t="shared" si="32"/>
        <v>0.58340015202711348</v>
      </c>
    </row>
    <row r="92" spans="2:15" x14ac:dyDescent="0.25">
      <c r="B92" s="15">
        <v>89</v>
      </c>
      <c r="C92" s="15">
        <v>1</v>
      </c>
      <c r="D92" s="80">
        <f t="shared" si="25"/>
        <v>1.3279121203499029E+22</v>
      </c>
      <c r="E92" s="80">
        <f t="shared" si="26"/>
        <v>1.7782763615206414E+55</v>
      </c>
      <c r="F92" s="15">
        <f t="shared" si="27"/>
        <v>1</v>
      </c>
      <c r="G92" s="4">
        <f t="shared" si="28"/>
        <v>7.4674114163806205E-34</v>
      </c>
      <c r="H92" s="76">
        <v>0.01</v>
      </c>
      <c r="I92" s="15">
        <f t="shared" si="29"/>
        <v>1.01</v>
      </c>
      <c r="J92" s="79">
        <f t="shared" si="30"/>
        <v>1.3279121203499029E+22</v>
      </c>
      <c r="K92" s="79">
        <f t="shared" si="31"/>
        <v>1.7782763615206414E+55</v>
      </c>
      <c r="L92" s="79">
        <f t="shared" si="33"/>
        <v>2.4243887867806762</v>
      </c>
      <c r="M92" s="79">
        <f t="shared" si="34"/>
        <v>1.8103908504151182E-33</v>
      </c>
      <c r="N92" s="79">
        <f t="shared" si="35"/>
        <v>1.0636497087770561E-33</v>
      </c>
      <c r="O92" s="78">
        <f t="shared" si="32"/>
        <v>0.58752490299714222</v>
      </c>
    </row>
    <row r="93" spans="2:15" x14ac:dyDescent="0.25">
      <c r="B93" s="15">
        <v>90</v>
      </c>
      <c r="C93" s="15">
        <v>1</v>
      </c>
      <c r="D93" s="80">
        <f t="shared" si="25"/>
        <v>2.3536629513782896E+22</v>
      </c>
      <c r="E93" s="80">
        <f t="shared" si="26"/>
        <v>1.1962222086548374E+56</v>
      </c>
      <c r="F93" s="15">
        <f t="shared" si="27"/>
        <v>1</v>
      </c>
      <c r="G93" s="4">
        <f t="shared" si="28"/>
        <v>1.9675800485471716E-34</v>
      </c>
      <c r="H93" s="76">
        <v>0.01</v>
      </c>
      <c r="I93" s="15">
        <f t="shared" si="29"/>
        <v>1.01</v>
      </c>
      <c r="J93" s="79">
        <f t="shared" si="30"/>
        <v>2.3536629513782896E+22</v>
      </c>
      <c r="K93" s="79">
        <f t="shared" si="31"/>
        <v>1.1962222086548374E+56</v>
      </c>
      <c r="L93" s="79">
        <f t="shared" si="33"/>
        <v>2.4486326746484828</v>
      </c>
      <c r="M93" s="79">
        <f t="shared" si="34"/>
        <v>4.8178807968590522E-34</v>
      </c>
      <c r="N93" s="79">
        <f t="shared" si="35"/>
        <v>2.8503007483118806E-34</v>
      </c>
      <c r="O93" s="78">
        <f t="shared" si="32"/>
        <v>0.59160881484865568</v>
      </c>
    </row>
    <row r="94" spans="2:15" x14ac:dyDescent="0.25">
      <c r="B94" s="15">
        <v>91</v>
      </c>
      <c r="C94" s="15">
        <v>1</v>
      </c>
      <c r="D94" s="80">
        <f t="shared" si="25"/>
        <v>4.1717589619041028E+22</v>
      </c>
      <c r="E94" s="80">
        <f t="shared" si="26"/>
        <v>8.0911574449186863E+56</v>
      </c>
      <c r="F94" s="15">
        <f t="shared" si="27"/>
        <v>1</v>
      </c>
      <c r="G94" s="4">
        <f t="shared" si="28"/>
        <v>5.1559483180295816E-35</v>
      </c>
      <c r="H94" s="76">
        <v>0.01</v>
      </c>
      <c r="I94" s="15">
        <f t="shared" si="29"/>
        <v>1.01</v>
      </c>
      <c r="J94" s="79">
        <f t="shared" si="30"/>
        <v>4.1717589619041028E+22</v>
      </c>
      <c r="K94" s="79">
        <f t="shared" si="31"/>
        <v>8.0911574449186863E+56</v>
      </c>
      <c r="L94" s="79">
        <f t="shared" si="33"/>
        <v>2.4731190013949669</v>
      </c>
      <c r="M94" s="79">
        <f t="shared" si="34"/>
        <v>1.2751273755529379E-34</v>
      </c>
      <c r="N94" s="79">
        <f t="shared" si="35"/>
        <v>7.5953254374997977E-35</v>
      </c>
      <c r="O94" s="78">
        <f t="shared" si="32"/>
        <v>0.59565229192936198</v>
      </c>
    </row>
    <row r="95" spans="2:15" x14ac:dyDescent="0.25">
      <c r="B95" s="15">
        <v>92</v>
      </c>
      <c r="C95" s="15">
        <v>1</v>
      </c>
      <c r="D95" s="80">
        <f t="shared" si="25"/>
        <v>7.3942502370765043E+22</v>
      </c>
      <c r="E95" s="80">
        <f t="shared" si="26"/>
        <v>5.5026221598119888E+57</v>
      </c>
      <c r="F95" s="15">
        <f t="shared" si="27"/>
        <v>1</v>
      </c>
      <c r="G95" s="4">
        <f t="shared" si="28"/>
        <v>1.3437684838838994E-35</v>
      </c>
      <c r="H95" s="76">
        <v>0.01</v>
      </c>
      <c r="I95" s="15">
        <f t="shared" si="29"/>
        <v>1.01</v>
      </c>
      <c r="J95" s="79">
        <f t="shared" si="30"/>
        <v>7.3942502370765043E+22</v>
      </c>
      <c r="K95" s="79">
        <f t="shared" si="31"/>
        <v>5.5026221598119888E+57</v>
      </c>
      <c r="L95" s="79">
        <f t="shared" si="33"/>
        <v>2.4978501914089164</v>
      </c>
      <c r="M95" s="79">
        <f t="shared" si="34"/>
        <v>3.3565323646786675E-35</v>
      </c>
      <c r="N95" s="79">
        <f t="shared" si="35"/>
        <v>2.0127638807947681E-35</v>
      </c>
      <c r="O95" s="78">
        <f t="shared" si="32"/>
        <v>0.59965573458352661</v>
      </c>
    </row>
    <row r="96" spans="2:15" x14ac:dyDescent="0.25">
      <c r="B96" s="15">
        <v>93</v>
      </c>
      <c r="C96" s="15">
        <v>1</v>
      </c>
      <c r="D96" s="80">
        <f t="shared" si="25"/>
        <v>1.310596730726532E+23</v>
      </c>
      <c r="E96" s="80">
        <f t="shared" si="26"/>
        <v>3.7623882118872365E+58</v>
      </c>
      <c r="F96" s="15">
        <f t="shared" si="27"/>
        <v>1</v>
      </c>
      <c r="G96" s="4">
        <f t="shared" si="28"/>
        <v>3.4834170662817617E-36</v>
      </c>
      <c r="H96" s="76">
        <v>0.01</v>
      </c>
      <c r="I96" s="15">
        <f t="shared" si="29"/>
        <v>1.01</v>
      </c>
      <c r="J96" s="79">
        <f t="shared" si="30"/>
        <v>1.310596730726532E+23</v>
      </c>
      <c r="K96" s="79">
        <f t="shared" si="31"/>
        <v>3.7623882118872365E+58</v>
      </c>
      <c r="L96" s="79">
        <f t="shared" si="33"/>
        <v>2.5228286933230057</v>
      </c>
      <c r="M96" s="79">
        <f t="shared" si="34"/>
        <v>8.7880645256266747E-36</v>
      </c>
      <c r="N96" s="79">
        <f t="shared" si="35"/>
        <v>5.304647459344913E-36</v>
      </c>
      <c r="O96" s="78">
        <f t="shared" si="32"/>
        <v>0.6036195391916106</v>
      </c>
    </row>
    <row r="97" spans="2:15" x14ac:dyDescent="0.25">
      <c r="B97" s="15">
        <v>94</v>
      </c>
      <c r="C97" s="15">
        <v>1</v>
      </c>
      <c r="D97" s="80">
        <f t="shared" si="25"/>
        <v>2.3229722223604133E+23</v>
      </c>
      <c r="E97" s="80">
        <f t="shared" si="26"/>
        <v>2.5862324151117192E+59</v>
      </c>
      <c r="F97" s="15">
        <f t="shared" si="27"/>
        <v>1</v>
      </c>
      <c r="G97" s="4">
        <f t="shared" si="28"/>
        <v>8.982070632117053E-37</v>
      </c>
      <c r="H97" s="76">
        <v>0.01</v>
      </c>
      <c r="I97" s="15">
        <f t="shared" si="29"/>
        <v>1.01</v>
      </c>
      <c r="J97" s="79">
        <f t="shared" si="30"/>
        <v>2.3229722223604133E+23</v>
      </c>
      <c r="K97" s="79">
        <f t="shared" si="31"/>
        <v>2.5862324151117192E+59</v>
      </c>
      <c r="L97" s="79">
        <f t="shared" si="33"/>
        <v>2.5480569802562365</v>
      </c>
      <c r="M97" s="79">
        <f t="shared" si="34"/>
        <v>2.2886827771320405E-36</v>
      </c>
      <c r="N97" s="79">
        <f t="shared" si="35"/>
        <v>1.3904757139203352E-36</v>
      </c>
      <c r="O97" s="78">
        <f t="shared" si="32"/>
        <v>0.60754409820951549</v>
      </c>
    </row>
    <row r="98" spans="2:15" x14ac:dyDescent="0.25">
      <c r="B98" s="15">
        <v>95</v>
      </c>
      <c r="C98" s="15">
        <v>1</v>
      </c>
      <c r="D98" s="80">
        <f t="shared" si="25"/>
        <v>4.1173610610692763E+23</v>
      </c>
      <c r="E98" s="80">
        <f t="shared" si="26"/>
        <v>1.7871344006464798E+60</v>
      </c>
      <c r="F98" s="15">
        <f t="shared" si="27"/>
        <v>1</v>
      </c>
      <c r="G98" s="4">
        <f t="shared" si="28"/>
        <v>2.3038899925936506E-37</v>
      </c>
      <c r="H98" s="76">
        <v>0.01</v>
      </c>
      <c r="I98" s="15">
        <f t="shared" si="29"/>
        <v>1.01</v>
      </c>
      <c r="J98" s="79">
        <f t="shared" si="30"/>
        <v>4.1173610610692763E+23</v>
      </c>
      <c r="K98" s="79">
        <f t="shared" si="31"/>
        <v>1.7871344006464798E+60</v>
      </c>
      <c r="L98" s="79">
        <f t="shared" si="33"/>
        <v>2.573537550058798</v>
      </c>
      <c r="M98" s="79">
        <f t="shared" si="34"/>
        <v>5.9291474071444453E-37</v>
      </c>
      <c r="N98" s="79">
        <f t="shared" si="35"/>
        <v>3.6252574145507948E-37</v>
      </c>
      <c r="O98" s="78">
        <f t="shared" si="32"/>
        <v>0.61142980020744098</v>
      </c>
    </row>
    <row r="99" spans="2:15" x14ac:dyDescent="0.25">
      <c r="B99" s="15">
        <v>96</v>
      </c>
      <c r="C99" s="15">
        <v>1</v>
      </c>
      <c r="D99" s="80">
        <f t="shared" si="25"/>
        <v>7.2978324682606302E+23</v>
      </c>
      <c r="E99" s="80">
        <f t="shared" si="26"/>
        <v>1.2413915592535963E+61</v>
      </c>
      <c r="F99" s="15">
        <f t="shared" si="27"/>
        <v>1</v>
      </c>
      <c r="G99" s="4">
        <f t="shared" si="28"/>
        <v>5.8787514816425461E-38</v>
      </c>
      <c r="H99" s="76">
        <v>0.01</v>
      </c>
      <c r="I99" s="15">
        <f t="shared" si="29"/>
        <v>1.01</v>
      </c>
      <c r="J99" s="79">
        <f t="shared" si="30"/>
        <v>7.2978324682606302E+23</v>
      </c>
      <c r="K99" s="79">
        <f t="shared" si="31"/>
        <v>1.2413915592535963E+61</v>
      </c>
      <c r="L99" s="79">
        <f t="shared" si="33"/>
        <v>2.5992729255593865</v>
      </c>
      <c r="M99" s="79">
        <f t="shared" si="34"/>
        <v>1.5280479562325599E-37</v>
      </c>
      <c r="N99" s="79">
        <f t="shared" si="35"/>
        <v>9.401728080683053E-38</v>
      </c>
      <c r="O99" s="78">
        <f t="shared" si="32"/>
        <v>0.61527702990835753</v>
      </c>
    </row>
    <row r="100" spans="2:15" x14ac:dyDescent="0.25">
      <c r="B100" s="15">
        <v>97</v>
      </c>
      <c r="C100" s="15">
        <v>1</v>
      </c>
      <c r="D100" s="80">
        <f t="shared" si="25"/>
        <v>1.2935071261631831E+24</v>
      </c>
      <c r="E100" s="80">
        <f t="shared" si="26"/>
        <v>8.6676018431354734E+61</v>
      </c>
      <c r="F100" s="15">
        <f t="shared" si="27"/>
        <v>1</v>
      </c>
      <c r="G100" s="4">
        <f t="shared" si="28"/>
        <v>1.4923471908064267E-38</v>
      </c>
      <c r="H100" s="76">
        <v>0.01</v>
      </c>
      <c r="I100" s="15">
        <f t="shared" si="29"/>
        <v>1.01</v>
      </c>
      <c r="J100" s="79">
        <f t="shared" si="30"/>
        <v>1.2935071261631831E+24</v>
      </c>
      <c r="K100" s="79">
        <f t="shared" si="31"/>
        <v>8.6676018431354734E+61</v>
      </c>
      <c r="L100" s="79">
        <f t="shared" si="33"/>
        <v>2.6252656548149806</v>
      </c>
      <c r="M100" s="79">
        <f t="shared" si="34"/>
        <v>3.9178078250837305E-38</v>
      </c>
      <c r="N100" s="79">
        <f t="shared" si="35"/>
        <v>2.4254606342773037E-38</v>
      </c>
      <c r="O100" s="78">
        <f t="shared" si="32"/>
        <v>0.61908616822609652</v>
      </c>
    </row>
    <row r="101" spans="2:15" x14ac:dyDescent="0.25">
      <c r="B101" s="15">
        <v>98</v>
      </c>
      <c r="C101" s="15">
        <v>1</v>
      </c>
      <c r="D101" s="80">
        <f t="shared" si="25"/>
        <v>2.2926816869416661E+24</v>
      </c>
      <c r="E101" s="80">
        <f t="shared" si="26"/>
        <v>6.0828186403425592E+62</v>
      </c>
      <c r="F101" s="15">
        <f t="shared" si="27"/>
        <v>1</v>
      </c>
      <c r="G101" s="4">
        <f t="shared" si="28"/>
        <v>3.76911070755276E-39</v>
      </c>
      <c r="H101" s="76">
        <v>0.01</v>
      </c>
      <c r="I101" s="15">
        <f t="shared" si="29"/>
        <v>1.01</v>
      </c>
      <c r="J101" s="79">
        <f t="shared" si="30"/>
        <v>2.2926816869416661E+24</v>
      </c>
      <c r="K101" s="79">
        <f t="shared" si="31"/>
        <v>6.0828186403425592E+62</v>
      </c>
      <c r="L101" s="79">
        <f t="shared" si="33"/>
        <v>2.6515183113631302</v>
      </c>
      <c r="M101" s="79">
        <f t="shared" si="34"/>
        <v>9.9938660586309874E-39</v>
      </c>
      <c r="N101" s="79">
        <f t="shared" si="35"/>
        <v>6.2247553510782274E-39</v>
      </c>
      <c r="O101" s="78">
        <f t="shared" si="32"/>
        <v>0.62285759230306592</v>
      </c>
    </row>
    <row r="102" spans="2:15" x14ac:dyDescent="0.25">
      <c r="B102" s="15">
        <v>99</v>
      </c>
      <c r="C102" s="15">
        <v>1</v>
      </c>
      <c r="D102" s="80">
        <f t="shared" si="25"/>
        <v>4.0636724849203047E+24</v>
      </c>
      <c r="E102" s="80">
        <f t="shared" si="26"/>
        <v>4.2904629123520087E+63</v>
      </c>
      <c r="F102" s="15">
        <f t="shared" si="27"/>
        <v>1</v>
      </c>
      <c r="G102" s="4">
        <f t="shared" si="28"/>
        <v>9.4714080227129182E-40</v>
      </c>
      <c r="H102" s="76">
        <v>0.01</v>
      </c>
      <c r="I102" s="15">
        <f t="shared" si="29"/>
        <v>1.01</v>
      </c>
      <c r="J102" s="79">
        <f t="shared" si="30"/>
        <v>4.0636724849203047E+24</v>
      </c>
      <c r="K102" s="79">
        <f t="shared" si="31"/>
        <v>4.2904629123520087E+63</v>
      </c>
      <c r="L102" s="79">
        <f t="shared" si="33"/>
        <v>2.678033494476761</v>
      </c>
      <c r="M102" s="79">
        <f t="shared" si="34"/>
        <v>2.5364747924681104E-39</v>
      </c>
      <c r="N102" s="79">
        <f t="shared" si="35"/>
        <v>1.5893339901968187E-39</v>
      </c>
      <c r="O102" s="78">
        <f t="shared" si="32"/>
        <v>0.62659167554758988</v>
      </c>
    </row>
    <row r="103" spans="2:15" x14ac:dyDescent="0.25">
      <c r="B103" s="15">
        <v>100</v>
      </c>
      <c r="C103" s="15">
        <v>1</v>
      </c>
      <c r="D103" s="80">
        <f t="shared" si="25"/>
        <v>7.2026719447157931E+24</v>
      </c>
      <c r="E103" s="80">
        <f t="shared" si="26"/>
        <v>3.0414093201713019E+64</v>
      </c>
      <c r="F103" s="15">
        <f t="shared" si="27"/>
        <v>1</v>
      </c>
      <c r="G103" s="4">
        <f t="shared" si="28"/>
        <v>2.3682021018828586E-40</v>
      </c>
      <c r="H103" s="76">
        <v>0.01</v>
      </c>
      <c r="I103" s="15">
        <f t="shared" si="29"/>
        <v>1.01</v>
      </c>
      <c r="J103" s="79">
        <f t="shared" si="30"/>
        <v>7.2026719447157931E+24</v>
      </c>
      <c r="K103" s="79">
        <f t="shared" si="31"/>
        <v>3.0414093201713019E+64</v>
      </c>
      <c r="L103" s="79">
        <f t="shared" si="33"/>
        <v>2.7048138294215289</v>
      </c>
      <c r="M103" s="79">
        <f t="shared" si="34"/>
        <v>6.4055457960378888E-40</v>
      </c>
      <c r="N103" s="79">
        <f t="shared" si="35"/>
        <v>4.0373436941550302E-40</v>
      </c>
      <c r="O103" s="78">
        <f t="shared" si="32"/>
        <v>0.63028878767088115</v>
      </c>
    </row>
    <row r="104" spans="2:15" x14ac:dyDescent="0.25">
      <c r="B104" s="15">
        <v>101</v>
      </c>
      <c r="C104" s="15">
        <v>1</v>
      </c>
      <c r="D104" s="80">
        <f t="shared" si="25"/>
        <v>1.2766403625220618E+25</v>
      </c>
      <c r="E104" s="80">
        <f t="shared" si="26"/>
        <v>2.166683770737728E+65</v>
      </c>
      <c r="F104" s="15">
        <f t="shared" si="27"/>
        <v>1</v>
      </c>
      <c r="G104" s="4">
        <f t="shared" si="28"/>
        <v>5.8921397749122482E-41</v>
      </c>
      <c r="H104" s="76">
        <v>0.01</v>
      </c>
      <c r="I104" s="15">
        <f t="shared" si="29"/>
        <v>1.01</v>
      </c>
      <c r="J104" s="79">
        <f t="shared" si="30"/>
        <v>1.2766403625220618E+25</v>
      </c>
      <c r="K104" s="79">
        <f t="shared" si="31"/>
        <v>2.166683770737728E+65</v>
      </c>
      <c r="L104" s="79">
        <f t="shared" si="33"/>
        <v>2.7318619677157443</v>
      </c>
      <c r="M104" s="79">
        <f t="shared" si="34"/>
        <v>1.6096512559547979E-40</v>
      </c>
      <c r="N104" s="79">
        <f t="shared" si="35"/>
        <v>1.0204372784635731E-40</v>
      </c>
      <c r="O104" s="78">
        <f t="shared" si="32"/>
        <v>0.6339492947236447</v>
      </c>
    </row>
    <row r="105" spans="2:15" x14ac:dyDescent="0.25">
      <c r="B105" s="15">
        <v>102</v>
      </c>
      <c r="C105" s="15">
        <v>1</v>
      </c>
      <c r="D105" s="80">
        <f t="shared" si="25"/>
        <v>2.2627861267736445E+25</v>
      </c>
      <c r="E105" s="80">
        <f t="shared" si="26"/>
        <v>1.5511187532874088E+66</v>
      </c>
      <c r="F105" s="15">
        <f t="shared" si="27"/>
        <v>1</v>
      </c>
      <c r="G105" s="4">
        <f t="shared" si="28"/>
        <v>1.4588090834295844E-41</v>
      </c>
      <c r="H105" s="76">
        <v>0.01</v>
      </c>
      <c r="I105" s="15">
        <f t="shared" si="29"/>
        <v>1.01</v>
      </c>
      <c r="J105" s="79">
        <f t="shared" si="30"/>
        <v>2.2627861267736445E+25</v>
      </c>
      <c r="K105" s="79">
        <f t="shared" si="31"/>
        <v>1.5511187532874088E+66</v>
      </c>
      <c r="L105" s="79">
        <f t="shared" si="33"/>
        <v>2.7591805873929021</v>
      </c>
      <c r="M105" s="79">
        <f t="shared" si="34"/>
        <v>4.0251177037113418E-41</v>
      </c>
      <c r="N105" s="79">
        <f t="shared" si="35"/>
        <v>2.5663086202817571E-41</v>
      </c>
      <c r="O105" s="78">
        <f t="shared" si="32"/>
        <v>0.6375735591323215</v>
      </c>
    </row>
    <row r="106" spans="2:15" x14ac:dyDescent="0.25">
      <c r="B106" s="15">
        <v>103</v>
      </c>
      <c r="C106" s="15">
        <v>1</v>
      </c>
      <c r="D106" s="80">
        <f t="shared" si="25"/>
        <v>4.0106839841755217E+25</v>
      </c>
      <c r="E106" s="80">
        <f t="shared" si="26"/>
        <v>1.1158421419299478E+67</v>
      </c>
      <c r="F106" s="15">
        <f t="shared" si="27"/>
        <v>1</v>
      </c>
      <c r="G106" s="4">
        <f t="shared" si="28"/>
        <v>3.5943112681142233E-42</v>
      </c>
      <c r="H106" s="76">
        <v>0.01</v>
      </c>
      <c r="I106" s="15">
        <f t="shared" si="29"/>
        <v>1.01</v>
      </c>
      <c r="J106" s="79">
        <f t="shared" si="30"/>
        <v>4.0106839841755217E+25</v>
      </c>
      <c r="K106" s="79">
        <f t="shared" si="31"/>
        <v>1.1158421419299478E+67</v>
      </c>
      <c r="L106" s="79">
        <f t="shared" si="33"/>
        <v>2.7867723932668302</v>
      </c>
      <c r="M106" s="79">
        <f t="shared" si="34"/>
        <v>1.0016527414788609E-41</v>
      </c>
      <c r="N106" s="79">
        <f t="shared" si="35"/>
        <v>6.422216146674385E-42</v>
      </c>
      <c r="O106" s="78">
        <f t="shared" si="32"/>
        <v>0.6411619397349716</v>
      </c>
    </row>
    <row r="107" spans="2:15" x14ac:dyDescent="0.25">
      <c r="B107" s="15">
        <v>104</v>
      </c>
      <c r="C107" s="15">
        <v>1</v>
      </c>
      <c r="D107" s="80">
        <f t="shared" si="25"/>
        <v>7.1087522725169839E+25</v>
      </c>
      <c r="E107" s="80">
        <f t="shared" si="26"/>
        <v>8.0658175170944942E+67</v>
      </c>
      <c r="F107" s="15">
        <f t="shared" si="27"/>
        <v>1</v>
      </c>
      <c r="G107" s="4">
        <f t="shared" si="28"/>
        <v>8.8134305759470387E-43</v>
      </c>
      <c r="H107" s="76">
        <v>0.01</v>
      </c>
      <c r="I107" s="15">
        <f t="shared" si="29"/>
        <v>1.01</v>
      </c>
      <c r="J107" s="79">
        <f t="shared" si="30"/>
        <v>7.1087522725169839E+25</v>
      </c>
      <c r="K107" s="79">
        <f t="shared" si="31"/>
        <v>8.0658175170944942E+67</v>
      </c>
      <c r="L107" s="79">
        <f t="shared" si="33"/>
        <v>2.8146401171994992</v>
      </c>
      <c r="M107" s="79">
        <f t="shared" si="34"/>
        <v>2.4806635269213223E-42</v>
      </c>
      <c r="N107" s="79">
        <f t="shared" si="35"/>
        <v>1.5993204693266182E-42</v>
      </c>
      <c r="O107" s="78">
        <f t="shared" si="32"/>
        <v>0.64471479181680369</v>
      </c>
    </row>
    <row r="108" spans="2:15" x14ac:dyDescent="0.25">
      <c r="B108" s="15">
        <v>105</v>
      </c>
      <c r="C108" s="15">
        <v>1</v>
      </c>
      <c r="D108" s="80">
        <f t="shared" si="25"/>
        <v>1.2599935340556072E+26</v>
      </c>
      <c r="E108" s="80">
        <f t="shared" si="26"/>
        <v>5.8581712451321877E+68</v>
      </c>
      <c r="F108" s="15">
        <f t="shared" si="27"/>
        <v>1</v>
      </c>
      <c r="G108" s="4">
        <f t="shared" si="28"/>
        <v>2.1508308332614741E-43</v>
      </c>
      <c r="H108" s="76">
        <v>0.01</v>
      </c>
      <c r="I108" s="15">
        <f t="shared" si="29"/>
        <v>1.01</v>
      </c>
      <c r="J108" s="79">
        <f t="shared" si="30"/>
        <v>1.2599935340556072E+26</v>
      </c>
      <c r="K108" s="79">
        <f t="shared" si="31"/>
        <v>5.8581712451321877E+68</v>
      </c>
      <c r="L108" s="79">
        <f t="shared" si="33"/>
        <v>2.8427865183714944</v>
      </c>
      <c r="M108" s="79">
        <f t="shared" si="34"/>
        <v>6.1143528960934464E-43</v>
      </c>
      <c r="N108" s="79">
        <f t="shared" si="35"/>
        <v>3.9635220628319723E-43</v>
      </c>
      <c r="O108" s="78">
        <f t="shared" si="32"/>
        <v>0.64823246714535032</v>
      </c>
    </row>
    <row r="109" spans="2:15" x14ac:dyDescent="0.25">
      <c r="B109" s="15">
        <v>106</v>
      </c>
      <c r="C109" s="15">
        <v>1</v>
      </c>
      <c r="D109" s="80">
        <f t="shared" si="25"/>
        <v>2.2332803915529102E+26</v>
      </c>
      <c r="E109" s="80">
        <f t="shared" si="26"/>
        <v>4.2748832840601228E+69</v>
      </c>
      <c r="F109" s="15">
        <f t="shared" si="27"/>
        <v>1</v>
      </c>
      <c r="G109" s="4">
        <f t="shared" si="28"/>
        <v>5.2241903302487945E-44</v>
      </c>
      <c r="H109" s="76">
        <v>0.01</v>
      </c>
      <c r="I109" s="15">
        <f t="shared" si="29"/>
        <v>1.01</v>
      </c>
      <c r="J109" s="79">
        <f t="shared" si="30"/>
        <v>2.2332803915529102E+26</v>
      </c>
      <c r="K109" s="79">
        <f t="shared" si="31"/>
        <v>4.2748832840601228E+69</v>
      </c>
      <c r="L109" s="79">
        <f t="shared" si="33"/>
        <v>2.87121438355521</v>
      </c>
      <c r="M109" s="79">
        <f t="shared" si="34"/>
        <v>1.4999770418640381E-43</v>
      </c>
      <c r="N109" s="79">
        <f t="shared" si="35"/>
        <v>9.7755800883915869E-44</v>
      </c>
      <c r="O109" s="78">
        <f t="shared" si="32"/>
        <v>0.65171531400529736</v>
      </c>
    </row>
    <row r="110" spans="2:15" x14ac:dyDescent="0.25">
      <c r="B110" s="15">
        <v>107</v>
      </c>
      <c r="C110" s="15">
        <v>1</v>
      </c>
      <c r="D110" s="80">
        <f t="shared" si="25"/>
        <v>3.9583864301597386E+26</v>
      </c>
      <c r="E110" s="80">
        <f t="shared" si="26"/>
        <v>3.1341216161457268E+70</v>
      </c>
      <c r="F110" s="15">
        <f t="shared" si="27"/>
        <v>1</v>
      </c>
      <c r="G110" s="4">
        <f t="shared" si="28"/>
        <v>1.2629970738109627E-44</v>
      </c>
      <c r="H110" s="76">
        <v>0.01</v>
      </c>
      <c r="I110" s="15">
        <f t="shared" si="29"/>
        <v>1.01</v>
      </c>
      <c r="J110" s="79">
        <f t="shared" si="30"/>
        <v>3.9583864301597386E+26</v>
      </c>
      <c r="K110" s="79">
        <f t="shared" si="31"/>
        <v>3.1341216161457268E+70</v>
      </c>
      <c r="L110" s="79">
        <f t="shared" si="33"/>
        <v>2.8999265273907611</v>
      </c>
      <c r="M110" s="79">
        <f t="shared" si="34"/>
        <v>3.6625987183613181E-44</v>
      </c>
      <c r="N110" s="79">
        <f t="shared" si="35"/>
        <v>2.3996016445503554E-44</v>
      </c>
      <c r="O110" s="78">
        <f t="shared" si="32"/>
        <v>0.65516367723296765</v>
      </c>
    </row>
    <row r="111" spans="2:15" x14ac:dyDescent="0.25">
      <c r="B111" s="15">
        <v>108</v>
      </c>
      <c r="C111" s="15">
        <v>1</v>
      </c>
      <c r="D111" s="80">
        <f t="shared" si="25"/>
        <v>7.0160572715087594E+26</v>
      </c>
      <c r="E111" s="80">
        <f t="shared" si="26"/>
        <v>2.308436973392454E+71</v>
      </c>
      <c r="F111" s="15">
        <f t="shared" si="27"/>
        <v>1</v>
      </c>
      <c r="G111" s="4">
        <f t="shared" si="28"/>
        <v>3.0393107337897285E-45</v>
      </c>
      <c r="H111" s="76">
        <v>0.01</v>
      </c>
      <c r="I111" s="15">
        <f t="shared" si="29"/>
        <v>1.01</v>
      </c>
      <c r="J111" s="79">
        <f t="shared" si="30"/>
        <v>7.0160572715087594E+26</v>
      </c>
      <c r="K111" s="79">
        <f t="shared" si="31"/>
        <v>2.308436973392454E+71</v>
      </c>
      <c r="L111" s="79">
        <f t="shared" si="33"/>
        <v>2.928925792664669</v>
      </c>
      <c r="M111" s="79">
        <f t="shared" si="34"/>
        <v>8.9019156001193176E-45</v>
      </c>
      <c r="N111" s="79">
        <f t="shared" si="35"/>
        <v>5.8626048663295885E-45</v>
      </c>
      <c r="O111" s="78">
        <f t="shared" si="32"/>
        <v>0.65857789825046287</v>
      </c>
    </row>
    <row r="112" spans="2:15" x14ac:dyDescent="0.25">
      <c r="B112" s="15">
        <v>109</v>
      </c>
      <c r="C112" s="15">
        <v>1</v>
      </c>
      <c r="D112" s="80">
        <f t="shared" si="25"/>
        <v>1.2435637729059371E+27</v>
      </c>
      <c r="E112" s="80">
        <f t="shared" si="26"/>
        <v>1.7080962807994084E+72</v>
      </c>
      <c r="F112" s="15">
        <f t="shared" si="27"/>
        <v>1</v>
      </c>
      <c r="G112" s="4">
        <f t="shared" si="28"/>
        <v>7.2804079423668979E-46</v>
      </c>
      <c r="H112" s="76">
        <v>0.01</v>
      </c>
      <c r="I112" s="15">
        <f t="shared" si="29"/>
        <v>1.01</v>
      </c>
      <c r="J112" s="79">
        <f t="shared" si="30"/>
        <v>1.2435637729059371E+27</v>
      </c>
      <c r="K112" s="79">
        <f t="shared" si="31"/>
        <v>1.7080962807994084E+72</v>
      </c>
      <c r="L112" s="79">
        <f t="shared" si="33"/>
        <v>2.9582150505913161</v>
      </c>
      <c r="M112" s="79">
        <f t="shared" si="34"/>
        <v>2.1537012349554311E-45</v>
      </c>
      <c r="N112" s="79">
        <f t="shared" si="35"/>
        <v>1.4256604407187411E-45</v>
      </c>
      <c r="O112" s="78">
        <f t="shared" si="32"/>
        <v>0.66195831509946823</v>
      </c>
    </row>
    <row r="113" spans="2:15" x14ac:dyDescent="0.25">
      <c r="B113" s="15">
        <v>110</v>
      </c>
      <c r="C113" s="15">
        <v>1</v>
      </c>
      <c r="D113" s="80">
        <f t="shared" si="25"/>
        <v>2.2041593981337168E+27</v>
      </c>
      <c r="E113" s="80">
        <f t="shared" si="26"/>
        <v>1.2696403353658648E+73</v>
      </c>
      <c r="F113" s="15">
        <f t="shared" si="27"/>
        <v>1</v>
      </c>
      <c r="G113" s="4">
        <f t="shared" si="28"/>
        <v>1.7360502315000548E-46</v>
      </c>
      <c r="H113" s="76">
        <v>0.01</v>
      </c>
      <c r="I113" s="15">
        <f t="shared" si="29"/>
        <v>1.01</v>
      </c>
      <c r="J113" s="79">
        <f t="shared" si="30"/>
        <v>2.2041593981337168E+27</v>
      </c>
      <c r="K113" s="79">
        <f t="shared" si="31"/>
        <v>1.2696403353658648E+73</v>
      </c>
      <c r="L113" s="79">
        <f t="shared" si="33"/>
        <v>2.9877972010972296</v>
      </c>
      <c r="M113" s="79">
        <f t="shared" si="34"/>
        <v>5.1869660226400614E-46</v>
      </c>
      <c r="N113" s="79">
        <f t="shared" si="35"/>
        <v>3.4509157911400068E-46</v>
      </c>
      <c r="O113" s="78">
        <f t="shared" si="32"/>
        <v>0.66530526247472122</v>
      </c>
    </row>
    <row r="114" spans="2:15" x14ac:dyDescent="0.25">
      <c r="B114" s="15">
        <v>111</v>
      </c>
      <c r="C114" s="15">
        <v>1</v>
      </c>
      <c r="D114" s="80">
        <f t="shared" si="25"/>
        <v>3.9067708132317002E+27</v>
      </c>
      <c r="E114" s="80">
        <f t="shared" si="26"/>
        <v>9.4799343584366885E+73</v>
      </c>
      <c r="F114" s="15">
        <f t="shared" si="27"/>
        <v>1</v>
      </c>
      <c r="G114" s="4">
        <f t="shared" si="28"/>
        <v>4.1210947940318395E-47</v>
      </c>
      <c r="H114" s="76">
        <v>0.01</v>
      </c>
      <c r="I114" s="15">
        <f t="shared" si="29"/>
        <v>1.01</v>
      </c>
      <c r="J114" s="79">
        <f t="shared" si="30"/>
        <v>3.9067708132317002E+27</v>
      </c>
      <c r="K114" s="79">
        <f t="shared" si="31"/>
        <v>9.4799343584366885E+73</v>
      </c>
      <c r="L114" s="79">
        <f t="shared" si="33"/>
        <v>3.0176751731082008</v>
      </c>
      <c r="M114" s="79">
        <f t="shared" si="34"/>
        <v>1.2436125445975335E-46</v>
      </c>
      <c r="N114" s="79">
        <f t="shared" si="35"/>
        <v>8.3150306519434955E-47</v>
      </c>
      <c r="O114" s="78">
        <f t="shared" si="32"/>
        <v>0.66861907175714952</v>
      </c>
    </row>
    <row r="115" spans="2:15" x14ac:dyDescent="0.25">
      <c r="B115" s="15">
        <v>112</v>
      </c>
      <c r="C115" s="15">
        <v>1</v>
      </c>
      <c r="D115" s="80">
        <f t="shared" si="25"/>
        <v>6.9245709725177844E+27</v>
      </c>
      <c r="E115" s="80">
        <f t="shared" si="26"/>
        <v>7.1099858780487453E+74</v>
      </c>
      <c r="F115" s="15">
        <f t="shared" si="27"/>
        <v>1</v>
      </c>
      <c r="G115" s="4">
        <f t="shared" si="28"/>
        <v>9.7392190241848331E-48</v>
      </c>
      <c r="H115" s="76">
        <v>0.01</v>
      </c>
      <c r="I115" s="15">
        <f t="shared" si="29"/>
        <v>1.01</v>
      </c>
      <c r="J115" s="79">
        <f t="shared" si="30"/>
        <v>6.9245709725177844E+27</v>
      </c>
      <c r="K115" s="79">
        <f t="shared" si="31"/>
        <v>7.1099858780487453E+74</v>
      </c>
      <c r="L115" s="79">
        <f t="shared" si="33"/>
        <v>3.0478519248392835</v>
      </c>
      <c r="M115" s="79">
        <f t="shared" si="34"/>
        <v>2.968369744929311E-47</v>
      </c>
      <c r="N115" s="79">
        <f t="shared" si="35"/>
        <v>1.9944478425108277E-47</v>
      </c>
      <c r="O115" s="78">
        <f t="shared" si="32"/>
        <v>0.67190007104668281</v>
      </c>
    </row>
    <row r="116" spans="2:15" x14ac:dyDescent="0.25">
      <c r="B116" s="15">
        <v>113</v>
      </c>
      <c r="C116" s="15">
        <v>1</v>
      </c>
      <c r="D116" s="80">
        <f t="shared" si="25"/>
        <v>1.2273482486107741E+28</v>
      </c>
      <c r="E116" s="80">
        <f t="shared" si="26"/>
        <v>5.3561629125167395E+75</v>
      </c>
      <c r="F116" s="15">
        <f t="shared" si="27"/>
        <v>1</v>
      </c>
      <c r="G116" s="4">
        <f t="shared" si="28"/>
        <v>2.2914692264916023E-48</v>
      </c>
      <c r="H116" s="76">
        <v>0.01</v>
      </c>
      <c r="I116" s="15">
        <f t="shared" si="29"/>
        <v>1.01</v>
      </c>
      <c r="J116" s="79">
        <f t="shared" si="30"/>
        <v>1.2273482486107741E+28</v>
      </c>
      <c r="K116" s="79">
        <f t="shared" si="31"/>
        <v>5.3561629125167395E+75</v>
      </c>
      <c r="L116" s="79">
        <f t="shared" si="33"/>
        <v>3.0783304440876766</v>
      </c>
      <c r="M116" s="79">
        <f t="shared" si="34"/>
        <v>7.053899481599139E-48</v>
      </c>
      <c r="N116" s="79">
        <f t="shared" si="35"/>
        <v>4.762430255107537E-48</v>
      </c>
      <c r="O116" s="78">
        <f t="shared" si="32"/>
        <v>0.67514858519473553</v>
      </c>
    </row>
    <row r="117" spans="2:15" x14ac:dyDescent="0.25">
      <c r="B117" s="15">
        <v>114</v>
      </c>
      <c r="C117" s="15">
        <v>1</v>
      </c>
      <c r="D117" s="80">
        <f t="shared" si="25"/>
        <v>2.1754181296523001E+28</v>
      </c>
      <c r="E117" s="80">
        <f t="shared" si="26"/>
        <v>4.0526919504876951E+76</v>
      </c>
      <c r="F117" s="15">
        <f t="shared" si="27"/>
        <v>1</v>
      </c>
      <c r="G117" s="4">
        <f t="shared" si="28"/>
        <v>5.3678349014178423E-49</v>
      </c>
      <c r="H117" s="76">
        <v>0.01</v>
      </c>
      <c r="I117" s="15">
        <f t="shared" si="29"/>
        <v>1.01</v>
      </c>
      <c r="J117" s="79">
        <f t="shared" si="30"/>
        <v>2.1754181296523001E+28</v>
      </c>
      <c r="K117" s="79">
        <f t="shared" si="31"/>
        <v>4.0526919504876951E+76</v>
      </c>
      <c r="L117" s="79">
        <f t="shared" si="33"/>
        <v>3.1091137485285536</v>
      </c>
      <c r="M117" s="79">
        <f t="shared" si="34"/>
        <v>1.6689209291829628E-48</v>
      </c>
      <c r="N117" s="79">
        <f t="shared" si="35"/>
        <v>1.1321374390411786E-48</v>
      </c>
      <c r="O117" s="78">
        <f t="shared" si="32"/>
        <v>0.67836493583637181</v>
      </c>
    </row>
    <row r="118" spans="2:15" x14ac:dyDescent="0.25">
      <c r="B118" s="15">
        <v>115</v>
      </c>
      <c r="C118" s="15">
        <v>1</v>
      </c>
      <c r="D118" s="80">
        <f t="shared" si="25"/>
        <v>3.8558282412319096E+28</v>
      </c>
      <c r="E118" s="80">
        <f t="shared" si="26"/>
        <v>3.0797936746971935E+77</v>
      </c>
      <c r="F118" s="15">
        <f t="shared" si="27"/>
        <v>1</v>
      </c>
      <c r="G118" s="4">
        <f t="shared" si="28"/>
        <v>1.2519761544126868E-49</v>
      </c>
      <c r="H118" s="76">
        <v>0.01</v>
      </c>
      <c r="I118" s="15">
        <f t="shared" si="29"/>
        <v>1.01</v>
      </c>
      <c r="J118" s="79">
        <f t="shared" si="30"/>
        <v>3.8558282412319096E+28</v>
      </c>
      <c r="K118" s="79">
        <f t="shared" si="31"/>
        <v>3.0797936746971935E+77</v>
      </c>
      <c r="L118" s="79">
        <f t="shared" si="33"/>
        <v>3.1402048860138385</v>
      </c>
      <c r="M118" s="79">
        <f t="shared" si="34"/>
        <v>3.931461637259535E-49</v>
      </c>
      <c r="N118" s="79">
        <f t="shared" si="35"/>
        <v>2.6794854828468484E-49</v>
      </c>
      <c r="O118" s="78">
        <f t="shared" si="32"/>
        <v>0.68154944142215024</v>
      </c>
    </row>
    <row r="119" spans="2:15" x14ac:dyDescent="0.25">
      <c r="B119" s="15">
        <v>116</v>
      </c>
      <c r="C119" s="15">
        <v>1</v>
      </c>
      <c r="D119" s="80">
        <f t="shared" si="25"/>
        <v>6.8342776146017144E+28</v>
      </c>
      <c r="E119" s="80">
        <f t="shared" si="26"/>
        <v>2.3505613312829024E+78</v>
      </c>
      <c r="F119" s="15">
        <f t="shared" si="27"/>
        <v>1</v>
      </c>
      <c r="G119" s="4">
        <f t="shared" si="28"/>
        <v>2.907508739996018E-50</v>
      </c>
      <c r="H119" s="76">
        <v>0.01</v>
      </c>
      <c r="I119" s="15">
        <f t="shared" si="29"/>
        <v>1.01</v>
      </c>
      <c r="J119" s="79">
        <f t="shared" si="30"/>
        <v>6.8342776146017144E+28</v>
      </c>
      <c r="K119" s="79">
        <f t="shared" si="31"/>
        <v>2.3505613312829024E+78</v>
      </c>
      <c r="L119" s="79">
        <f t="shared" si="33"/>
        <v>3.171606934873977</v>
      </c>
      <c r="M119" s="79">
        <f t="shared" si="34"/>
        <v>9.2214748829780704E-50</v>
      </c>
      <c r="N119" s="79">
        <f t="shared" si="35"/>
        <v>6.3139661429820529E-50</v>
      </c>
      <c r="O119" s="78">
        <f t="shared" si="32"/>
        <v>0.68470241724965375</v>
      </c>
    </row>
    <row r="120" spans="2:15" x14ac:dyDescent="0.25">
      <c r="B120" s="15">
        <v>117</v>
      </c>
      <c r="C120" s="15">
        <v>1</v>
      </c>
      <c r="D120" s="80">
        <f t="shared" si="25"/>
        <v>1.2113441676158227E+29</v>
      </c>
      <c r="E120" s="80">
        <f t="shared" si="26"/>
        <v>1.8016792996978842E+79</v>
      </c>
      <c r="F120" s="15">
        <f t="shared" si="27"/>
        <v>1</v>
      </c>
      <c r="G120" s="4">
        <f t="shared" si="28"/>
        <v>6.7234172464486204E-51</v>
      </c>
      <c r="H120" s="76">
        <v>0.01</v>
      </c>
      <c r="I120" s="15">
        <f t="shared" si="29"/>
        <v>1.01</v>
      </c>
      <c r="J120" s="79">
        <f t="shared" si="30"/>
        <v>1.2113441676158227E+29</v>
      </c>
      <c r="K120" s="79">
        <f t="shared" si="31"/>
        <v>1.8016792996978842E+79</v>
      </c>
      <c r="L120" s="79">
        <f t="shared" si="33"/>
        <v>3.2033230042227165</v>
      </c>
      <c r="M120" s="79">
        <f t="shared" si="34"/>
        <v>2.153727713253662E-50</v>
      </c>
      <c r="N120" s="79">
        <f t="shared" si="35"/>
        <v>1.4813859886088E-50</v>
      </c>
      <c r="O120" s="78">
        <f t="shared" si="32"/>
        <v>0.68782417549470665</v>
      </c>
    </row>
    <row r="121" spans="2:15" x14ac:dyDescent="0.25">
      <c r="B121" s="15">
        <v>118</v>
      </c>
      <c r="C121" s="15">
        <v>1</v>
      </c>
      <c r="D121" s="80">
        <f t="shared" si="25"/>
        <v>2.1470516346625923E+29</v>
      </c>
      <c r="E121" s="80">
        <f t="shared" si="26"/>
        <v>1.3868311854568818E+80</v>
      </c>
      <c r="F121" s="15">
        <f t="shared" si="27"/>
        <v>1</v>
      </c>
      <c r="G121" s="4">
        <f t="shared" si="28"/>
        <v>1.5481708640372556E-51</v>
      </c>
      <c r="H121" s="76">
        <v>0.01</v>
      </c>
      <c r="I121" s="15">
        <f t="shared" si="29"/>
        <v>1.01</v>
      </c>
      <c r="J121" s="79">
        <f t="shared" si="30"/>
        <v>2.1470516346625923E+29</v>
      </c>
      <c r="K121" s="79">
        <f t="shared" si="31"/>
        <v>1.3868311854568818E+80</v>
      </c>
      <c r="L121" s="79">
        <f t="shared" si="33"/>
        <v>3.2353562342649447</v>
      </c>
      <c r="M121" s="79">
        <f t="shared" si="34"/>
        <v>5.0088842566702814E-51</v>
      </c>
      <c r="N121" s="79">
        <f t="shared" si="35"/>
        <v>3.4607133926330255E-51</v>
      </c>
      <c r="O121" s="78">
        <f t="shared" si="32"/>
        <v>0.69091502524228376</v>
      </c>
    </row>
    <row r="122" spans="2:15" x14ac:dyDescent="0.25">
      <c r="B122" s="15">
        <v>119</v>
      </c>
      <c r="C122" s="15">
        <v>1</v>
      </c>
      <c r="D122" s="80">
        <f t="shared" si="25"/>
        <v>3.8055499379507142E+29</v>
      </c>
      <c r="E122" s="80">
        <f t="shared" si="26"/>
        <v>1.0719991833202212E+81</v>
      </c>
      <c r="F122" s="15">
        <f t="shared" si="27"/>
        <v>1</v>
      </c>
      <c r="G122" s="4">
        <f t="shared" si="28"/>
        <v>3.5499560047835808E-52</v>
      </c>
      <c r="H122" s="76">
        <v>0.01</v>
      </c>
      <c r="I122" s="15">
        <f t="shared" si="29"/>
        <v>1.01</v>
      </c>
      <c r="J122" s="79">
        <f t="shared" si="30"/>
        <v>3.8055499379507142E+29</v>
      </c>
      <c r="K122" s="79">
        <f t="shared" si="31"/>
        <v>1.0719991833202212E+81</v>
      </c>
      <c r="L122" s="79">
        <f t="shared" si="33"/>
        <v>3.2677097966075932</v>
      </c>
      <c r="M122" s="79">
        <f t="shared" si="34"/>
        <v>1.160022601435726E-51</v>
      </c>
      <c r="N122" s="79">
        <f t="shared" si="35"/>
        <v>8.0502700095736784E-52</v>
      </c>
      <c r="O122" s="78">
        <f t="shared" si="32"/>
        <v>0.69397527251711255</v>
      </c>
    </row>
    <row r="123" spans="2:15" x14ac:dyDescent="0.25">
      <c r="B123" s="15">
        <v>120</v>
      </c>
      <c r="C123" s="15">
        <v>1</v>
      </c>
      <c r="D123" s="80">
        <f t="shared" si="25"/>
        <v>6.7451616423339567E+29</v>
      </c>
      <c r="E123" s="80">
        <f t="shared" si="26"/>
        <v>8.3209871127416814E+81</v>
      </c>
      <c r="F123" s="15">
        <f t="shared" si="27"/>
        <v>1</v>
      </c>
      <c r="G123" s="4">
        <f t="shared" si="28"/>
        <v>8.1062036882682952E-53</v>
      </c>
      <c r="H123" s="76">
        <v>0.01</v>
      </c>
      <c r="I123" s="15">
        <f t="shared" si="29"/>
        <v>1.01</v>
      </c>
      <c r="J123" s="79">
        <f t="shared" si="30"/>
        <v>6.7451616423339567E+29</v>
      </c>
      <c r="K123" s="79">
        <f t="shared" si="31"/>
        <v>8.3209871127416814E+81</v>
      </c>
      <c r="L123" s="79">
        <f t="shared" si="33"/>
        <v>3.3003868945736698</v>
      </c>
      <c r="M123" s="79">
        <f t="shared" si="34"/>
        <v>2.6753608417505426E-52</v>
      </c>
      <c r="N123" s="79">
        <f t="shared" si="35"/>
        <v>1.8647404729237128E-52</v>
      </c>
      <c r="O123" s="78">
        <f t="shared" si="32"/>
        <v>0.69700522031397283</v>
      </c>
    </row>
    <row r="124" spans="2:15" x14ac:dyDescent="0.25">
      <c r="B124" s="15">
        <v>121</v>
      </c>
      <c r="C124" s="15">
        <v>1</v>
      </c>
      <c r="D124" s="80">
        <f t="shared" si="25"/>
        <v>1.1955487727935066E+30</v>
      </c>
      <c r="E124" s="80">
        <f t="shared" si="26"/>
        <v>6.4855950590874433E+82</v>
      </c>
      <c r="F124" s="15">
        <f t="shared" si="27"/>
        <v>1</v>
      </c>
      <c r="G124" s="4">
        <f t="shared" si="28"/>
        <v>1.8433910256520494E-53</v>
      </c>
      <c r="H124" s="76">
        <v>0.01</v>
      </c>
      <c r="I124" s="15">
        <f t="shared" si="29"/>
        <v>1.01</v>
      </c>
      <c r="J124" s="79">
        <f t="shared" si="30"/>
        <v>1.1955487727935066E+30</v>
      </c>
      <c r="K124" s="79">
        <f t="shared" si="31"/>
        <v>6.4855950590874433E+82</v>
      </c>
      <c r="L124" s="79">
        <f t="shared" si="33"/>
        <v>3.3333907635194069</v>
      </c>
      <c r="M124" s="79">
        <f t="shared" si="34"/>
        <v>6.1447426184631075E-53</v>
      </c>
      <c r="N124" s="79">
        <f t="shared" si="35"/>
        <v>4.3013515928110579E-53</v>
      </c>
      <c r="O124" s="78">
        <f t="shared" si="32"/>
        <v>0.70000516862769602</v>
      </c>
    </row>
    <row r="125" spans="2:15" x14ac:dyDescent="0.25">
      <c r="B125" s="15">
        <v>122</v>
      </c>
      <c r="C125" s="15">
        <v>1</v>
      </c>
      <c r="D125" s="80">
        <f t="shared" si="25"/>
        <v>2.1190550262832021E+30</v>
      </c>
      <c r="E125" s="80">
        <f t="shared" si="26"/>
        <v>5.075802138772367E+83</v>
      </c>
      <c r="F125" s="15">
        <f t="shared" si="27"/>
        <v>1</v>
      </c>
      <c r="G125" s="4">
        <f t="shared" si="28"/>
        <v>4.1748180255026973E-54</v>
      </c>
      <c r="H125" s="76">
        <v>0.01</v>
      </c>
      <c r="I125" s="15">
        <f t="shared" si="29"/>
        <v>1.01</v>
      </c>
      <c r="J125" s="79">
        <f t="shared" si="30"/>
        <v>2.1190550262832021E+30</v>
      </c>
      <c r="K125" s="79">
        <f t="shared" si="31"/>
        <v>5.075802138772367E+83</v>
      </c>
      <c r="L125" s="79">
        <f t="shared" si="33"/>
        <v>3.3667246711546008</v>
      </c>
      <c r="M125" s="79">
        <f t="shared" si="34"/>
        <v>1.4055462844040868E-53</v>
      </c>
      <c r="N125" s="79">
        <f t="shared" si="35"/>
        <v>9.88064481853817E-54</v>
      </c>
      <c r="O125" s="78">
        <f t="shared" si="32"/>
        <v>0.70297541448286727</v>
      </c>
    </row>
    <row r="126" spans="2:15" x14ac:dyDescent="0.25">
      <c r="B126" s="15">
        <v>123</v>
      </c>
      <c r="C126" s="15">
        <v>1</v>
      </c>
      <c r="D126" s="80">
        <f t="shared" si="25"/>
        <v>3.7559272416163757E+30</v>
      </c>
      <c r="E126" s="80">
        <f t="shared" si="26"/>
        <v>3.9886409613388503E+84</v>
      </c>
      <c r="F126" s="15">
        <f t="shared" si="27"/>
        <v>1</v>
      </c>
      <c r="G126" s="4">
        <f t="shared" si="28"/>
        <v>9.4165588681003751E-55</v>
      </c>
      <c r="H126" s="76">
        <v>0.01</v>
      </c>
      <c r="I126" s="15">
        <f t="shared" si="29"/>
        <v>1.01</v>
      </c>
      <c r="J126" s="79">
        <f t="shared" si="30"/>
        <v>3.7559272416163757E+30</v>
      </c>
      <c r="K126" s="79">
        <f t="shared" si="31"/>
        <v>3.9886409613388503E+84</v>
      </c>
      <c r="L126" s="79">
        <f t="shared" si="33"/>
        <v>3.4003919178661461</v>
      </c>
      <c r="M126" s="79">
        <f t="shared" si="34"/>
        <v>3.2019990669199305E-54</v>
      </c>
      <c r="N126" s="79">
        <f t="shared" si="35"/>
        <v>2.2603431801098931E-54</v>
      </c>
      <c r="O126" s="78">
        <f t="shared" si="32"/>
        <v>0.70591625196323504</v>
      </c>
    </row>
    <row r="127" spans="2:15" x14ac:dyDescent="0.25">
      <c r="B127" s="15">
        <v>124</v>
      </c>
      <c r="C127" s="15">
        <v>1</v>
      </c>
      <c r="D127" s="80">
        <f t="shared" si="25"/>
        <v>6.6572077031238325E+30</v>
      </c>
      <c r="E127" s="80">
        <f t="shared" si="26"/>
        <v>3.1469973260387477E+85</v>
      </c>
      <c r="F127" s="15">
        <f t="shared" si="27"/>
        <v>1</v>
      </c>
      <c r="G127" s="4">
        <f t="shared" si="28"/>
        <v>2.1154157482248412E-55</v>
      </c>
      <c r="H127" s="76">
        <v>0.01</v>
      </c>
      <c r="I127" s="15">
        <f t="shared" si="29"/>
        <v>1.01</v>
      </c>
      <c r="J127" s="79">
        <f t="shared" si="30"/>
        <v>6.6572077031238325E+30</v>
      </c>
      <c r="K127" s="79">
        <f t="shared" si="31"/>
        <v>3.1469973260387477E+85</v>
      </c>
      <c r="L127" s="79">
        <f t="shared" si="33"/>
        <v>3.4343958370448076</v>
      </c>
      <c r="M127" s="79">
        <f t="shared" si="34"/>
        <v>7.2651750393224225E-55</v>
      </c>
      <c r="N127" s="79">
        <f t="shared" si="35"/>
        <v>5.1497592910975813E-55</v>
      </c>
      <c r="O127" s="78">
        <f t="shared" si="32"/>
        <v>0.70882797224082672</v>
      </c>
    </row>
    <row r="128" spans="2:15" x14ac:dyDescent="0.25">
      <c r="B128" s="15">
        <v>125</v>
      </c>
      <c r="C128" s="15">
        <v>1</v>
      </c>
      <c r="D128" s="80">
        <f t="shared" si="25"/>
        <v>1.1799593429679789E+31</v>
      </c>
      <c r="E128" s="80">
        <f t="shared" si="26"/>
        <v>2.4929006008366911E+86</v>
      </c>
      <c r="F128" s="15">
        <f t="shared" si="27"/>
        <v>1</v>
      </c>
      <c r="G128" s="4">
        <f t="shared" si="28"/>
        <v>4.7332787459393674E-56</v>
      </c>
      <c r="H128" s="76">
        <v>0.01</v>
      </c>
      <c r="I128" s="15">
        <f t="shared" si="29"/>
        <v>1.01</v>
      </c>
      <c r="J128" s="79">
        <f t="shared" si="30"/>
        <v>1.1799593429679789E+31</v>
      </c>
      <c r="K128" s="79">
        <f t="shared" si="31"/>
        <v>2.4929006008366911E+86</v>
      </c>
      <c r="L128" s="79">
        <f t="shared" si="33"/>
        <v>3.4687397954152561</v>
      </c>
      <c r="M128" s="79">
        <f t="shared" si="34"/>
        <v>1.6418512348833099E-55</v>
      </c>
      <c r="N128" s="79">
        <f t="shared" si="35"/>
        <v>1.1685233602893732E-55</v>
      </c>
      <c r="O128" s="78">
        <f t="shared" si="32"/>
        <v>0.71171086360477887</v>
      </c>
    </row>
    <row r="129" spans="2:15" x14ac:dyDescent="0.25">
      <c r="B129" s="15">
        <v>126</v>
      </c>
      <c r="C129" s="15">
        <v>1</v>
      </c>
      <c r="D129" s="80">
        <f t="shared" si="25"/>
        <v>2.0914234813555213E+31</v>
      </c>
      <c r="E129" s="80">
        <f t="shared" si="26"/>
        <v>1.9826083154044198E+87</v>
      </c>
      <c r="F129" s="15">
        <f t="shared" si="27"/>
        <v>1</v>
      </c>
      <c r="G129" s="4">
        <f t="shared" si="28"/>
        <v>1.0548848530017918E-56</v>
      </c>
      <c r="H129" s="76">
        <v>0.01</v>
      </c>
      <c r="I129" s="15">
        <f t="shared" si="29"/>
        <v>1.01</v>
      </c>
      <c r="J129" s="79">
        <f t="shared" si="30"/>
        <v>2.0914234813555213E+31</v>
      </c>
      <c r="K129" s="79">
        <f t="shared" si="31"/>
        <v>1.9826083154044198E+87</v>
      </c>
      <c r="L129" s="79">
        <f t="shared" si="33"/>
        <v>3.5034271933694092</v>
      </c>
      <c r="M129" s="79">
        <f t="shared" si="34"/>
        <v>3.6957122798799688E-56</v>
      </c>
      <c r="N129" s="79">
        <f t="shared" si="35"/>
        <v>2.6408274268781768E-56</v>
      </c>
      <c r="O129" s="78">
        <f t="shared" si="32"/>
        <v>0.71456521148988006</v>
      </c>
    </row>
    <row r="130" spans="2:15" x14ac:dyDescent="0.25">
      <c r="B130" s="15">
        <v>127</v>
      </c>
      <c r="C130" s="15">
        <v>1</v>
      </c>
      <c r="D130" s="80">
        <f t="shared" si="25"/>
        <v>3.7069516034028443E+31</v>
      </c>
      <c r="E130" s="80">
        <f t="shared" si="26"/>
        <v>1.582991881531248E+88</v>
      </c>
      <c r="F130" s="15">
        <f t="shared" si="27"/>
        <v>1</v>
      </c>
      <c r="G130" s="4">
        <f t="shared" si="28"/>
        <v>2.3417375961631992E-57</v>
      </c>
      <c r="H130" s="76">
        <v>0.01</v>
      </c>
      <c r="I130" s="15">
        <f t="shared" si="29"/>
        <v>1.01</v>
      </c>
      <c r="J130" s="79">
        <f t="shared" si="30"/>
        <v>3.7069516034028443E+31</v>
      </c>
      <c r="K130" s="79">
        <f t="shared" si="31"/>
        <v>1.582991881531248E+88</v>
      </c>
      <c r="L130" s="79">
        <f t="shared" si="33"/>
        <v>3.5384614653031021</v>
      </c>
      <c r="M130" s="79">
        <f t="shared" si="34"/>
        <v>8.2861482458749978E-57</v>
      </c>
      <c r="N130" s="79">
        <f t="shared" si="35"/>
        <v>5.9444106497117987E-57</v>
      </c>
      <c r="O130" s="78">
        <f t="shared" si="32"/>
        <v>0.71739129850483174</v>
      </c>
    </row>
    <row r="131" spans="2:15" x14ac:dyDescent="0.25">
      <c r="B131" s="15">
        <v>128</v>
      </c>
      <c r="C131" s="15">
        <v>1</v>
      </c>
      <c r="D131" s="80">
        <f t="shared" si="25"/>
        <v>6.5704006445716965E+31</v>
      </c>
      <c r="E131" s="80">
        <f t="shared" si="26"/>
        <v>1.2688693218588428E+89</v>
      </c>
      <c r="F131" s="15">
        <f t="shared" si="27"/>
        <v>1</v>
      </c>
      <c r="G131" s="4">
        <f t="shared" si="28"/>
        <v>5.1781539133961582E-58</v>
      </c>
      <c r="H131" s="76">
        <v>0.01</v>
      </c>
      <c r="I131" s="15">
        <f t="shared" si="29"/>
        <v>1.01</v>
      </c>
      <c r="J131" s="79">
        <f t="shared" si="30"/>
        <v>6.5704006445716965E+31</v>
      </c>
      <c r="K131" s="79">
        <f t="shared" si="31"/>
        <v>1.2688693218588428E+89</v>
      </c>
      <c r="L131" s="79">
        <f t="shared" si="33"/>
        <v>3.5738460799561338</v>
      </c>
      <c r="M131" s="79">
        <f t="shared" si="34"/>
        <v>1.8505925064800375E-57</v>
      </c>
      <c r="N131" s="79">
        <f t="shared" si="35"/>
        <v>1.3327771151404218E-57</v>
      </c>
      <c r="O131" s="78">
        <f t="shared" si="32"/>
        <v>0.72018940446022961</v>
      </c>
    </row>
    <row r="132" spans="2:15" x14ac:dyDescent="0.25">
      <c r="B132" s="15">
        <v>129</v>
      </c>
      <c r="C132" s="15">
        <v>1</v>
      </c>
      <c r="D132" s="80">
        <f t="shared" si="25"/>
        <v>1.1645731924463123E+32</v>
      </c>
      <c r="E132" s="80">
        <f t="shared" si="26"/>
        <v>1.0210297635877301E+90</v>
      </c>
      <c r="F132" s="15">
        <f t="shared" si="27"/>
        <v>1</v>
      </c>
      <c r="G132" s="4">
        <f t="shared" si="28"/>
        <v>1.1405869191846027E-58</v>
      </c>
      <c r="H132" s="76">
        <v>0.01</v>
      </c>
      <c r="I132" s="15">
        <f t="shared" si="29"/>
        <v>1.01</v>
      </c>
      <c r="J132" s="79">
        <f t="shared" si="30"/>
        <v>1.1645731924463123E+32</v>
      </c>
      <c r="K132" s="79">
        <f t="shared" si="31"/>
        <v>1.0210297635877301E+90</v>
      </c>
      <c r="L132" s="79">
        <f t="shared" si="33"/>
        <v>3.6095845407556952</v>
      </c>
      <c r="M132" s="79">
        <f t="shared" si="34"/>
        <v>4.1170449108769081E-58</v>
      </c>
      <c r="N132" s="79">
        <f t="shared" si="35"/>
        <v>2.9764579916923054E-58</v>
      </c>
      <c r="O132" s="78">
        <f t="shared" si="32"/>
        <v>0.72295980639626689</v>
      </c>
    </row>
    <row r="133" spans="2:15" x14ac:dyDescent="0.25">
      <c r="B133" s="15">
        <v>130</v>
      </c>
      <c r="C133" s="15">
        <v>1</v>
      </c>
      <c r="D133" s="80">
        <f t="shared" si="25"/>
        <v>2.0641522396128082E+32</v>
      </c>
      <c r="E133" s="80">
        <f t="shared" si="26"/>
        <v>8.2476505920823213E+90</v>
      </c>
      <c r="F133" s="15">
        <f t="shared" si="27"/>
        <v>1</v>
      </c>
      <c r="G133" s="4">
        <f t="shared" si="28"/>
        <v>2.5027154297666026E-59</v>
      </c>
      <c r="H133" s="76">
        <v>0.01</v>
      </c>
      <c r="I133" s="15">
        <f t="shared" si="29"/>
        <v>1.01</v>
      </c>
      <c r="J133" s="79">
        <f t="shared" si="30"/>
        <v>2.0641522396128082E+32</v>
      </c>
      <c r="K133" s="79">
        <f t="shared" si="31"/>
        <v>8.2476505920823213E+90</v>
      </c>
      <c r="L133" s="79">
        <f t="shared" si="33"/>
        <v>3.6456803861632521</v>
      </c>
      <c r="M133" s="79">
        <f t="shared" si="34"/>
        <v>9.1241005544482389E-59</v>
      </c>
      <c r="N133" s="79">
        <f t="shared" si="35"/>
        <v>6.6213851246816368E-59</v>
      </c>
      <c r="O133" s="78">
        <f t="shared" si="32"/>
        <v>0.7257027786101653</v>
      </c>
    </row>
    <row r="134" spans="2:15" x14ac:dyDescent="0.25">
      <c r="B134" s="15">
        <v>131</v>
      </c>
      <c r="C134" s="15">
        <v>1</v>
      </c>
      <c r="D134" s="80">
        <f t="shared" si="25"/>
        <v>3.6586145859569495E+32</v>
      </c>
      <c r="E134" s="80">
        <f t="shared" si="26"/>
        <v>6.6877449514990335E+91</v>
      </c>
      <c r="F134" s="15">
        <f t="shared" si="27"/>
        <v>1</v>
      </c>
      <c r="G134" s="4">
        <f t="shared" si="28"/>
        <v>5.4706251696050169E-60</v>
      </c>
      <c r="H134" s="76">
        <v>0.01</v>
      </c>
      <c r="I134" s="15">
        <f t="shared" si="29"/>
        <v>1.01</v>
      </c>
      <c r="J134" s="79">
        <f t="shared" si="30"/>
        <v>3.6586145859569495E+32</v>
      </c>
      <c r="K134" s="79">
        <f t="shared" si="31"/>
        <v>6.6877449514990335E+91</v>
      </c>
      <c r="L134" s="79">
        <f t="shared" si="33"/>
        <v>3.6821371900248843</v>
      </c>
      <c r="M134" s="79">
        <f t="shared" si="34"/>
        <v>2.0143592389688824E-59</v>
      </c>
      <c r="N134" s="79">
        <f t="shared" si="35"/>
        <v>1.4672967220083807E-59</v>
      </c>
      <c r="O134" s="78">
        <f t="shared" si="32"/>
        <v>0.72841859268333187</v>
      </c>
    </row>
    <row r="135" spans="2:15" x14ac:dyDescent="0.25">
      <c r="B135" s="15">
        <v>132</v>
      </c>
      <c r="C135" s="15">
        <v>1</v>
      </c>
      <c r="D135" s="80">
        <f t="shared" si="25"/>
        <v>6.484725511858517E+32</v>
      </c>
      <c r="E135" s="80">
        <f t="shared" si="26"/>
        <v>5.4434493907744562E+92</v>
      </c>
      <c r="F135" s="15">
        <f t="shared" si="27"/>
        <v>1</v>
      </c>
      <c r="G135" s="4">
        <f t="shared" si="28"/>
        <v>1.1912897588152125E-60</v>
      </c>
      <c r="H135" s="76">
        <v>0.01</v>
      </c>
      <c r="I135" s="15">
        <f t="shared" si="29"/>
        <v>1.01</v>
      </c>
      <c r="J135" s="79">
        <f t="shared" si="30"/>
        <v>6.484725511858517E+32</v>
      </c>
      <c r="K135" s="79">
        <f t="shared" si="31"/>
        <v>5.4434493907744562E+92</v>
      </c>
      <c r="L135" s="79">
        <f t="shared" si="33"/>
        <v>3.7189585619251337</v>
      </c>
      <c r="M135" s="79">
        <f t="shared" si="34"/>
        <v>4.430357248279562E-60</v>
      </c>
      <c r="N135" s="79">
        <f t="shared" si="35"/>
        <v>3.2390674894643492E-60</v>
      </c>
      <c r="O135" s="78">
        <f t="shared" si="32"/>
        <v>0.73110751750824932</v>
      </c>
    </row>
    <row r="136" spans="2:15" x14ac:dyDescent="0.25">
      <c r="B136" s="15">
        <v>133</v>
      </c>
      <c r="C136" s="15">
        <v>1</v>
      </c>
      <c r="D136" s="80">
        <f t="shared" si="25"/>
        <v>1.1493876705558824E+33</v>
      </c>
      <c r="E136" s="80">
        <f t="shared" si="26"/>
        <v>4.4473503927470544E+93</v>
      </c>
      <c r="F136" s="15">
        <f t="shared" si="27"/>
        <v>1</v>
      </c>
      <c r="G136" s="4">
        <f t="shared" si="28"/>
        <v>2.5844324576501937E-61</v>
      </c>
      <c r="H136" s="76">
        <v>0.01</v>
      </c>
      <c r="I136" s="15">
        <f t="shared" si="29"/>
        <v>1.01</v>
      </c>
      <c r="J136" s="79">
        <f t="shared" si="30"/>
        <v>1.1493876705558824E+33</v>
      </c>
      <c r="K136" s="79">
        <f t="shared" si="31"/>
        <v>4.4473503927470544E+93</v>
      </c>
      <c r="L136" s="79">
        <f t="shared" si="33"/>
        <v>3.7561481475443843</v>
      </c>
      <c r="M136" s="79">
        <f t="shared" si="34"/>
        <v>9.7075111882563554E-61</v>
      </c>
      <c r="N136" s="79">
        <f t="shared" si="35"/>
        <v>7.1230787306061613E-61</v>
      </c>
      <c r="O136" s="78">
        <f t="shared" si="32"/>
        <v>0.73376981931509833</v>
      </c>
    </row>
    <row r="137" spans="2:15" x14ac:dyDescent="0.25">
      <c r="B137" s="15">
        <v>134</v>
      </c>
      <c r="C137" s="15">
        <v>1</v>
      </c>
      <c r="D137" s="80">
        <f t="shared" si="25"/>
        <v>2.0372366028601027E+33</v>
      </c>
      <c r="E137" s="80">
        <f t="shared" si="26"/>
        <v>3.6471110918189461E+94</v>
      </c>
      <c r="F137" s="15">
        <f t="shared" si="27"/>
        <v>1</v>
      </c>
      <c r="G137" s="4">
        <f t="shared" si="28"/>
        <v>5.5858912755083073E-62</v>
      </c>
      <c r="H137" s="76">
        <v>0.01</v>
      </c>
      <c r="I137" s="15">
        <f t="shared" si="29"/>
        <v>1.01</v>
      </c>
      <c r="J137" s="79">
        <f t="shared" si="30"/>
        <v>2.0372366028601027E+33</v>
      </c>
      <c r="K137" s="79">
        <f t="shared" si="31"/>
        <v>3.6471110918189461E+94</v>
      </c>
      <c r="L137" s="79">
        <f t="shared" si="33"/>
        <v>3.7937096290198289</v>
      </c>
      <c r="M137" s="79">
        <f t="shared" si="34"/>
        <v>2.1191249518553718E-61</v>
      </c>
      <c r="N137" s="79">
        <f t="shared" si="35"/>
        <v>1.560535824304541E-61</v>
      </c>
      <c r="O137" s="78">
        <f t="shared" si="32"/>
        <v>0.73640576169811722</v>
      </c>
    </row>
    <row r="138" spans="2:15" x14ac:dyDescent="0.25">
      <c r="B138" s="15">
        <v>135</v>
      </c>
      <c r="C138" s="15">
        <v>1</v>
      </c>
      <c r="D138" s="80">
        <f t="shared" si="25"/>
        <v>3.6109078619450478E+33</v>
      </c>
      <c r="E138" s="80">
        <f t="shared" si="26"/>
        <v>3.0019615151042864E+95</v>
      </c>
      <c r="F138" s="15">
        <f t="shared" si="27"/>
        <v>1</v>
      </c>
      <c r="G138" s="4">
        <f t="shared" si="28"/>
        <v>1.2028494848374519E-62</v>
      </c>
      <c r="H138" s="76">
        <v>0.01</v>
      </c>
      <c r="I138" s="15">
        <f t="shared" si="29"/>
        <v>1.01</v>
      </c>
      <c r="J138" s="79">
        <f t="shared" si="30"/>
        <v>3.6109078619450478E+33</v>
      </c>
      <c r="K138" s="79">
        <f t="shared" si="31"/>
        <v>3.0019615151042864E+95</v>
      </c>
      <c r="L138" s="79">
        <f t="shared" si="33"/>
        <v>3.8316467253100264</v>
      </c>
      <c r="M138" s="79">
        <f t="shared" si="34"/>
        <v>4.6088942896182747E-62</v>
      </c>
      <c r="N138" s="79">
        <f t="shared" si="35"/>
        <v>3.4060448047808228E-62</v>
      </c>
      <c r="O138" s="78">
        <f t="shared" si="32"/>
        <v>0.73901560564170021</v>
      </c>
    </row>
    <row r="139" spans="2:15" x14ac:dyDescent="0.25">
      <c r="B139" s="15">
        <v>136</v>
      </c>
      <c r="C139" s="15">
        <v>1</v>
      </c>
      <c r="D139" s="80">
        <f t="shared" si="25"/>
        <v>6.4001675451695268E+33</v>
      </c>
      <c r="E139" s="80">
        <f t="shared" si="26"/>
        <v>2.4800355424368993E+96</v>
      </c>
      <c r="F139" s="15">
        <f t="shared" si="27"/>
        <v>1</v>
      </c>
      <c r="G139" s="4">
        <f t="shared" si="28"/>
        <v>2.5806757345423689E-63</v>
      </c>
      <c r="H139" s="76">
        <v>0.01</v>
      </c>
      <c r="I139" s="15">
        <f t="shared" si="29"/>
        <v>1.01</v>
      </c>
      <c r="J139" s="79">
        <f t="shared" si="30"/>
        <v>6.4001675451695268E+33</v>
      </c>
      <c r="K139" s="79">
        <f t="shared" si="31"/>
        <v>2.4800355424368993E+96</v>
      </c>
      <c r="L139" s="79">
        <f t="shared" si="33"/>
        <v>3.8699631925631275</v>
      </c>
      <c r="M139" s="79">
        <f t="shared" si="34"/>
        <v>9.9871201046197802E-63</v>
      </c>
      <c r="N139" s="79">
        <f t="shared" si="35"/>
        <v>7.4064443700774113E-63</v>
      </c>
      <c r="O139" s="78">
        <f t="shared" si="32"/>
        <v>0.74159960954623783</v>
      </c>
    </row>
    <row r="140" spans="2:15" x14ac:dyDescent="0.25">
      <c r="B140" s="15">
        <v>137</v>
      </c>
      <c r="C140" s="15">
        <v>1</v>
      </c>
      <c r="D140" s="80">
        <f t="shared" si="25"/>
        <v>1.1344001611876198E+34</v>
      </c>
      <c r="E140" s="80">
        <f t="shared" si="26"/>
        <v>2.0563436378464381E+97</v>
      </c>
      <c r="F140" s="15">
        <f t="shared" si="27"/>
        <v>1</v>
      </c>
      <c r="G140" s="4">
        <f t="shared" si="28"/>
        <v>5.5165884743643882E-64</v>
      </c>
      <c r="H140" s="76">
        <v>0.01</v>
      </c>
      <c r="I140" s="15">
        <f t="shared" si="29"/>
        <v>1.01</v>
      </c>
      <c r="J140" s="79">
        <f t="shared" si="30"/>
        <v>1.1344001611876198E+34</v>
      </c>
      <c r="K140" s="79">
        <f t="shared" si="31"/>
        <v>2.0563436378464381E+97</v>
      </c>
      <c r="L140" s="79">
        <f t="shared" si="33"/>
        <v>3.9086628244887591</v>
      </c>
      <c r="M140" s="79">
        <f t="shared" si="34"/>
        <v>2.1562484287751243E-63</v>
      </c>
      <c r="N140" s="79">
        <f t="shared" si="35"/>
        <v>1.6045895813386855E-63</v>
      </c>
      <c r="O140" s="78">
        <f t="shared" si="32"/>
        <v>0.74415802925370089</v>
      </c>
    </row>
    <row r="141" spans="2:15" x14ac:dyDescent="0.25">
      <c r="B141" s="15">
        <v>138</v>
      </c>
      <c r="C141" s="15">
        <v>1</v>
      </c>
      <c r="D141" s="80">
        <f t="shared" si="25"/>
        <v>2.0106719341648403E+34</v>
      </c>
      <c r="E141" s="80">
        <f t="shared" si="26"/>
        <v>1.7112245242814685E+98</v>
      </c>
      <c r="F141" s="15">
        <f t="shared" si="27"/>
        <v>1</v>
      </c>
      <c r="G141" s="4">
        <f t="shared" si="28"/>
        <v>1.1749901346283636E-64</v>
      </c>
      <c r="H141" s="76">
        <v>0.01</v>
      </c>
      <c r="I141" s="15">
        <f t="shared" si="29"/>
        <v>1.01</v>
      </c>
      <c r="J141" s="79">
        <f t="shared" si="30"/>
        <v>2.0106719341648403E+34</v>
      </c>
      <c r="K141" s="79">
        <f t="shared" si="31"/>
        <v>1.7112245242814685E+98</v>
      </c>
      <c r="L141" s="79">
        <f t="shared" si="33"/>
        <v>3.947749452733647</v>
      </c>
      <c r="M141" s="79">
        <f t="shared" si="34"/>
        <v>4.6385666609465567E-64</v>
      </c>
      <c r="N141" s="79">
        <f t="shared" si="35"/>
        <v>3.4635765263181929E-64</v>
      </c>
      <c r="O141" s="78">
        <f t="shared" si="32"/>
        <v>0.74669111807297117</v>
      </c>
    </row>
    <row r="142" spans="2:15" x14ac:dyDescent="0.25">
      <c r="B142" s="15">
        <v>139</v>
      </c>
      <c r="C142" s="15">
        <v>1</v>
      </c>
      <c r="D142" s="80">
        <f t="shared" si="25"/>
        <v>3.5638232126181057E+34</v>
      </c>
      <c r="E142" s="80">
        <f t="shared" si="26"/>
        <v>1.4291588283032485E+99</v>
      </c>
      <c r="F142" s="15">
        <f t="shared" si="27"/>
        <v>1</v>
      </c>
      <c r="G142" s="4">
        <f t="shared" si="28"/>
        <v>2.4936509099196565E-65</v>
      </c>
      <c r="H142" s="76">
        <v>0.01</v>
      </c>
      <c r="I142" s="15">
        <f t="shared" si="29"/>
        <v>1.01</v>
      </c>
      <c r="J142" s="79">
        <f t="shared" si="30"/>
        <v>3.5638232126181057E+34</v>
      </c>
      <c r="K142" s="79">
        <f t="shared" si="31"/>
        <v>1.4291588283032485E+99</v>
      </c>
      <c r="L142" s="79">
        <f t="shared" si="33"/>
        <v>3.9872269472609827</v>
      </c>
      <c r="M142" s="79">
        <f t="shared" si="34"/>
        <v>9.9427521050935236E-65</v>
      </c>
      <c r="N142" s="79">
        <f t="shared" si="35"/>
        <v>7.4491011951738667E-65</v>
      </c>
      <c r="O142" s="78">
        <f t="shared" si="32"/>
        <v>0.74919912680492184</v>
      </c>
    </row>
    <row r="143" spans="2:15" x14ac:dyDescent="0.25">
      <c r="B143" s="15">
        <v>140</v>
      </c>
      <c r="C143" s="15">
        <v>1</v>
      </c>
      <c r="D143" s="80">
        <f t="shared" si="25"/>
        <v>6.316712177151443E+34</v>
      </c>
      <c r="E143" s="80">
        <f t="shared" si="26"/>
        <v>1.1978571669969593E+100</v>
      </c>
      <c r="F143" s="15">
        <f t="shared" si="27"/>
        <v>1</v>
      </c>
      <c r="G143" s="4">
        <f t="shared" si="28"/>
        <v>5.2733433928416588E-66</v>
      </c>
      <c r="H143" s="76">
        <v>0.01</v>
      </c>
      <c r="I143" s="15">
        <f t="shared" si="29"/>
        <v>1.01</v>
      </c>
      <c r="J143" s="79">
        <f t="shared" si="30"/>
        <v>6.316712177151443E+34</v>
      </c>
      <c r="K143" s="79">
        <f t="shared" si="31"/>
        <v>1.1978571669969593E+100</v>
      </c>
      <c r="L143" s="79">
        <f t="shared" si="33"/>
        <v>4.0270992167335926</v>
      </c>
      <c r="M143" s="79">
        <f t="shared" si="34"/>
        <v>2.1236277046879913E-65</v>
      </c>
      <c r="N143" s="79">
        <f t="shared" si="35"/>
        <v>1.5962933654038254E-65</v>
      </c>
      <c r="O143" s="78">
        <f t="shared" si="32"/>
        <v>0.75168230376724943</v>
      </c>
    </row>
    <row r="144" spans="2:15" x14ac:dyDescent="0.25">
      <c r="B144" s="15">
        <v>141</v>
      </c>
      <c r="C144" s="15">
        <v>1</v>
      </c>
      <c r="D144" s="80">
        <f t="shared" si="25"/>
        <v>1.1196080823453825E+35</v>
      </c>
      <c r="E144" s="80">
        <f t="shared" si="26"/>
        <v>1.0075569739537903E+101</v>
      </c>
      <c r="F144" s="15">
        <f t="shared" si="27"/>
        <v>1</v>
      </c>
      <c r="G144" s="4">
        <f t="shared" si="28"/>
        <v>1.1112106920880994E-66</v>
      </c>
      <c r="H144" s="76">
        <v>0.01</v>
      </c>
      <c r="I144" s="15">
        <f t="shared" si="29"/>
        <v>1.01</v>
      </c>
      <c r="J144" s="79">
        <f t="shared" si="30"/>
        <v>1.1196080823453825E+35</v>
      </c>
      <c r="K144" s="79">
        <f t="shared" si="31"/>
        <v>1.0075569739537903E+101</v>
      </c>
      <c r="L144" s="79">
        <f t="shared" si="33"/>
        <v>4.0673702089009289</v>
      </c>
      <c r="M144" s="79">
        <f t="shared" si="34"/>
        <v>4.5197052648113186E-66</v>
      </c>
      <c r="N144" s="79">
        <f t="shared" si="35"/>
        <v>3.4084945727232191E-66</v>
      </c>
      <c r="O144" s="78">
        <f t="shared" si="32"/>
        <v>0.75414089481905888</v>
      </c>
    </row>
    <row r="145" spans="2:15" x14ac:dyDescent="0.25">
      <c r="B145" s="15">
        <v>142</v>
      </c>
      <c r="C145" s="15">
        <v>1</v>
      </c>
      <c r="D145" s="80">
        <f t="shared" si="25"/>
        <v>1.9844536570580161E+35</v>
      </c>
      <c r="E145" s="80">
        <f t="shared" si="26"/>
        <v>8.5047858856785845E+101</v>
      </c>
      <c r="F145" s="15">
        <f t="shared" si="27"/>
        <v>1</v>
      </c>
      <c r="G145" s="4">
        <f t="shared" si="28"/>
        <v>2.3333375863108861E-67</v>
      </c>
      <c r="H145" s="76">
        <v>0.01</v>
      </c>
      <c r="I145" s="15">
        <f t="shared" si="29"/>
        <v>1.01</v>
      </c>
      <c r="J145" s="79">
        <f t="shared" si="30"/>
        <v>1.9844536570580161E+35</v>
      </c>
      <c r="K145" s="79">
        <f t="shared" si="31"/>
        <v>8.5047858856785845E+101</v>
      </c>
      <c r="L145" s="79">
        <f t="shared" si="33"/>
        <v>4.108043910989938</v>
      </c>
      <c r="M145" s="79">
        <f t="shared" si="34"/>
        <v>9.5854532637283947E-67</v>
      </c>
      <c r="N145" s="79">
        <f t="shared" si="35"/>
        <v>7.2521156774175086E-67</v>
      </c>
      <c r="O145" s="78">
        <f t="shared" si="32"/>
        <v>0.75657514338520682</v>
      </c>
    </row>
    <row r="146" spans="2:15" x14ac:dyDescent="0.25">
      <c r="B146" s="15">
        <v>143</v>
      </c>
      <c r="C146" s="15">
        <v>1</v>
      </c>
      <c r="D146" s="80">
        <f t="shared" si="25"/>
        <v>3.5173525263960118E+35</v>
      </c>
      <c r="E146" s="80">
        <f t="shared" si="26"/>
        <v>7.2040323637696994E+102</v>
      </c>
      <c r="F146" s="15">
        <f t="shared" si="27"/>
        <v>1</v>
      </c>
      <c r="G146" s="4">
        <f t="shared" si="28"/>
        <v>4.8824774081879121E-68</v>
      </c>
      <c r="H146" s="76">
        <v>0.01</v>
      </c>
      <c r="I146" s="15">
        <f t="shared" si="29"/>
        <v>1.01</v>
      </c>
      <c r="J146" s="79">
        <f t="shared" si="30"/>
        <v>3.5173525263960118E+35</v>
      </c>
      <c r="K146" s="79">
        <f t="shared" si="31"/>
        <v>7.2040323637696994E+102</v>
      </c>
      <c r="L146" s="79">
        <f t="shared" si="33"/>
        <v>4.1491243500998367</v>
      </c>
      <c r="M146" s="79">
        <f t="shared" si="34"/>
        <v>2.0258005903124803E-67</v>
      </c>
      <c r="N146" s="79">
        <f t="shared" si="35"/>
        <v>1.537552849493689E-67</v>
      </c>
      <c r="O146" s="78">
        <f t="shared" si="32"/>
        <v>0.75898529048040264</v>
      </c>
    </row>
    <row r="147" spans="2:15" x14ac:dyDescent="0.25">
      <c r="B147" s="15">
        <v>144</v>
      </c>
      <c r="C147" s="15">
        <v>1</v>
      </c>
      <c r="D147" s="80">
        <f t="shared" si="25"/>
        <v>6.234345030402862E+35</v>
      </c>
      <c r="E147" s="80">
        <f t="shared" si="26"/>
        <v>6.1234458376887604E+103</v>
      </c>
      <c r="F147" s="15">
        <f t="shared" si="27"/>
        <v>1</v>
      </c>
      <c r="G147" s="4">
        <f t="shared" si="28"/>
        <v>1.0181105860415285E-68</v>
      </c>
      <c r="H147" s="76">
        <v>0.01</v>
      </c>
      <c r="I147" s="15">
        <f t="shared" si="29"/>
        <v>1.01</v>
      </c>
      <c r="J147" s="79">
        <f t="shared" si="30"/>
        <v>6.234345030402862E+35</v>
      </c>
      <c r="K147" s="79">
        <f t="shared" si="31"/>
        <v>6.1234458376887604E+103</v>
      </c>
      <c r="L147" s="79">
        <f t="shared" si="33"/>
        <v>4.1906155936008362</v>
      </c>
      <c r="M147" s="79">
        <f t="shared" si="34"/>
        <v>4.2665100978757151E-68</v>
      </c>
      <c r="N147" s="79">
        <f t="shared" si="35"/>
        <v>3.2483995118341866E-68</v>
      </c>
      <c r="O147" s="78">
        <f t="shared" si="32"/>
        <v>0.76137157473307204</v>
      </c>
    </row>
    <row r="148" spans="2:15" x14ac:dyDescent="0.25">
      <c r="B148" s="15">
        <v>145</v>
      </c>
      <c r="C148" s="15">
        <v>1</v>
      </c>
      <c r="D148" s="80">
        <f t="shared" si="25"/>
        <v>1.1050088857011218E+36</v>
      </c>
      <c r="E148" s="80">
        <f t="shared" si="26"/>
        <v>5.2229234637328917E+104</v>
      </c>
      <c r="F148" s="15">
        <f t="shared" si="27"/>
        <v>1</v>
      </c>
      <c r="G148" s="4">
        <f t="shared" si="28"/>
        <v>2.1156903664664417E-69</v>
      </c>
      <c r="H148" s="76">
        <v>0.01</v>
      </c>
      <c r="I148" s="15">
        <f t="shared" si="29"/>
        <v>1.01</v>
      </c>
      <c r="J148" s="79">
        <f t="shared" si="30"/>
        <v>1.1050088857011218E+36</v>
      </c>
      <c r="K148" s="79">
        <f t="shared" si="31"/>
        <v>5.2229234637328917E+104</v>
      </c>
      <c r="L148" s="79">
        <f t="shared" si="33"/>
        <v>4.2325217495368452</v>
      </c>
      <c r="M148" s="79">
        <f t="shared" si="34"/>
        <v>8.9547054913547927E-69</v>
      </c>
      <c r="N148" s="79">
        <f t="shared" si="35"/>
        <v>6.8390151248883515E-69</v>
      </c>
      <c r="O148" s="78">
        <f t="shared" si="32"/>
        <v>0.76373423240898231</v>
      </c>
    </row>
    <row r="149" spans="2:15" x14ac:dyDescent="0.25">
      <c r="B149" s="15">
        <v>146</v>
      </c>
      <c r="C149" s="15">
        <v>1</v>
      </c>
      <c r="D149" s="80">
        <f t="shared" si="25"/>
        <v>1.9585772547457666E+36</v>
      </c>
      <c r="E149" s="80">
        <f t="shared" si="26"/>
        <v>4.470115461512771E+105</v>
      </c>
      <c r="F149" s="15">
        <f t="shared" si="27"/>
        <v>1</v>
      </c>
      <c r="G149" s="4">
        <f t="shared" si="28"/>
        <v>4.381491421438468E-70</v>
      </c>
      <c r="H149" s="76">
        <v>0.01</v>
      </c>
      <c r="I149" s="15">
        <f t="shared" si="29"/>
        <v>1.01</v>
      </c>
      <c r="J149" s="79">
        <f t="shared" si="30"/>
        <v>1.9585772547457666E+36</v>
      </c>
      <c r="K149" s="79">
        <f t="shared" si="31"/>
        <v>4.470115461512771E+105</v>
      </c>
      <c r="L149" s="79">
        <f t="shared" si="33"/>
        <v>4.2748469670322136</v>
      </c>
      <c r="M149" s="79">
        <f t="shared" si="34"/>
        <v>1.8730205314013899E-69</v>
      </c>
      <c r="N149" s="79">
        <f t="shared" si="35"/>
        <v>1.434871389257543E-69</v>
      </c>
      <c r="O149" s="78">
        <f t="shared" si="32"/>
        <v>0.76607349743463593</v>
      </c>
    </row>
    <row r="150" spans="2:15" x14ac:dyDescent="0.25">
      <c r="B150" s="15">
        <v>147</v>
      </c>
      <c r="C150" s="15">
        <v>1</v>
      </c>
      <c r="D150" s="80">
        <f t="shared" ref="D150:D213" si="36">PI()^(B150/2)</f>
        <v>3.47148779747009E+36</v>
      </c>
      <c r="E150" s="80">
        <f t="shared" ref="E150:E213" si="37">EXP(_xlfn.GAMMALN.PRECISE((B150/2)+1))</f>
        <v>3.8388487458436192E+106</v>
      </c>
      <c r="F150" s="15">
        <f t="shared" ref="F150:F213" si="38">C150^B150</f>
        <v>1</v>
      </c>
      <c r="G150" s="4">
        <f t="shared" ref="G150:G213" si="39">D150*F150/E150</f>
        <v>9.043043962669077E-71</v>
      </c>
      <c r="H150" s="76">
        <v>0.01</v>
      </c>
      <c r="I150" s="15">
        <f t="shared" ref="I150:I213" si="40">C150+(H150*C150)</f>
        <v>1.01</v>
      </c>
      <c r="J150" s="79">
        <f t="shared" ref="J150:J213" si="41">PI()^(B150/2)</f>
        <v>3.47148779747009E+36</v>
      </c>
      <c r="K150" s="79">
        <f t="shared" ref="K150:K213" si="42">EXP(_xlfn.GAMMALN.PRECISE((B150/2)+1))</f>
        <v>3.8388487458436192E+106</v>
      </c>
      <c r="L150" s="79">
        <f t="shared" si="33"/>
        <v>4.3175954367025344</v>
      </c>
      <c r="M150" s="79">
        <f t="shared" si="34"/>
        <v>3.9044205347120413E-70</v>
      </c>
      <c r="N150" s="79">
        <f t="shared" si="35"/>
        <v>3.0001161384451337E-70</v>
      </c>
      <c r="O150" s="78">
        <f t="shared" ref="O150:O213" si="43">N150/M150</f>
        <v>0.76838960142043156</v>
      </c>
    </row>
    <row r="151" spans="2:15" x14ac:dyDescent="0.25">
      <c r="B151" s="15">
        <v>148</v>
      </c>
      <c r="C151" s="15">
        <v>1</v>
      </c>
      <c r="D151" s="80">
        <f t="shared" si="36"/>
        <v>6.1530519149973653E+36</v>
      </c>
      <c r="E151" s="80">
        <f t="shared" si="37"/>
        <v>3.3078854415192728E+107</v>
      </c>
      <c r="F151" s="15">
        <f t="shared" si="38"/>
        <v>1</v>
      </c>
      <c r="G151" s="4">
        <f t="shared" si="39"/>
        <v>1.8601163866700718E-71</v>
      </c>
      <c r="H151" s="76">
        <v>0.01</v>
      </c>
      <c r="I151" s="15">
        <f t="shared" si="40"/>
        <v>1.01</v>
      </c>
      <c r="J151" s="79">
        <f t="shared" si="41"/>
        <v>6.1530519149973653E+36</v>
      </c>
      <c r="K151" s="79">
        <f t="shared" si="42"/>
        <v>3.3078854415192728E+107</v>
      </c>
      <c r="L151" s="79">
        <f t="shared" si="33"/>
        <v>4.3607713910695605</v>
      </c>
      <c r="M151" s="79">
        <f t="shared" si="34"/>
        <v>8.1115423230505351E-71</v>
      </c>
      <c r="N151" s="79">
        <f t="shared" si="35"/>
        <v>6.2514259363804629E-71</v>
      </c>
      <c r="O151" s="78">
        <f t="shared" si="43"/>
        <v>0.77068277368359561</v>
      </c>
    </row>
    <row r="152" spans="2:15" x14ac:dyDescent="0.25">
      <c r="B152" s="15">
        <v>149</v>
      </c>
      <c r="C152" s="15">
        <v>1</v>
      </c>
      <c r="D152" s="80">
        <f t="shared" si="36"/>
        <v>1.0906000561558653E+37</v>
      </c>
      <c r="E152" s="80">
        <f t="shared" si="37"/>
        <v>2.859942315653621E+108</v>
      </c>
      <c r="F152" s="15">
        <f t="shared" si="38"/>
        <v>1</v>
      </c>
      <c r="G152" s="4">
        <f t="shared" si="39"/>
        <v>3.8133638227126823E-72</v>
      </c>
      <c r="H152" s="76">
        <v>0.01</v>
      </c>
      <c r="I152" s="15">
        <f t="shared" si="40"/>
        <v>1.01</v>
      </c>
      <c r="J152" s="79">
        <f t="shared" si="41"/>
        <v>1.0906000561558653E+37</v>
      </c>
      <c r="K152" s="79">
        <f t="shared" si="42"/>
        <v>2.859942315653621E+108</v>
      </c>
      <c r="L152" s="79">
        <f t="shared" si="33"/>
        <v>4.4043791049802552</v>
      </c>
      <c r="M152" s="79">
        <f t="shared" si="34"/>
        <v>1.6795499940443367E-71</v>
      </c>
      <c r="N152" s="79">
        <f t="shared" si="35"/>
        <v>1.2982136117730685E-71</v>
      </c>
      <c r="O152" s="78">
        <f t="shared" si="43"/>
        <v>0.77295324127088672</v>
      </c>
    </row>
    <row r="153" spans="2:15" x14ac:dyDescent="0.25">
      <c r="B153" s="15">
        <v>150</v>
      </c>
      <c r="C153" s="15">
        <v>1</v>
      </c>
      <c r="D153" s="80">
        <f t="shared" si="36"/>
        <v>1.9330382693312334E+37</v>
      </c>
      <c r="E153" s="80">
        <f t="shared" si="37"/>
        <v>2.4809140811395329E+109</v>
      </c>
      <c r="F153" s="15">
        <f t="shared" si="38"/>
        <v>1</v>
      </c>
      <c r="G153" s="4">
        <f t="shared" si="39"/>
        <v>7.7916373002460074E-73</v>
      </c>
      <c r="H153" s="76">
        <v>0.01</v>
      </c>
      <c r="I153" s="15">
        <f t="shared" si="40"/>
        <v>1.01</v>
      </c>
      <c r="J153" s="79">
        <f t="shared" si="41"/>
        <v>1.9330382693312334E+37</v>
      </c>
      <c r="K153" s="79">
        <f t="shared" si="42"/>
        <v>2.4809140811395329E+109</v>
      </c>
      <c r="L153" s="79">
        <f t="shared" si="33"/>
        <v>4.4484228960300589</v>
      </c>
      <c r="M153" s="79">
        <f t="shared" si="34"/>
        <v>3.4660497763976176E-72</v>
      </c>
      <c r="N153" s="79">
        <f t="shared" si="35"/>
        <v>2.6868860463730167E-72</v>
      </c>
      <c r="O153" s="78">
        <f t="shared" si="43"/>
        <v>0.77520122898107602</v>
      </c>
    </row>
    <row r="154" spans="2:15" x14ac:dyDescent="0.25">
      <c r="B154" s="15">
        <v>151</v>
      </c>
      <c r="C154" s="15">
        <v>1</v>
      </c>
      <c r="D154" s="80">
        <f t="shared" si="36"/>
        <v>3.4262211244238848E+37</v>
      </c>
      <c r="E154" s="80">
        <f t="shared" si="37"/>
        <v>2.1592564483184432E+110</v>
      </c>
      <c r="F154" s="15">
        <f t="shared" si="38"/>
        <v>1</v>
      </c>
      <c r="G154" s="4">
        <f t="shared" si="39"/>
        <v>1.586759704754899E-73</v>
      </c>
      <c r="H154" s="76">
        <v>0.01</v>
      </c>
      <c r="I154" s="15">
        <f t="shared" si="40"/>
        <v>1.01</v>
      </c>
      <c r="J154" s="79">
        <f t="shared" si="41"/>
        <v>3.4262211244238848E+37</v>
      </c>
      <c r="K154" s="79">
        <f t="shared" si="42"/>
        <v>2.1592564483184432E+110</v>
      </c>
      <c r="L154" s="79">
        <f t="shared" si="33"/>
        <v>4.4929071249903592</v>
      </c>
      <c r="M154" s="79">
        <f t="shared" si="34"/>
        <v>7.1291639831408839E-73</v>
      </c>
      <c r="N154" s="79">
        <f t="shared" si="35"/>
        <v>5.5424042783859852E-73</v>
      </c>
      <c r="O154" s="78">
        <f t="shared" si="43"/>
        <v>0.77742695938720396</v>
      </c>
    </row>
    <row r="155" spans="2:15" x14ac:dyDescent="0.25">
      <c r="B155" s="15">
        <v>152</v>
      </c>
      <c r="C155" s="15">
        <v>1</v>
      </c>
      <c r="D155" s="80">
        <f t="shared" si="36"/>
        <v>6.0728188260389301E+37</v>
      </c>
      <c r="E155" s="80">
        <f t="shared" si="37"/>
        <v>1.8854947016660685E+111</v>
      </c>
      <c r="F155" s="15">
        <f t="shared" si="38"/>
        <v>1</v>
      </c>
      <c r="G155" s="4">
        <f t="shared" si="39"/>
        <v>3.2208092765643103E-74</v>
      </c>
      <c r="H155" s="76">
        <v>0.01</v>
      </c>
      <c r="I155" s="15">
        <f t="shared" si="40"/>
        <v>1.01</v>
      </c>
      <c r="J155" s="79">
        <f t="shared" si="41"/>
        <v>6.0728188260389301E+37</v>
      </c>
      <c r="K155" s="79">
        <f t="shared" si="42"/>
        <v>1.8854947016660685E+111</v>
      </c>
      <c r="L155" s="79">
        <f t="shared" ref="L155:L218" si="44">I155^B155</f>
        <v>4.5378361962402636</v>
      </c>
      <c r="M155" s="79">
        <f t="shared" ref="M155:M218" si="45">J155*L155/K155</f>
        <v>1.4615504916379944E-73</v>
      </c>
      <c r="N155" s="79">
        <f t="shared" ref="N155:N218" si="46">M155-G155</f>
        <v>1.1394695639815633E-73</v>
      </c>
      <c r="O155" s="78">
        <f t="shared" si="43"/>
        <v>0.77963065285861777</v>
      </c>
    </row>
    <row r="156" spans="2:15" x14ac:dyDescent="0.25">
      <c r="B156" s="15">
        <v>153</v>
      </c>
      <c r="C156" s="15">
        <v>1</v>
      </c>
      <c r="D156" s="80">
        <f t="shared" si="36"/>
        <v>1.0763791114064245E+38</v>
      </c>
      <c r="E156" s="80">
        <f t="shared" si="37"/>
        <v>1.6518311829636027E+112</v>
      </c>
      <c r="F156" s="15">
        <f t="shared" si="38"/>
        <v>1</v>
      </c>
      <c r="G156" s="4">
        <f t="shared" si="39"/>
        <v>6.5162779496344093E-75</v>
      </c>
      <c r="H156" s="76">
        <v>0.01</v>
      </c>
      <c r="I156" s="15">
        <f t="shared" si="40"/>
        <v>1.01</v>
      </c>
      <c r="J156" s="79">
        <f t="shared" si="41"/>
        <v>1.0763791114064245E+38</v>
      </c>
      <c r="K156" s="79">
        <f t="shared" si="42"/>
        <v>1.6518311829636027E+112</v>
      </c>
      <c r="L156" s="79">
        <f t="shared" si="44"/>
        <v>4.5832145582026671</v>
      </c>
      <c r="M156" s="79">
        <f t="shared" si="45"/>
        <v>2.986549996405945E-74</v>
      </c>
      <c r="N156" s="79">
        <f t="shared" si="46"/>
        <v>2.3349222014425042E-74</v>
      </c>
      <c r="O156" s="78">
        <f t="shared" si="43"/>
        <v>0.78181252758278996</v>
      </c>
    </row>
    <row r="157" spans="2:15" x14ac:dyDescent="0.25">
      <c r="B157" s="15">
        <v>154</v>
      </c>
      <c r="C157" s="15">
        <v>1</v>
      </c>
      <c r="D157" s="80">
        <f t="shared" si="36"/>
        <v>1.9078323010465696E+38</v>
      </c>
      <c r="E157" s="80">
        <f t="shared" si="37"/>
        <v>1.4518309202828782E+113</v>
      </c>
      <c r="F157" s="15">
        <f t="shared" si="38"/>
        <v>1</v>
      </c>
      <c r="G157" s="4">
        <f t="shared" si="39"/>
        <v>1.3140871119309425E-75</v>
      </c>
      <c r="H157" s="76">
        <v>0.01</v>
      </c>
      <c r="I157" s="15">
        <f t="shared" si="40"/>
        <v>1.01</v>
      </c>
      <c r="J157" s="79">
        <f t="shared" si="41"/>
        <v>1.9078323010465696E+38</v>
      </c>
      <c r="K157" s="79">
        <f t="shared" si="42"/>
        <v>1.4518309202828782E+113</v>
      </c>
      <c r="L157" s="79">
        <f t="shared" si="44"/>
        <v>4.6290467037846934</v>
      </c>
      <c r="M157" s="79">
        <f t="shared" si="45"/>
        <v>6.0829706139698767E-75</v>
      </c>
      <c r="N157" s="79">
        <f t="shared" si="46"/>
        <v>4.7688835020389344E-75</v>
      </c>
      <c r="O157" s="78">
        <f t="shared" si="43"/>
        <v>0.78397279958692079</v>
      </c>
    </row>
    <row r="158" spans="2:15" x14ac:dyDescent="0.25">
      <c r="B158" s="15">
        <v>155</v>
      </c>
      <c r="C158" s="15">
        <v>1</v>
      </c>
      <c r="D158" s="80">
        <f t="shared" si="36"/>
        <v>3.3815447088719351E+38</v>
      </c>
      <c r="E158" s="80">
        <f t="shared" si="37"/>
        <v>1.2801691667968696E+114</v>
      </c>
      <c r="F158" s="15">
        <f t="shared" si="38"/>
        <v>1</v>
      </c>
      <c r="G158" s="4">
        <f t="shared" si="39"/>
        <v>2.6414827013315348E-76</v>
      </c>
      <c r="H158" s="76">
        <v>0.01</v>
      </c>
      <c r="I158" s="15">
        <f t="shared" si="40"/>
        <v>1.01</v>
      </c>
      <c r="J158" s="79">
        <f t="shared" si="41"/>
        <v>3.3815447088719351E+38</v>
      </c>
      <c r="K158" s="79">
        <f t="shared" si="42"/>
        <v>1.2801691667968696E+114</v>
      </c>
      <c r="L158" s="79">
        <f t="shared" si="44"/>
        <v>4.6753371708225391</v>
      </c>
      <c r="M158" s="79">
        <f t="shared" si="45"/>
        <v>1.2349822259620056E-75</v>
      </c>
      <c r="N158" s="79">
        <f t="shared" si="46"/>
        <v>9.7083395582885206E-76</v>
      </c>
      <c r="O158" s="78">
        <f t="shared" si="43"/>
        <v>0.7861116827593273</v>
      </c>
    </row>
    <row r="159" spans="2:15" x14ac:dyDescent="0.25">
      <c r="B159" s="15">
        <v>156</v>
      </c>
      <c r="C159" s="15">
        <v>1</v>
      </c>
      <c r="D159" s="80">
        <f t="shared" si="36"/>
        <v>5.9936319412492128E+38</v>
      </c>
      <c r="E159" s="80">
        <f t="shared" si="37"/>
        <v>1.1324281178206039E+115</v>
      </c>
      <c r="F159" s="15">
        <f t="shared" si="38"/>
        <v>1</v>
      </c>
      <c r="G159" s="4">
        <f t="shared" si="39"/>
        <v>5.2927261756659311E-77</v>
      </c>
      <c r="H159" s="76">
        <v>0.01</v>
      </c>
      <c r="I159" s="15">
        <f t="shared" si="40"/>
        <v>1.01</v>
      </c>
      <c r="J159" s="79">
        <f t="shared" si="41"/>
        <v>5.9936319412492128E+38</v>
      </c>
      <c r="K159" s="79">
        <f t="shared" si="42"/>
        <v>1.1324281178206039E+115</v>
      </c>
      <c r="L159" s="79">
        <f t="shared" si="44"/>
        <v>4.722090542530764</v>
      </c>
      <c r="M159" s="79">
        <f t="shared" si="45"/>
        <v>2.4992732218317111E-76</v>
      </c>
      <c r="N159" s="79">
        <f t="shared" si="46"/>
        <v>1.9700006042651181E-76</v>
      </c>
      <c r="O159" s="78">
        <f t="shared" si="43"/>
        <v>0.78822938887062122</v>
      </c>
    </row>
    <row r="160" spans="2:15" x14ac:dyDescent="0.25">
      <c r="B160" s="15">
        <v>157</v>
      </c>
      <c r="C160" s="15">
        <v>1</v>
      </c>
      <c r="D160" s="80">
        <f t="shared" si="36"/>
        <v>1.0623436015177514E+39</v>
      </c>
      <c r="E160" s="80">
        <f t="shared" si="37"/>
        <v>1.0049327959354582E+116</v>
      </c>
      <c r="F160" s="15">
        <f t="shared" si="38"/>
        <v>1</v>
      </c>
      <c r="G160" s="4">
        <f t="shared" si="39"/>
        <v>1.0571289998838692E-77</v>
      </c>
      <c r="H160" s="76">
        <v>0.01</v>
      </c>
      <c r="I160" s="15">
        <f t="shared" si="40"/>
        <v>1.01</v>
      </c>
      <c r="J160" s="79">
        <f t="shared" si="41"/>
        <v>1.0623436015177514E+39</v>
      </c>
      <c r="K160" s="79">
        <f t="shared" si="42"/>
        <v>1.0049327959354582E+116</v>
      </c>
      <c r="L160" s="79">
        <f t="shared" si="44"/>
        <v>4.7693114479560723</v>
      </c>
      <c r="M160" s="79">
        <f t="shared" si="45"/>
        <v>5.0417774411124911E-77</v>
      </c>
      <c r="N160" s="79">
        <f t="shared" si="46"/>
        <v>3.9846484412286221E-77</v>
      </c>
      <c r="O160" s="78">
        <f t="shared" si="43"/>
        <v>0.79032612759467447</v>
      </c>
    </row>
    <row r="161" spans="2:15" x14ac:dyDescent="0.25">
      <c r="B161" s="15">
        <v>158</v>
      </c>
      <c r="C161" s="15">
        <v>1</v>
      </c>
      <c r="D161" s="80">
        <f t="shared" si="36"/>
        <v>1.8829550074949659E+39</v>
      </c>
      <c r="E161" s="80">
        <f t="shared" si="37"/>
        <v>8.946182130782364E+116</v>
      </c>
      <c r="F161" s="15">
        <f t="shared" si="38"/>
        <v>1</v>
      </c>
      <c r="G161" s="4">
        <f t="shared" si="39"/>
        <v>2.1047581861943351E-78</v>
      </c>
      <c r="H161" s="76">
        <v>0.01</v>
      </c>
      <c r="I161" s="15">
        <f t="shared" si="40"/>
        <v>1.01</v>
      </c>
      <c r="J161" s="79">
        <f t="shared" si="41"/>
        <v>1.8829550074949659E+39</v>
      </c>
      <c r="K161" s="79">
        <f t="shared" si="42"/>
        <v>8.946182130782364E+116</v>
      </c>
      <c r="L161" s="79">
        <f t="shared" si="44"/>
        <v>4.8170045624356339</v>
      </c>
      <c r="M161" s="79">
        <f t="shared" si="45"/>
        <v>1.0138629785721861E-77</v>
      </c>
      <c r="N161" s="79">
        <f t="shared" si="46"/>
        <v>8.0338715995275259E-78</v>
      </c>
      <c r="O161" s="78">
        <f t="shared" si="43"/>
        <v>0.7924021065293807</v>
      </c>
    </row>
    <row r="162" spans="2:15" x14ac:dyDescent="0.25">
      <c r="B162" s="15">
        <v>159</v>
      </c>
      <c r="C162" s="15">
        <v>1</v>
      </c>
      <c r="D162" s="80">
        <f t="shared" si="36"/>
        <v>3.3374508541162928E+39</v>
      </c>
      <c r="E162" s="80">
        <f t="shared" si="37"/>
        <v>7.9892157276871616E+117</v>
      </c>
      <c r="F162" s="15">
        <f t="shared" si="38"/>
        <v>1</v>
      </c>
      <c r="G162" s="4">
        <f t="shared" si="39"/>
        <v>4.1774449055745656E-79</v>
      </c>
      <c r="H162" s="76">
        <v>0.01</v>
      </c>
      <c r="I162" s="15">
        <f t="shared" si="40"/>
        <v>1.01</v>
      </c>
      <c r="J162" s="79">
        <f t="shared" si="41"/>
        <v>3.3374508541162928E+39</v>
      </c>
      <c r="K162" s="79">
        <f t="shared" si="42"/>
        <v>7.9892157276871616E+117</v>
      </c>
      <c r="L162" s="79">
        <f t="shared" si="44"/>
        <v>4.8651746080599887</v>
      </c>
      <c r="M162" s="79">
        <f t="shared" si="45"/>
        <v>2.0323998881170934E-78</v>
      </c>
      <c r="N162" s="79">
        <f t="shared" si="46"/>
        <v>1.6146553975596368E-78</v>
      </c>
      <c r="O162" s="78">
        <f t="shared" si="43"/>
        <v>0.79445753121720852</v>
      </c>
    </row>
    <row r="163" spans="2:15" x14ac:dyDescent="0.25">
      <c r="B163" s="15">
        <v>160</v>
      </c>
      <c r="C163" s="15">
        <v>1</v>
      </c>
      <c r="D163" s="80">
        <f t="shared" si="36"/>
        <v>5.9154776185862987E+39</v>
      </c>
      <c r="E163" s="80">
        <f t="shared" si="37"/>
        <v>7.1569457046266771E+118</v>
      </c>
      <c r="F163" s="15">
        <f t="shared" si="38"/>
        <v>1</v>
      </c>
      <c r="G163" s="4">
        <f t="shared" si="39"/>
        <v>8.265366069162968E-80</v>
      </c>
      <c r="H163" s="76">
        <v>0.01</v>
      </c>
      <c r="I163" s="15">
        <f t="shared" si="40"/>
        <v>1.01</v>
      </c>
      <c r="J163" s="79">
        <f t="shared" si="41"/>
        <v>5.9154776185862987E+39</v>
      </c>
      <c r="K163" s="79">
        <f t="shared" si="42"/>
        <v>7.1569457046266771E+118</v>
      </c>
      <c r="L163" s="79">
        <f t="shared" si="44"/>
        <v>4.91382635414059</v>
      </c>
      <c r="M163" s="79">
        <f t="shared" si="45"/>
        <v>4.0614573617272408E-79</v>
      </c>
      <c r="N163" s="79">
        <f t="shared" si="46"/>
        <v>3.2349207548109437E-79</v>
      </c>
      <c r="O163" s="78">
        <f t="shared" si="43"/>
        <v>0.79649260516555298</v>
      </c>
    </row>
    <row r="164" spans="2:15" x14ac:dyDescent="0.25">
      <c r="B164" s="15">
        <v>161</v>
      </c>
      <c r="C164" s="15">
        <v>1</v>
      </c>
      <c r="D164" s="80">
        <f t="shared" si="36"/>
        <v>1.0484911085008732E+40</v>
      </c>
      <c r="E164" s="80">
        <f t="shared" si="37"/>
        <v>6.4313186607877084E+119</v>
      </c>
      <c r="F164" s="15">
        <f t="shared" si="38"/>
        <v>1</v>
      </c>
      <c r="G164" s="4">
        <f t="shared" si="39"/>
        <v>1.6302894690844846E-80</v>
      </c>
      <c r="H164" s="76">
        <v>0.01</v>
      </c>
      <c r="I164" s="15">
        <f t="shared" si="40"/>
        <v>1.01</v>
      </c>
      <c r="J164" s="79">
        <f t="shared" si="41"/>
        <v>1.0484911085008732E+40</v>
      </c>
      <c r="K164" s="79">
        <f t="shared" si="42"/>
        <v>6.4313186607877084E+119</v>
      </c>
      <c r="L164" s="79">
        <f t="shared" si="44"/>
        <v>4.9629646176819957</v>
      </c>
      <c r="M164" s="79">
        <f t="shared" si="45"/>
        <v>8.0910689516458636E-80</v>
      </c>
      <c r="N164" s="79">
        <f t="shared" si="46"/>
        <v>6.4607794825613794E-80</v>
      </c>
      <c r="O164" s="78">
        <f t="shared" si="43"/>
        <v>0.79850752986688422</v>
      </c>
    </row>
    <row r="165" spans="2:15" x14ac:dyDescent="0.25">
      <c r="B165" s="15">
        <v>162</v>
      </c>
      <c r="C165" s="15">
        <v>1</v>
      </c>
      <c r="D165" s="80">
        <f t="shared" si="36"/>
        <v>1.8584021029025559E+40</v>
      </c>
      <c r="E165" s="80">
        <f t="shared" si="37"/>
        <v>5.7971260207475536E+120</v>
      </c>
      <c r="F165" s="15">
        <f t="shared" si="38"/>
        <v>1</v>
      </c>
      <c r="G165" s="4">
        <f t="shared" si="39"/>
        <v>3.2057300397670335E-81</v>
      </c>
      <c r="H165" s="76">
        <v>0.01</v>
      </c>
      <c r="I165" s="15">
        <f t="shared" si="40"/>
        <v>1.01</v>
      </c>
      <c r="J165" s="79">
        <f t="shared" si="41"/>
        <v>1.8584021029025559E+40</v>
      </c>
      <c r="K165" s="79">
        <f t="shared" si="42"/>
        <v>5.7971260207475536E+120</v>
      </c>
      <c r="L165" s="79">
        <f t="shared" si="44"/>
        <v>5.0125942638588157</v>
      </c>
      <c r="M165" s="79">
        <f t="shared" si="45"/>
        <v>1.6069024008816126E-80</v>
      </c>
      <c r="N165" s="79">
        <f t="shared" si="46"/>
        <v>1.2863293969049092E-80</v>
      </c>
      <c r="O165" s="78">
        <f t="shared" si="43"/>
        <v>0.80050250481869722</v>
      </c>
    </row>
    <row r="166" spans="2:15" x14ac:dyDescent="0.25">
      <c r="B166" s="15">
        <v>163</v>
      </c>
      <c r="C166" s="15">
        <v>1</v>
      </c>
      <c r="D166" s="80">
        <f t="shared" si="36"/>
        <v>3.2939319638205646E+40</v>
      </c>
      <c r="E166" s="80">
        <f t="shared" si="37"/>
        <v>5.241524708541996E+121</v>
      </c>
      <c r="F166" s="15">
        <f t="shared" si="38"/>
        <v>1</v>
      </c>
      <c r="G166" s="4">
        <f t="shared" si="39"/>
        <v>6.2843011279762104E-82</v>
      </c>
      <c r="H166" s="76">
        <v>0.01</v>
      </c>
      <c r="I166" s="15">
        <f t="shared" si="40"/>
        <v>1.01</v>
      </c>
      <c r="J166" s="79">
        <f t="shared" si="41"/>
        <v>3.2939319638205646E+40</v>
      </c>
      <c r="K166" s="79">
        <f t="shared" si="42"/>
        <v>5.241524708541996E+121</v>
      </c>
      <c r="L166" s="79">
        <f t="shared" si="44"/>
        <v>5.0627202064974028</v>
      </c>
      <c r="M166" s="79">
        <f t="shared" si="45"/>
        <v>3.1815658304319586E-81</v>
      </c>
      <c r="N166" s="79">
        <f t="shared" si="46"/>
        <v>2.5531357176343374E-81</v>
      </c>
      <c r="O166" s="78">
        <f t="shared" si="43"/>
        <v>0.80247772754326452</v>
      </c>
    </row>
    <row r="167" spans="2:15" x14ac:dyDescent="0.25">
      <c r="B167" s="15">
        <v>164</v>
      </c>
      <c r="C167" s="15">
        <v>1</v>
      </c>
      <c r="D167" s="80">
        <f t="shared" si="36"/>
        <v>5.8383423938944931E+40</v>
      </c>
      <c r="E167" s="80">
        <f t="shared" si="37"/>
        <v>4.7536433370131092E+122</v>
      </c>
      <c r="F167" s="15">
        <f t="shared" si="38"/>
        <v>1</v>
      </c>
      <c r="G167" s="4">
        <f t="shared" si="39"/>
        <v>1.2281826758931689E-82</v>
      </c>
      <c r="H167" s="76">
        <v>0.01</v>
      </c>
      <c r="I167" s="15">
        <f t="shared" si="40"/>
        <v>1.01</v>
      </c>
      <c r="J167" s="79">
        <f t="shared" si="41"/>
        <v>5.8383423938944931E+40</v>
      </c>
      <c r="K167" s="79">
        <f t="shared" si="42"/>
        <v>4.7536433370131092E+122</v>
      </c>
      <c r="L167" s="79">
        <f t="shared" si="44"/>
        <v>5.1133474085623778</v>
      </c>
      <c r="M167" s="79">
        <f t="shared" si="45"/>
        <v>6.2801247030195421E-82</v>
      </c>
      <c r="N167" s="79">
        <f t="shared" si="46"/>
        <v>5.0519420271263734E-82</v>
      </c>
      <c r="O167" s="78">
        <f t="shared" si="43"/>
        <v>0.80443339360719268</v>
      </c>
    </row>
    <row r="168" spans="2:15" x14ac:dyDescent="0.25">
      <c r="B168" s="15">
        <v>165</v>
      </c>
      <c r="C168" s="15">
        <v>1</v>
      </c>
      <c r="D168" s="80">
        <f t="shared" si="36"/>
        <v>1.0348192458963293E+41</v>
      </c>
      <c r="E168" s="80">
        <f t="shared" si="37"/>
        <v>4.3242578845474255E+123</v>
      </c>
      <c r="F168" s="15">
        <f t="shared" si="38"/>
        <v>1</v>
      </c>
      <c r="G168" s="4">
        <f t="shared" si="39"/>
        <v>2.3930562735266491E-83</v>
      </c>
      <c r="H168" s="76">
        <v>0.01</v>
      </c>
      <c r="I168" s="15">
        <f t="shared" si="40"/>
        <v>1.01</v>
      </c>
      <c r="J168" s="79">
        <f t="shared" si="41"/>
        <v>1.0348192458963293E+41</v>
      </c>
      <c r="K168" s="79">
        <f t="shared" si="42"/>
        <v>4.3242578845474255E+123</v>
      </c>
      <c r="L168" s="79">
        <f t="shared" si="44"/>
        <v>5.164480882648002</v>
      </c>
      <c r="M168" s="79">
        <f t="shared" si="45"/>
        <v>1.2358893375729247E-82</v>
      </c>
      <c r="N168" s="79">
        <f t="shared" si="46"/>
        <v>9.9658371022025981E-83</v>
      </c>
      <c r="O168" s="78">
        <f t="shared" si="43"/>
        <v>0.80636969664078484</v>
      </c>
    </row>
    <row r="169" spans="2:15" x14ac:dyDescent="0.25">
      <c r="B169" s="15">
        <v>166</v>
      </c>
      <c r="C169" s="15">
        <v>1</v>
      </c>
      <c r="D169" s="80">
        <f t="shared" si="36"/>
        <v>1.8341693573800784E+41</v>
      </c>
      <c r="E169" s="80">
        <f t="shared" si="37"/>
        <v>3.9455239697206508E+124</v>
      </c>
      <c r="F169" s="15">
        <f t="shared" si="38"/>
        <v>1</v>
      </c>
      <c r="G169" s="4">
        <f t="shared" si="39"/>
        <v>4.648734544400551E-84</v>
      </c>
      <c r="H169" s="76">
        <v>0.01</v>
      </c>
      <c r="I169" s="15">
        <f t="shared" si="40"/>
        <v>1.01</v>
      </c>
      <c r="J169" s="79">
        <f t="shared" si="41"/>
        <v>1.8341693573800784E+41</v>
      </c>
      <c r="K169" s="79">
        <f t="shared" si="42"/>
        <v>3.9455239697206508E+124</v>
      </c>
      <c r="L169" s="79">
        <f t="shared" si="44"/>
        <v>5.216125691474482</v>
      </c>
      <c r="M169" s="79">
        <f t="shared" si="45"/>
        <v>2.4248383689892639E-83</v>
      </c>
      <c r="N169" s="79">
        <f t="shared" si="46"/>
        <v>1.9599649145492089E-83</v>
      </c>
      <c r="O169" s="78">
        <f t="shared" si="43"/>
        <v>0.80828682835721277</v>
      </c>
    </row>
    <row r="170" spans="2:15" x14ac:dyDescent="0.25">
      <c r="B170" s="15">
        <v>167</v>
      </c>
      <c r="C170" s="15">
        <v>1</v>
      </c>
      <c r="D170" s="80">
        <f t="shared" si="36"/>
        <v>3.2509805407012398E+41</v>
      </c>
      <c r="E170" s="80">
        <f t="shared" si="37"/>
        <v>3.6107553335969952E+125</v>
      </c>
      <c r="F170" s="15">
        <f t="shared" si="38"/>
        <v>1</v>
      </c>
      <c r="G170" s="4">
        <f t="shared" si="39"/>
        <v>9.0036024054353425E-85</v>
      </c>
      <c r="H170" s="76">
        <v>0.01</v>
      </c>
      <c r="I170" s="15">
        <f t="shared" si="40"/>
        <v>1.01</v>
      </c>
      <c r="J170" s="79">
        <f t="shared" si="41"/>
        <v>3.2509805407012398E+41</v>
      </c>
      <c r="K170" s="79">
        <f t="shared" si="42"/>
        <v>3.6107553335969952E+125</v>
      </c>
      <c r="L170" s="79">
        <f t="shared" si="44"/>
        <v>5.2682869483892256</v>
      </c>
      <c r="M170" s="79">
        <f t="shared" si="45"/>
        <v>4.7433561041040851E-84</v>
      </c>
      <c r="N170" s="79">
        <f t="shared" si="46"/>
        <v>3.842995863560551E-84</v>
      </c>
      <c r="O170" s="78">
        <f t="shared" si="43"/>
        <v>0.81018497857149774</v>
      </c>
    </row>
    <row r="171" spans="2:15" x14ac:dyDescent="0.25">
      <c r="B171" s="15">
        <v>168</v>
      </c>
      <c r="C171" s="15">
        <v>1</v>
      </c>
      <c r="D171" s="80">
        <f t="shared" si="36"/>
        <v>5.7622129785847673E+41</v>
      </c>
      <c r="E171" s="80">
        <f t="shared" si="37"/>
        <v>3.3142401345652871E+126</v>
      </c>
      <c r="F171" s="15">
        <f t="shared" si="38"/>
        <v>1</v>
      </c>
      <c r="G171" s="4">
        <f t="shared" si="39"/>
        <v>1.7386226539497774E-85</v>
      </c>
      <c r="H171" s="76">
        <v>0.01</v>
      </c>
      <c r="I171" s="15">
        <f t="shared" si="40"/>
        <v>1.01</v>
      </c>
      <c r="J171" s="79">
        <f t="shared" si="41"/>
        <v>5.7622129785847673E+41</v>
      </c>
      <c r="K171" s="79">
        <f t="shared" si="42"/>
        <v>3.3142401345652871E+126</v>
      </c>
      <c r="L171" s="79">
        <f t="shared" si="44"/>
        <v>5.3209698178731193</v>
      </c>
      <c r="M171" s="79">
        <f t="shared" si="45"/>
        <v>9.2511586663372274E-85</v>
      </c>
      <c r="N171" s="79">
        <f t="shared" si="46"/>
        <v>7.5125360123874497E-85</v>
      </c>
      <c r="O171" s="78">
        <f t="shared" si="43"/>
        <v>0.81206433521930466</v>
      </c>
    </row>
    <row r="172" spans="2:15" x14ac:dyDescent="0.25">
      <c r="B172" s="15">
        <v>169</v>
      </c>
      <c r="C172" s="15">
        <v>1</v>
      </c>
      <c r="D172" s="80">
        <f t="shared" si="36"/>
        <v>1.0213256583630396E+42</v>
      </c>
      <c r="E172" s="80">
        <f t="shared" si="37"/>
        <v>3.0510882568895826E+127</v>
      </c>
      <c r="F172" s="15">
        <f t="shared" si="38"/>
        <v>1</v>
      </c>
      <c r="G172" s="4">
        <f t="shared" si="39"/>
        <v>3.3474143399713557E-86</v>
      </c>
      <c r="H172" s="76">
        <v>0.01</v>
      </c>
      <c r="I172" s="15">
        <f t="shared" si="40"/>
        <v>1.01</v>
      </c>
      <c r="J172" s="79">
        <f t="shared" si="41"/>
        <v>1.0213256583630396E+42</v>
      </c>
      <c r="K172" s="79">
        <f t="shared" si="42"/>
        <v>3.0510882568895826E+127</v>
      </c>
      <c r="L172" s="79">
        <f t="shared" si="44"/>
        <v>5.3741795160518508</v>
      </c>
      <c r="M172" s="79">
        <f t="shared" si="45"/>
        <v>1.7989605577612286E-85</v>
      </c>
      <c r="N172" s="79">
        <f t="shared" si="46"/>
        <v>1.4642191237640931E-85</v>
      </c>
      <c r="O172" s="78">
        <f t="shared" si="43"/>
        <v>0.81392508437554922</v>
      </c>
    </row>
    <row r="173" spans="2:15" x14ac:dyDescent="0.25">
      <c r="B173" s="15">
        <v>170</v>
      </c>
      <c r="C173" s="15">
        <v>1</v>
      </c>
      <c r="D173" s="80">
        <f t="shared" si="36"/>
        <v>1.8102525961941663E+42</v>
      </c>
      <c r="E173" s="80">
        <f t="shared" si="37"/>
        <v>2.8171041143804693E+128</v>
      </c>
      <c r="F173" s="15">
        <f t="shared" si="38"/>
        <v>1</v>
      </c>
      <c r="G173" s="4">
        <f t="shared" si="39"/>
        <v>6.4259343023687732E-87</v>
      </c>
      <c r="H173" s="76">
        <v>0.01</v>
      </c>
      <c r="I173" s="15">
        <f t="shared" si="40"/>
        <v>1.01</v>
      </c>
      <c r="J173" s="79">
        <f t="shared" si="41"/>
        <v>1.8102525961941663E+42</v>
      </c>
      <c r="K173" s="79">
        <f t="shared" si="42"/>
        <v>2.8171041143804693E+128</v>
      </c>
      <c r="L173" s="79">
        <f t="shared" si="44"/>
        <v>5.4279213112123701</v>
      </c>
      <c r="M173" s="79">
        <f t="shared" si="45"/>
        <v>3.4879465744278059E-86</v>
      </c>
      <c r="N173" s="79">
        <f t="shared" si="46"/>
        <v>2.8453531441909286E-86</v>
      </c>
      <c r="O173" s="78">
        <f t="shared" si="43"/>
        <v>0.81576741027282107</v>
      </c>
    </row>
    <row r="174" spans="2:15" x14ac:dyDescent="0.25">
      <c r="B174" s="15">
        <v>171</v>
      </c>
      <c r="C174" s="15">
        <v>1</v>
      </c>
      <c r="D174" s="80">
        <f t="shared" si="36"/>
        <v>3.2085891852360408E+42</v>
      </c>
      <c r="E174" s="80">
        <f t="shared" si="37"/>
        <v>2.6086804596405247E+129</v>
      </c>
      <c r="F174" s="15">
        <f t="shared" si="38"/>
        <v>1</v>
      </c>
      <c r="G174" s="4">
        <f t="shared" si="39"/>
        <v>1.2299663507573417E-87</v>
      </c>
      <c r="H174" s="76">
        <v>0.01</v>
      </c>
      <c r="I174" s="15">
        <f t="shared" si="40"/>
        <v>1.01</v>
      </c>
      <c r="J174" s="79">
        <f t="shared" si="41"/>
        <v>3.2085891852360408E+42</v>
      </c>
      <c r="K174" s="79">
        <f t="shared" si="42"/>
        <v>2.6086804596405247E+129</v>
      </c>
      <c r="L174" s="79">
        <f t="shared" si="44"/>
        <v>5.482200524324492</v>
      </c>
      <c r="M174" s="79">
        <f t="shared" si="45"/>
        <v>6.7429221730233811E-87</v>
      </c>
      <c r="N174" s="79">
        <f t="shared" si="46"/>
        <v>5.5129558222660398E-87</v>
      </c>
      <c r="O174" s="78">
        <f t="shared" si="43"/>
        <v>0.81759149531962483</v>
      </c>
    </row>
    <row r="175" spans="2:15" x14ac:dyDescent="0.25">
      <c r="B175" s="15">
        <v>172</v>
      </c>
      <c r="C175" s="15">
        <v>1</v>
      </c>
      <c r="D175" s="80">
        <f t="shared" si="36"/>
        <v>5.6870762573454432E+42</v>
      </c>
      <c r="E175" s="80">
        <f t="shared" si="37"/>
        <v>2.4227095383671897E+130</v>
      </c>
      <c r="F175" s="15">
        <f t="shared" si="38"/>
        <v>1</v>
      </c>
      <c r="G175" s="4">
        <f t="shared" si="39"/>
        <v>2.3474032554386637E-88</v>
      </c>
      <c r="H175" s="76">
        <v>0.01</v>
      </c>
      <c r="I175" s="15">
        <f t="shared" si="40"/>
        <v>1.01</v>
      </c>
      <c r="J175" s="79">
        <f t="shared" si="41"/>
        <v>5.6870762573454432E+42</v>
      </c>
      <c r="K175" s="79">
        <f t="shared" si="42"/>
        <v>2.4227095383671897E+130</v>
      </c>
      <c r="L175" s="79">
        <f t="shared" si="44"/>
        <v>5.5370225295677375</v>
      </c>
      <c r="M175" s="79">
        <f t="shared" si="45"/>
        <v>1.2997624711344532E-87</v>
      </c>
      <c r="N175" s="79">
        <f t="shared" si="46"/>
        <v>1.0650221455905867E-87</v>
      </c>
      <c r="O175" s="78">
        <f t="shared" si="43"/>
        <v>0.81939752011844025</v>
      </c>
    </row>
    <row r="176" spans="2:15" x14ac:dyDescent="0.25">
      <c r="B176" s="15">
        <v>173</v>
      </c>
      <c r="C176" s="15">
        <v>1</v>
      </c>
      <c r="D176" s="80">
        <f t="shared" si="36"/>
        <v>1.0080080212725212E+43</v>
      </c>
      <c r="E176" s="80">
        <f t="shared" si="37"/>
        <v>2.2565085975891645E+131</v>
      </c>
      <c r="F176" s="15">
        <f t="shared" si="38"/>
        <v>1</v>
      </c>
      <c r="G176" s="4">
        <f t="shared" si="39"/>
        <v>4.4671135857823404E-89</v>
      </c>
      <c r="H176" s="76">
        <v>0.01</v>
      </c>
      <c r="I176" s="15">
        <f t="shared" si="40"/>
        <v>1.01</v>
      </c>
      <c r="J176" s="79">
        <f t="shared" si="41"/>
        <v>1.0080080212725212E+43</v>
      </c>
      <c r="K176" s="79">
        <f t="shared" si="42"/>
        <v>2.2565085975891645E+131</v>
      </c>
      <c r="L176" s="79">
        <f t="shared" si="44"/>
        <v>5.5923927548634147</v>
      </c>
      <c r="M176" s="79">
        <f t="shared" si="45"/>
        <v>2.4981853652281092E-88</v>
      </c>
      <c r="N176" s="79">
        <f t="shared" si="46"/>
        <v>2.051474006649875E-88</v>
      </c>
      <c r="O176" s="78">
        <f t="shared" si="43"/>
        <v>0.82118566348360422</v>
      </c>
    </row>
    <row r="177" spans="2:15" x14ac:dyDescent="0.25">
      <c r="B177" s="15">
        <v>174</v>
      </c>
      <c r="C177" s="15">
        <v>1</v>
      </c>
      <c r="D177" s="80">
        <f t="shared" si="36"/>
        <v>1.7866476990481379E+43</v>
      </c>
      <c r="E177" s="80">
        <f t="shared" si="37"/>
        <v>2.1077572983795414E+132</v>
      </c>
      <c r="F177" s="15">
        <f t="shared" si="38"/>
        <v>1</v>
      </c>
      <c r="G177" s="4">
        <f t="shared" si="39"/>
        <v>8.4765342785041014E-90</v>
      </c>
      <c r="H177" s="76">
        <v>0.01</v>
      </c>
      <c r="I177" s="15">
        <f t="shared" si="40"/>
        <v>1.01</v>
      </c>
      <c r="J177" s="79">
        <f t="shared" si="41"/>
        <v>1.7866476990481379E+43</v>
      </c>
      <c r="K177" s="79">
        <f t="shared" si="42"/>
        <v>2.1077572983795414E+132</v>
      </c>
      <c r="L177" s="79">
        <f t="shared" si="44"/>
        <v>5.6483166824120499</v>
      </c>
      <c r="M177" s="79">
        <f t="shared" si="45"/>
        <v>4.7878149974312299E-89</v>
      </c>
      <c r="N177" s="79">
        <f t="shared" si="46"/>
        <v>3.9401615695808199E-89</v>
      </c>
      <c r="O177" s="78">
        <f t="shared" si="43"/>
        <v>0.82295610245901418</v>
      </c>
    </row>
    <row r="178" spans="2:15" x14ac:dyDescent="0.25">
      <c r="B178" s="15">
        <v>175</v>
      </c>
      <c r="C178" s="15">
        <v>1</v>
      </c>
      <c r="D178" s="80">
        <f t="shared" si="36"/>
        <v>3.1667505943893385E+43</v>
      </c>
      <c r="E178" s="80">
        <f t="shared" si="37"/>
        <v>1.9744450228903197E+133</v>
      </c>
      <c r="F178" s="15">
        <f t="shared" si="38"/>
        <v>1</v>
      </c>
      <c r="G178" s="4">
        <f t="shared" si="39"/>
        <v>1.6038687112967294E-90</v>
      </c>
      <c r="H178" s="76">
        <v>0.01</v>
      </c>
      <c r="I178" s="15">
        <f t="shared" si="40"/>
        <v>1.01</v>
      </c>
      <c r="J178" s="79">
        <f t="shared" si="41"/>
        <v>3.1667505943893385E+43</v>
      </c>
      <c r="K178" s="79">
        <f t="shared" si="42"/>
        <v>1.9744450228903197E+133</v>
      </c>
      <c r="L178" s="79">
        <f t="shared" si="44"/>
        <v>5.704799849236168</v>
      </c>
      <c r="M178" s="79">
        <f t="shared" si="45"/>
        <v>9.1497499824001896E-90</v>
      </c>
      <c r="N178" s="79">
        <f t="shared" si="46"/>
        <v>7.5458812711034604E-90</v>
      </c>
      <c r="O178" s="78">
        <f t="shared" si="43"/>
        <v>0.82470901233565752</v>
      </c>
    </row>
    <row r="179" spans="2:15" x14ac:dyDescent="0.25">
      <c r="B179" s="15">
        <v>176</v>
      </c>
      <c r="C179" s="15">
        <v>1</v>
      </c>
      <c r="D179" s="80">
        <f t="shared" si="36"/>
        <v>5.6129192858827382E+43</v>
      </c>
      <c r="E179" s="80">
        <f t="shared" si="37"/>
        <v>1.8548264225739444E+134</v>
      </c>
      <c r="F179" s="15">
        <f t="shared" si="38"/>
        <v>1</v>
      </c>
      <c r="G179" s="4">
        <f t="shared" si="39"/>
        <v>3.0261156610512828E-91</v>
      </c>
      <c r="H179" s="76">
        <v>0.01</v>
      </c>
      <c r="I179" s="15">
        <f t="shared" si="40"/>
        <v>1.01</v>
      </c>
      <c r="J179" s="79">
        <f t="shared" si="41"/>
        <v>5.6129192858827382E+43</v>
      </c>
      <c r="K179" s="79">
        <f t="shared" si="42"/>
        <v>1.8548264225739444E+134</v>
      </c>
      <c r="L179" s="79">
        <f t="shared" si="44"/>
        <v>5.7618478477285322</v>
      </c>
      <c r="M179" s="79">
        <f t="shared" si="45"/>
        <v>1.7436018008605939E-90</v>
      </c>
      <c r="N179" s="79">
        <f t="shared" si="46"/>
        <v>1.4409902347554658E-90</v>
      </c>
      <c r="O179" s="78">
        <f t="shared" si="43"/>
        <v>0.82644456666896804</v>
      </c>
    </row>
    <row r="180" spans="2:15" x14ac:dyDescent="0.25">
      <c r="B180" s="15">
        <v>177</v>
      </c>
      <c r="C180" s="15">
        <v>1</v>
      </c>
      <c r="D180" s="80">
        <f t="shared" si="36"/>
        <v>9.9486404030846642E+43</v>
      </c>
      <c r="E180" s="80">
        <f t="shared" si="37"/>
        <v>1.7473838452579369E+135</v>
      </c>
      <c r="F180" s="15">
        <f t="shared" si="38"/>
        <v>1</v>
      </c>
      <c r="G180" s="4">
        <f t="shared" si="39"/>
        <v>5.6934487691890692E-92</v>
      </c>
      <c r="H180" s="76">
        <v>0.01</v>
      </c>
      <c r="I180" s="15">
        <f t="shared" si="40"/>
        <v>1.01</v>
      </c>
      <c r="J180" s="79">
        <f t="shared" si="41"/>
        <v>9.9486404030846642E+43</v>
      </c>
      <c r="K180" s="79">
        <f t="shared" si="42"/>
        <v>1.7473838452579369E+135</v>
      </c>
      <c r="L180" s="79">
        <f t="shared" si="44"/>
        <v>5.8194663262058173</v>
      </c>
      <c r="M180" s="79">
        <f t="shared" si="45"/>
        <v>3.3132833392273746E-91</v>
      </c>
      <c r="N180" s="79">
        <f t="shared" si="46"/>
        <v>2.7439384623084674E-91</v>
      </c>
      <c r="O180" s="78">
        <f t="shared" si="43"/>
        <v>0.82816293729600776</v>
      </c>
    </row>
    <row r="181" spans="2:15" x14ac:dyDescent="0.25">
      <c r="B181" s="15">
        <v>178</v>
      </c>
      <c r="C181" s="15">
        <v>1</v>
      </c>
      <c r="D181" s="80">
        <f t="shared" si="36"/>
        <v>1.7633505993721678E+44</v>
      </c>
      <c r="E181" s="80">
        <f t="shared" si="37"/>
        <v>1.6507955160907309E+136</v>
      </c>
      <c r="F181" s="15">
        <f t="shared" si="38"/>
        <v>1</v>
      </c>
      <c r="G181" s="4">
        <f t="shared" si="39"/>
        <v>1.0681823291766506E-92</v>
      </c>
      <c r="H181" s="76">
        <v>0.01</v>
      </c>
      <c r="I181" s="15">
        <f t="shared" si="40"/>
        <v>1.01</v>
      </c>
      <c r="J181" s="79">
        <f t="shared" si="41"/>
        <v>1.7633505993721678E+44</v>
      </c>
      <c r="K181" s="79">
        <f t="shared" si="42"/>
        <v>1.6507955160907309E+136</v>
      </c>
      <c r="L181" s="79">
        <f t="shared" si="44"/>
        <v>5.8776609894678762</v>
      </c>
      <c r="M181" s="79">
        <f t="shared" si="45"/>
        <v>6.278413605840533E-92</v>
      </c>
      <c r="N181" s="79">
        <f t="shared" si="46"/>
        <v>5.2102312766638821E-92</v>
      </c>
      <c r="O181" s="78">
        <f t="shared" si="43"/>
        <v>0.82986429435248299</v>
      </c>
    </row>
    <row r="182" spans="2:15" x14ac:dyDescent="0.25">
      <c r="B182" s="15">
        <v>179</v>
      </c>
      <c r="C182" s="15">
        <v>1</v>
      </c>
      <c r="D182" s="80">
        <f t="shared" si="36"/>
        <v>3.1254575603537401E+44</v>
      </c>
      <c r="E182" s="80">
        <f t="shared" si="37"/>
        <v>1.5639085415059059E+137</v>
      </c>
      <c r="F182" s="15">
        <f t="shared" si="38"/>
        <v>1</v>
      </c>
      <c r="G182" s="4">
        <f t="shared" si="39"/>
        <v>1.9984912655724741E-93</v>
      </c>
      <c r="H182" s="76">
        <v>0.01</v>
      </c>
      <c r="I182" s="15">
        <f t="shared" si="40"/>
        <v>1.01</v>
      </c>
      <c r="J182" s="79">
        <f t="shared" si="41"/>
        <v>3.1254575603537401E+44</v>
      </c>
      <c r="K182" s="79">
        <f t="shared" si="42"/>
        <v>1.5639085415059059E+137</v>
      </c>
      <c r="L182" s="79">
        <f t="shared" si="44"/>
        <v>5.936437599362554</v>
      </c>
      <c r="M182" s="79">
        <f t="shared" si="45"/>
        <v>1.1863918690942092E-92</v>
      </c>
      <c r="N182" s="79">
        <f t="shared" si="46"/>
        <v>9.8654274253696186E-93</v>
      </c>
      <c r="O182" s="78">
        <f t="shared" si="43"/>
        <v>0.83154880628958716</v>
      </c>
    </row>
    <row r="183" spans="2:15" x14ac:dyDescent="0.25">
      <c r="B183" s="15">
        <v>180</v>
      </c>
      <c r="C183" s="15">
        <v>1</v>
      </c>
      <c r="D183" s="80">
        <f t="shared" si="36"/>
        <v>5.5397292886907611E+44</v>
      </c>
      <c r="E183" s="80">
        <f t="shared" si="37"/>
        <v>1.4857159644817212E+138</v>
      </c>
      <c r="F183" s="15">
        <f t="shared" si="38"/>
        <v>1</v>
      </c>
      <c r="G183" s="4">
        <f t="shared" si="39"/>
        <v>3.7286597311507291E-94</v>
      </c>
      <c r="H183" s="76">
        <v>0.01</v>
      </c>
      <c r="I183" s="15">
        <f t="shared" si="40"/>
        <v>1.01</v>
      </c>
      <c r="J183" s="79">
        <f t="shared" si="41"/>
        <v>5.5397292886907611E+44</v>
      </c>
      <c r="K183" s="79">
        <f t="shared" si="42"/>
        <v>1.4857159644817212E+138</v>
      </c>
      <c r="L183" s="79">
        <f t="shared" si="44"/>
        <v>5.99580197535618</v>
      </c>
      <c r="M183" s="79">
        <f t="shared" si="45"/>
        <v>2.2356305381464588E-93</v>
      </c>
      <c r="N183" s="79">
        <f t="shared" si="46"/>
        <v>1.8627645650313859E-93</v>
      </c>
      <c r="O183" s="78">
        <f t="shared" si="43"/>
        <v>0.8332166398906804</v>
      </c>
    </row>
    <row r="184" spans="2:15" x14ac:dyDescent="0.25">
      <c r="B184" s="15">
        <v>181</v>
      </c>
      <c r="C184" s="15">
        <v>1</v>
      </c>
      <c r="D184" s="80">
        <f t="shared" si="36"/>
        <v>9.8189145107139946E+44</v>
      </c>
      <c r="E184" s="80">
        <f t="shared" si="37"/>
        <v>1.4153372300629496E+139</v>
      </c>
      <c r="F184" s="15">
        <f t="shared" si="38"/>
        <v>1</v>
      </c>
      <c r="G184" s="4">
        <f t="shared" si="39"/>
        <v>6.9375088156744672E-95</v>
      </c>
      <c r="H184" s="76">
        <v>0.01</v>
      </c>
      <c r="I184" s="15">
        <f t="shared" si="40"/>
        <v>1.01</v>
      </c>
      <c r="J184" s="79">
        <f t="shared" si="41"/>
        <v>9.8189145107139946E+44</v>
      </c>
      <c r="K184" s="79">
        <f t="shared" si="42"/>
        <v>1.4153372300629496E+139</v>
      </c>
      <c r="L184" s="79">
        <f t="shared" si="44"/>
        <v>6.0557599951097405</v>
      </c>
      <c r="M184" s="79">
        <f t="shared" si="45"/>
        <v>4.201188835168259E-94</v>
      </c>
      <c r="N184" s="79">
        <f t="shared" si="46"/>
        <v>3.5074379536008123E-94</v>
      </c>
      <c r="O184" s="78">
        <f t="shared" si="43"/>
        <v>0.8348679602878023</v>
      </c>
    </row>
    <row r="185" spans="2:15" x14ac:dyDescent="0.25">
      <c r="B185" s="15">
        <v>182</v>
      </c>
      <c r="C185" s="15">
        <v>1</v>
      </c>
      <c r="D185" s="80">
        <f t="shared" si="36"/>
        <v>1.7403572836227107E+45</v>
      </c>
      <c r="E185" s="80">
        <f t="shared" si="37"/>
        <v>1.352001527678445E+140</v>
      </c>
      <c r="F185" s="15">
        <f t="shared" si="38"/>
        <v>1</v>
      </c>
      <c r="G185" s="4">
        <f t="shared" si="39"/>
        <v>1.2872450570459937E-95</v>
      </c>
      <c r="H185" s="76">
        <v>0.01</v>
      </c>
      <c r="I185" s="15">
        <f t="shared" si="40"/>
        <v>1.01</v>
      </c>
      <c r="J185" s="79">
        <f t="shared" si="41"/>
        <v>1.7403572836227107E+45</v>
      </c>
      <c r="K185" s="79">
        <f t="shared" si="42"/>
        <v>1.352001527678445E+140</v>
      </c>
      <c r="L185" s="79">
        <f t="shared" si="44"/>
        <v>6.1163175950608393</v>
      </c>
      <c r="M185" s="79">
        <f t="shared" si="45"/>
        <v>7.8731995915655053E-95</v>
      </c>
      <c r="N185" s="79">
        <f t="shared" si="46"/>
        <v>6.5859545345195122E-95</v>
      </c>
      <c r="O185" s="78">
        <f t="shared" si="43"/>
        <v>0.8365029309780222</v>
      </c>
    </row>
    <row r="186" spans="2:15" x14ac:dyDescent="0.25">
      <c r="B186" s="15">
        <v>183</v>
      </c>
      <c r="C186" s="15">
        <v>1</v>
      </c>
      <c r="D186" s="80">
        <f t="shared" si="36"/>
        <v>3.0847029693085326E+45</v>
      </c>
      <c r="E186" s="80">
        <f t="shared" si="37"/>
        <v>1.2950335655075787E+141</v>
      </c>
      <c r="F186" s="15">
        <f t="shared" si="38"/>
        <v>1</v>
      </c>
      <c r="G186" s="4">
        <f t="shared" si="39"/>
        <v>2.3819482764522063E-96</v>
      </c>
      <c r="H186" s="76">
        <v>0.01</v>
      </c>
      <c r="I186" s="15">
        <f t="shared" si="40"/>
        <v>1.01</v>
      </c>
      <c r="J186" s="79">
        <f t="shared" si="41"/>
        <v>3.0847029693085326E+45</v>
      </c>
      <c r="K186" s="79">
        <f t="shared" si="42"/>
        <v>1.2950335655075787E+141</v>
      </c>
      <c r="L186" s="79">
        <f t="shared" si="44"/>
        <v>6.1774807710114468</v>
      </c>
      <c r="M186" s="79">
        <f t="shared" si="45"/>
        <v>1.4714439675327362E-95</v>
      </c>
      <c r="N186" s="79">
        <f t="shared" si="46"/>
        <v>1.2332491398875155E-95</v>
      </c>
      <c r="O186" s="78">
        <f t="shared" si="43"/>
        <v>0.83812171383962575</v>
      </c>
    </row>
    <row r="187" spans="2:15" x14ac:dyDescent="0.25">
      <c r="B187" s="15">
        <v>184</v>
      </c>
      <c r="C187" s="15">
        <v>1</v>
      </c>
      <c r="D187" s="80">
        <f t="shared" si="36"/>
        <v>5.467493656850595E+45</v>
      </c>
      <c r="E187" s="80">
        <f t="shared" si="37"/>
        <v>1.2438414054641828E+142</v>
      </c>
      <c r="F187" s="15">
        <f t="shared" si="38"/>
        <v>1</v>
      </c>
      <c r="G187" s="4">
        <f t="shared" si="39"/>
        <v>4.3956517549841567E-97</v>
      </c>
      <c r="H187" s="76">
        <v>0.01</v>
      </c>
      <c r="I187" s="15">
        <f t="shared" si="40"/>
        <v>1.01</v>
      </c>
      <c r="J187" s="79">
        <f t="shared" si="41"/>
        <v>5.467493656850595E+45</v>
      </c>
      <c r="K187" s="79">
        <f t="shared" si="42"/>
        <v>1.2438414054641828E+142</v>
      </c>
      <c r="L187" s="79">
        <f t="shared" si="44"/>
        <v>6.2392555787215631</v>
      </c>
      <c r="M187" s="79">
        <f t="shared" si="45"/>
        <v>2.7425594734402131E-96</v>
      </c>
      <c r="N187" s="79">
        <f t="shared" si="46"/>
        <v>2.3029942979417974E-96</v>
      </c>
      <c r="O187" s="78">
        <f t="shared" si="43"/>
        <v>0.83972446914814447</v>
      </c>
    </row>
    <row r="188" spans="2:15" x14ac:dyDescent="0.25">
      <c r="B188" s="15">
        <v>185</v>
      </c>
      <c r="C188" s="15">
        <v>1</v>
      </c>
      <c r="D188" s="80">
        <f t="shared" si="36"/>
        <v>9.6908801868863131E+45</v>
      </c>
      <c r="E188" s="80">
        <f t="shared" si="37"/>
        <v>1.1979060480944617E+143</v>
      </c>
      <c r="F188" s="15">
        <f t="shared" si="38"/>
        <v>1</v>
      </c>
      <c r="G188" s="4">
        <f t="shared" si="39"/>
        <v>8.0898499530091127E-98</v>
      </c>
      <c r="H188" s="76">
        <v>0.01</v>
      </c>
      <c r="I188" s="15">
        <f t="shared" si="40"/>
        <v>1.01</v>
      </c>
      <c r="J188" s="79">
        <f t="shared" si="41"/>
        <v>9.6908801868863131E+45</v>
      </c>
      <c r="K188" s="79">
        <f t="shared" si="42"/>
        <v>1.1979060480944617E+143</v>
      </c>
      <c r="L188" s="79">
        <f t="shared" si="44"/>
        <v>6.3016481345087794</v>
      </c>
      <c r="M188" s="79">
        <f t="shared" si="45"/>
        <v>5.0979387864835807E-97</v>
      </c>
      <c r="N188" s="79">
        <f t="shared" si="46"/>
        <v>4.2889537911826693E-97</v>
      </c>
      <c r="O188" s="78">
        <f t="shared" si="43"/>
        <v>0.84131135559222214</v>
      </c>
    </row>
    <row r="189" spans="2:15" x14ac:dyDescent="0.25">
      <c r="B189" s="15">
        <v>186</v>
      </c>
      <c r="C189" s="15">
        <v>1</v>
      </c>
      <c r="D189" s="80">
        <f t="shared" si="36"/>
        <v>1.7176637905910622E+46</v>
      </c>
      <c r="E189" s="80">
        <f t="shared" si="37"/>
        <v>1.1567725070816412E+144</v>
      </c>
      <c r="F189" s="15">
        <f t="shared" si="38"/>
        <v>1</v>
      </c>
      <c r="G189" s="4">
        <f t="shared" si="39"/>
        <v>1.4848760495911708E-98</v>
      </c>
      <c r="H189" s="76">
        <v>0.01</v>
      </c>
      <c r="I189" s="15">
        <f t="shared" si="40"/>
        <v>1.01</v>
      </c>
      <c r="J189" s="79">
        <f t="shared" si="41"/>
        <v>1.7176637905910622E+46</v>
      </c>
      <c r="K189" s="79">
        <f t="shared" si="42"/>
        <v>1.1567725070816412E+144</v>
      </c>
      <c r="L189" s="79">
        <f t="shared" si="44"/>
        <v>6.3646646158538669</v>
      </c>
      <c r="M189" s="79">
        <f t="shared" si="45"/>
        <v>9.4507380517617981E-98</v>
      </c>
      <c r="N189" s="79">
        <f t="shared" si="46"/>
        <v>7.9658620021706266E-98</v>
      </c>
      <c r="O189" s="78">
        <f t="shared" si="43"/>
        <v>0.84288253028932891</v>
      </c>
    </row>
    <row r="190" spans="2:15" x14ac:dyDescent="0.25">
      <c r="B190" s="15">
        <v>187</v>
      </c>
      <c r="C190" s="15">
        <v>1</v>
      </c>
      <c r="D190" s="80">
        <f t="shared" si="36"/>
        <v>3.0444798001940943E+46</v>
      </c>
      <c r="E190" s="80">
        <f t="shared" si="37"/>
        <v>1.1200421549683488E+145</v>
      </c>
      <c r="F190" s="15">
        <f t="shared" si="38"/>
        <v>1</v>
      </c>
      <c r="G190" s="4">
        <f t="shared" si="39"/>
        <v>2.7181832279162099E-99</v>
      </c>
      <c r="H190" s="76">
        <v>0.01</v>
      </c>
      <c r="I190" s="15">
        <f t="shared" si="40"/>
        <v>1.01</v>
      </c>
      <c r="J190" s="79">
        <f t="shared" si="41"/>
        <v>3.0444798001940943E+46</v>
      </c>
      <c r="K190" s="79">
        <f t="shared" si="42"/>
        <v>1.1200421549683488E+145</v>
      </c>
      <c r="L190" s="79">
        <f t="shared" si="44"/>
        <v>6.4283112620124037</v>
      </c>
      <c r="M190" s="79">
        <f t="shared" si="45"/>
        <v>1.7473327856227E-98</v>
      </c>
      <c r="N190" s="79">
        <f t="shared" si="46"/>
        <v>1.4755144628310792E-98</v>
      </c>
      <c r="O190" s="78">
        <f t="shared" si="43"/>
        <v>0.84443814880131585</v>
      </c>
    </row>
    <row r="191" spans="2:15" x14ac:dyDescent="0.25">
      <c r="B191" s="15">
        <v>188</v>
      </c>
      <c r="C191" s="15">
        <v>1</v>
      </c>
      <c r="D191" s="80">
        <f t="shared" si="36"/>
        <v>5.3961999458580771E+46</v>
      </c>
      <c r="E191" s="80">
        <f t="shared" si="37"/>
        <v>1.0873661566567185E+146</v>
      </c>
      <c r="F191" s="15">
        <f t="shared" si="38"/>
        <v>1</v>
      </c>
      <c r="G191" s="4">
        <f t="shared" si="39"/>
        <v>4.9626337115820848E-100</v>
      </c>
      <c r="H191" s="76">
        <v>0.01</v>
      </c>
      <c r="I191" s="15">
        <f t="shared" si="40"/>
        <v>1.01</v>
      </c>
      <c r="J191" s="79">
        <f t="shared" si="41"/>
        <v>5.3961999458580771E+46</v>
      </c>
      <c r="K191" s="79">
        <f t="shared" si="42"/>
        <v>1.0873661566567185E+146</v>
      </c>
      <c r="L191" s="79">
        <f t="shared" si="44"/>
        <v>6.4925943746325281</v>
      </c>
      <c r="M191" s="79">
        <f t="shared" si="45"/>
        <v>3.2220367719179586E-99</v>
      </c>
      <c r="N191" s="79">
        <f t="shared" si="46"/>
        <v>2.7257734007597502E-99</v>
      </c>
      <c r="O191" s="78">
        <f t="shared" si="43"/>
        <v>0.8459783651498175</v>
      </c>
    </row>
    <row r="192" spans="2:15" x14ac:dyDescent="0.25">
      <c r="B192" s="15">
        <v>189</v>
      </c>
      <c r="C192" s="15">
        <v>1</v>
      </c>
      <c r="D192" s="80">
        <f t="shared" si="36"/>
        <v>9.5645153742922945E+46</v>
      </c>
      <c r="E192" s="80">
        <f t="shared" si="37"/>
        <v>1.0584398364450596E+147</v>
      </c>
      <c r="F192" s="15">
        <f t="shared" si="38"/>
        <v>1</v>
      </c>
      <c r="G192" s="4">
        <f t="shared" si="39"/>
        <v>9.0364279999288927E-101</v>
      </c>
      <c r="H192" s="76">
        <v>0.01</v>
      </c>
      <c r="I192" s="15">
        <f t="shared" si="40"/>
        <v>1.01</v>
      </c>
      <c r="J192" s="79">
        <f t="shared" si="41"/>
        <v>9.5645153742922945E+46</v>
      </c>
      <c r="K192" s="79">
        <f t="shared" si="42"/>
        <v>1.0584398364450596E+147</v>
      </c>
      <c r="L192" s="79">
        <f t="shared" si="44"/>
        <v>6.5575203183788533</v>
      </c>
      <c r="M192" s="79">
        <f t="shared" si="45"/>
        <v>5.925656021510129E-100</v>
      </c>
      <c r="N192" s="79">
        <f t="shared" si="46"/>
        <v>5.0220132215172397E-100</v>
      </c>
      <c r="O192" s="78">
        <f t="shared" si="43"/>
        <v>0.8475033318315025</v>
      </c>
    </row>
    <row r="193" spans="2:15" x14ac:dyDescent="0.25">
      <c r="B193" s="15">
        <v>190</v>
      </c>
      <c r="C193" s="15">
        <v>1</v>
      </c>
      <c r="D193" s="80">
        <f t="shared" si="36"/>
        <v>1.6952662107209377E+47</v>
      </c>
      <c r="E193" s="80">
        <f t="shared" si="37"/>
        <v>1.0329978488238504E+148</v>
      </c>
      <c r="F193" s="15">
        <f t="shared" si="38"/>
        <v>1</v>
      </c>
      <c r="G193" s="4">
        <f t="shared" si="39"/>
        <v>1.6411130116593487E-101</v>
      </c>
      <c r="H193" s="76">
        <v>0.01</v>
      </c>
      <c r="I193" s="15">
        <f t="shared" si="40"/>
        <v>1.01</v>
      </c>
      <c r="J193" s="79">
        <f t="shared" si="41"/>
        <v>1.6952662107209377E+47</v>
      </c>
      <c r="K193" s="79">
        <f t="shared" si="42"/>
        <v>1.0329978488238504E+148</v>
      </c>
      <c r="L193" s="79">
        <f t="shared" si="44"/>
        <v>6.623095521562643</v>
      </c>
      <c r="M193" s="79">
        <f t="shared" si="45"/>
        <v>1.0869248237899214E-100</v>
      </c>
      <c r="N193" s="79">
        <f t="shared" si="46"/>
        <v>9.2281352262398655E-101</v>
      </c>
      <c r="O193" s="78">
        <f t="shared" si="43"/>
        <v>0.84901319983317081</v>
      </c>
    </row>
    <row r="194" spans="2:15" x14ac:dyDescent="0.25">
      <c r="B194" s="15">
        <v>191</v>
      </c>
      <c r="C194" s="15">
        <v>1</v>
      </c>
      <c r="D194" s="80">
        <f t="shared" si="36"/>
        <v>3.0047811235023325E+47</v>
      </c>
      <c r="E194" s="80">
        <f t="shared" si="37"/>
        <v>1.0108100438050355E+149</v>
      </c>
      <c r="F194" s="15">
        <f t="shared" si="38"/>
        <v>1</v>
      </c>
      <c r="G194" s="4">
        <f t="shared" si="39"/>
        <v>2.9726466826460354E-102</v>
      </c>
      <c r="H194" s="76">
        <v>0.01</v>
      </c>
      <c r="I194" s="15">
        <f t="shared" si="40"/>
        <v>1.01</v>
      </c>
      <c r="J194" s="79">
        <f t="shared" si="41"/>
        <v>3.0047811235023325E+47</v>
      </c>
      <c r="K194" s="79">
        <f t="shared" si="42"/>
        <v>1.0108100438050355E+149</v>
      </c>
      <c r="L194" s="79">
        <f t="shared" si="44"/>
        <v>6.6893264767782679</v>
      </c>
      <c r="M194" s="79">
        <f t="shared" si="45"/>
        <v>1.9885004160331208E-101</v>
      </c>
      <c r="N194" s="79">
        <f t="shared" si="46"/>
        <v>1.6912357477685171E-101</v>
      </c>
      <c r="O194" s="78">
        <f t="shared" si="43"/>
        <v>0.85050811864670373</v>
      </c>
    </row>
    <row r="195" spans="2:15" x14ac:dyDescent="0.25">
      <c r="B195" s="15">
        <v>192</v>
      </c>
      <c r="C195" s="15">
        <v>1</v>
      </c>
      <c r="D195" s="80">
        <f t="shared" si="36"/>
        <v>5.3258358734799046E+47</v>
      </c>
      <c r="E195" s="80">
        <f t="shared" si="37"/>
        <v>9.9167793487095964E+149</v>
      </c>
      <c r="F195" s="15">
        <f t="shared" si="38"/>
        <v>1</v>
      </c>
      <c r="G195" s="4">
        <f t="shared" si="39"/>
        <v>5.3705297720201065E-103</v>
      </c>
      <c r="H195" s="76">
        <v>0.01</v>
      </c>
      <c r="I195" s="15">
        <f t="shared" si="40"/>
        <v>1.01</v>
      </c>
      <c r="J195" s="79">
        <f t="shared" si="41"/>
        <v>5.3258358734799046E+47</v>
      </c>
      <c r="K195" s="79">
        <f t="shared" si="42"/>
        <v>9.9167793487095964E+149</v>
      </c>
      <c r="L195" s="79">
        <f t="shared" si="44"/>
        <v>6.7562197415460519</v>
      </c>
      <c r="M195" s="79">
        <f t="shared" si="45"/>
        <v>3.6284479268283055E-102</v>
      </c>
      <c r="N195" s="79">
        <f t="shared" si="46"/>
        <v>3.091394949626295E-102</v>
      </c>
      <c r="O195" s="78">
        <f t="shared" si="43"/>
        <v>0.85198823628386522</v>
      </c>
    </row>
    <row r="196" spans="2:15" x14ac:dyDescent="0.25">
      <c r="B196" s="15">
        <v>193</v>
      </c>
      <c r="C196" s="15">
        <v>1</v>
      </c>
      <c r="D196" s="80">
        <f t="shared" si="36"/>
        <v>9.4397983032402195E+47</v>
      </c>
      <c r="E196" s="80">
        <f t="shared" si="37"/>
        <v>9.7543169227182804E+150</v>
      </c>
      <c r="F196" s="15">
        <f t="shared" si="38"/>
        <v>1</v>
      </c>
      <c r="G196" s="4">
        <f t="shared" si="39"/>
        <v>9.6775595646830666E-104</v>
      </c>
      <c r="H196" s="76">
        <v>0.01</v>
      </c>
      <c r="I196" s="15">
        <f t="shared" si="40"/>
        <v>1.01</v>
      </c>
      <c r="J196" s="79">
        <f t="shared" si="41"/>
        <v>9.4397983032402195E+47</v>
      </c>
      <c r="K196" s="79">
        <f t="shared" si="42"/>
        <v>9.7543169227182804E+150</v>
      </c>
      <c r="L196" s="79">
        <f t="shared" si="44"/>
        <v>6.8237819389615124</v>
      </c>
      <c r="M196" s="79">
        <f t="shared" si="45"/>
        <v>6.6037556170708547E-103</v>
      </c>
      <c r="N196" s="79">
        <f t="shared" si="46"/>
        <v>5.6359996606025483E-103</v>
      </c>
      <c r="O196" s="78">
        <f t="shared" si="43"/>
        <v>0.8534536992909556</v>
      </c>
    </row>
    <row r="197" spans="2:15" x14ac:dyDescent="0.25">
      <c r="B197" s="15">
        <v>194</v>
      </c>
      <c r="C197" s="15">
        <v>1</v>
      </c>
      <c r="D197" s="80">
        <f t="shared" si="36"/>
        <v>1.6731606854349447E+48</v>
      </c>
      <c r="E197" s="80">
        <f t="shared" si="37"/>
        <v>9.6192759682483772E+151</v>
      </c>
      <c r="F197" s="15">
        <f t="shared" si="38"/>
        <v>1</v>
      </c>
      <c r="G197" s="4">
        <f t="shared" si="39"/>
        <v>1.7393831832642795E-104</v>
      </c>
      <c r="H197" s="76">
        <v>0.01</v>
      </c>
      <c r="I197" s="15">
        <f t="shared" si="40"/>
        <v>1.01</v>
      </c>
      <c r="J197" s="79">
        <f t="shared" si="41"/>
        <v>1.6731606854349447E+48</v>
      </c>
      <c r="K197" s="79">
        <f t="shared" si="42"/>
        <v>9.6192759682483772E+151</v>
      </c>
      <c r="L197" s="79">
        <f t="shared" si="44"/>
        <v>6.892019758351128</v>
      </c>
      <c r="M197" s="79">
        <f t="shared" si="45"/>
        <v>1.1987863266401095E-103</v>
      </c>
      <c r="N197" s="79">
        <f t="shared" si="46"/>
        <v>1.0248480083136816E-103</v>
      </c>
      <c r="O197" s="78">
        <f t="shared" si="43"/>
        <v>0.85490465276332239</v>
      </c>
    </row>
    <row r="198" spans="2:15" x14ac:dyDescent="0.25">
      <c r="B198" s="15">
        <v>195</v>
      </c>
      <c r="C198" s="15">
        <v>1</v>
      </c>
      <c r="D198" s="80">
        <f t="shared" si="36"/>
        <v>2.9656001000828886E+48</v>
      </c>
      <c r="E198" s="80">
        <f t="shared" si="37"/>
        <v>9.5104589996509128E+152</v>
      </c>
      <c r="F198" s="15">
        <f t="shared" si="38"/>
        <v>1</v>
      </c>
      <c r="G198" s="4">
        <f t="shared" si="39"/>
        <v>3.1182512854445224E-105</v>
      </c>
      <c r="H198" s="76">
        <v>0.01</v>
      </c>
      <c r="I198" s="15">
        <f t="shared" si="40"/>
        <v>1.01</v>
      </c>
      <c r="J198" s="79">
        <f t="shared" si="41"/>
        <v>2.9656001000828886E+48</v>
      </c>
      <c r="K198" s="79">
        <f t="shared" si="42"/>
        <v>9.5104589996509128E+152</v>
      </c>
      <c r="L198" s="79">
        <f t="shared" si="44"/>
        <v>6.9609399559346379</v>
      </c>
      <c r="M198" s="79">
        <f t="shared" si="45"/>
        <v>2.1705959965495323E-104</v>
      </c>
      <c r="N198" s="79">
        <f t="shared" si="46"/>
        <v>1.85877086800508E-104</v>
      </c>
      <c r="O198" s="78">
        <f t="shared" si="43"/>
        <v>0.85634124035972514</v>
      </c>
    </row>
    <row r="199" spans="2:15" x14ac:dyDescent="0.25">
      <c r="B199" s="15">
        <v>196</v>
      </c>
      <c r="C199" s="15">
        <v>1</v>
      </c>
      <c r="D199" s="80">
        <f t="shared" si="36"/>
        <v>5.2563893176376845E+48</v>
      </c>
      <c r="E199" s="80">
        <f t="shared" si="37"/>
        <v>9.4268904488830619E+153</v>
      </c>
      <c r="F199" s="15">
        <f t="shared" si="38"/>
        <v>1</v>
      </c>
      <c r="G199" s="4">
        <f t="shared" si="39"/>
        <v>5.5759524799192756E-106</v>
      </c>
      <c r="H199" s="76">
        <v>0.01</v>
      </c>
      <c r="I199" s="15">
        <f t="shared" si="40"/>
        <v>1.01</v>
      </c>
      <c r="J199" s="79">
        <f t="shared" si="41"/>
        <v>5.2563893176376845E+48</v>
      </c>
      <c r="K199" s="79">
        <f t="shared" si="42"/>
        <v>9.4268904488830619E+153</v>
      </c>
      <c r="L199" s="79">
        <f t="shared" si="44"/>
        <v>7.0305493554939851</v>
      </c>
      <c r="M199" s="79">
        <f t="shared" si="45"/>
        <v>3.9202009113961553E-105</v>
      </c>
      <c r="N199" s="79">
        <f t="shared" si="46"/>
        <v>3.3626056634042279E-105</v>
      </c>
      <c r="O199" s="78">
        <f t="shared" si="43"/>
        <v>0.85776360431655951</v>
      </c>
    </row>
    <row r="200" spans="2:15" x14ac:dyDescent="0.25">
      <c r="B200" s="15">
        <v>197</v>
      </c>
      <c r="C200" s="15">
        <v>1</v>
      </c>
      <c r="D200" s="80">
        <f t="shared" si="36"/>
        <v>9.3167074879055644E+48</v>
      </c>
      <c r="E200" s="80">
        <f t="shared" si="37"/>
        <v>9.3678021146555915E+154</v>
      </c>
      <c r="F200" s="15">
        <f t="shared" si="38"/>
        <v>1</v>
      </c>
      <c r="G200" s="4">
        <f t="shared" si="39"/>
        <v>9.9454571882233808E-107</v>
      </c>
      <c r="H200" s="76">
        <v>0.01</v>
      </c>
      <c r="I200" s="15">
        <f t="shared" si="40"/>
        <v>1.01</v>
      </c>
      <c r="J200" s="79">
        <f t="shared" si="41"/>
        <v>9.3167074879055644E+48</v>
      </c>
      <c r="K200" s="79">
        <f t="shared" si="42"/>
        <v>9.3678021146555915E+154</v>
      </c>
      <c r="L200" s="79">
        <f t="shared" si="44"/>
        <v>7.1008548490489245</v>
      </c>
      <c r="M200" s="79">
        <f t="shared" si="45"/>
        <v>7.0621247901004483E-106</v>
      </c>
      <c r="N200" s="79">
        <f t="shared" si="46"/>
        <v>6.06757907127811E-106</v>
      </c>
      <c r="O200" s="78">
        <f t="shared" si="43"/>
        <v>0.85917188546194012</v>
      </c>
    </row>
    <row r="201" spans="2:15" x14ac:dyDescent="0.25">
      <c r="B201" s="15">
        <v>198</v>
      </c>
      <c r="C201" s="15">
        <v>1</v>
      </c>
      <c r="D201" s="80">
        <f t="shared" si="36"/>
        <v>1.6513434064698415E+49</v>
      </c>
      <c r="E201" s="80">
        <f t="shared" si="37"/>
        <v>9.3326215443944039E+155</v>
      </c>
      <c r="F201" s="15">
        <f t="shared" si="38"/>
        <v>1</v>
      </c>
      <c r="G201" s="4">
        <f t="shared" si="39"/>
        <v>1.7694314492605922E-107</v>
      </c>
      <c r="H201" s="76">
        <v>0.01</v>
      </c>
      <c r="I201" s="15">
        <f t="shared" si="40"/>
        <v>1.01</v>
      </c>
      <c r="J201" s="79">
        <f t="shared" si="41"/>
        <v>1.6513434064698415E+49</v>
      </c>
      <c r="K201" s="79">
        <f t="shared" si="42"/>
        <v>9.3326215443944039E+155</v>
      </c>
      <c r="L201" s="79">
        <f t="shared" si="44"/>
        <v>7.1718633975394157</v>
      </c>
      <c r="M201" s="79">
        <f t="shared" si="45"/>
        <v>1.2690120645407162E-106</v>
      </c>
      <c r="N201" s="79">
        <f t="shared" si="46"/>
        <v>1.092068919614657E-106</v>
      </c>
      <c r="O201" s="78">
        <f t="shared" si="43"/>
        <v>0.86056622322964371</v>
      </c>
    </row>
    <row r="202" spans="2:15" x14ac:dyDescent="0.25">
      <c r="B202" s="15">
        <v>199</v>
      </c>
      <c r="C202" s="15">
        <v>1</v>
      </c>
      <c r="D202" s="80">
        <f t="shared" si="36"/>
        <v>2.926929979964916E+49</v>
      </c>
      <c r="E202" s="80">
        <f t="shared" si="37"/>
        <v>9.3209631040822452E+156</v>
      </c>
      <c r="F202" s="15">
        <f t="shared" si="38"/>
        <v>1</v>
      </c>
      <c r="G202" s="4">
        <f t="shared" si="39"/>
        <v>3.1401583154889073E-108</v>
      </c>
      <c r="H202" s="76">
        <v>0.01</v>
      </c>
      <c r="I202" s="15">
        <f t="shared" si="40"/>
        <v>1.01</v>
      </c>
      <c r="J202" s="79">
        <f t="shared" si="41"/>
        <v>2.926929979964916E+49</v>
      </c>
      <c r="K202" s="79">
        <f t="shared" si="42"/>
        <v>9.3209631040822452E+156</v>
      </c>
      <c r="L202" s="79">
        <f t="shared" si="44"/>
        <v>7.2435820315148067</v>
      </c>
      <c r="M202" s="79">
        <f t="shared" si="45"/>
        <v>2.2745994350187253E-107</v>
      </c>
      <c r="N202" s="79">
        <f t="shared" si="46"/>
        <v>1.9605836034698347E-107</v>
      </c>
      <c r="O202" s="78">
        <f t="shared" si="43"/>
        <v>0.86194675567291457</v>
      </c>
    </row>
    <row r="203" spans="2:15" x14ac:dyDescent="0.25">
      <c r="B203" s="15">
        <v>200</v>
      </c>
      <c r="C203" s="15">
        <v>1</v>
      </c>
      <c r="D203" s="80">
        <f t="shared" si="36"/>
        <v>5.1878483143195987E+49</v>
      </c>
      <c r="E203" s="80">
        <f t="shared" si="37"/>
        <v>9.3326215443942249E+157</v>
      </c>
      <c r="F203" s="15">
        <f t="shared" si="38"/>
        <v>1</v>
      </c>
      <c r="G203" s="4">
        <f t="shared" si="39"/>
        <v>5.5588328420279246E-109</v>
      </c>
      <c r="H203" s="76">
        <v>0.01</v>
      </c>
      <c r="I203" s="15">
        <f t="shared" si="40"/>
        <v>1.01</v>
      </c>
      <c r="J203" s="79">
        <f t="shared" si="41"/>
        <v>5.1878483143195987E+49</v>
      </c>
      <c r="K203" s="79">
        <f t="shared" si="42"/>
        <v>9.3326215443942249E+157</v>
      </c>
      <c r="L203" s="79">
        <f t="shared" si="44"/>
        <v>7.3160178518299572</v>
      </c>
      <c r="M203" s="79">
        <f t="shared" si="45"/>
        <v>4.066852030761495E-108</v>
      </c>
      <c r="N203" s="79">
        <f t="shared" si="46"/>
        <v>3.5109687465587027E-108</v>
      </c>
      <c r="O203" s="78">
        <f t="shared" si="43"/>
        <v>0.86331361947813323</v>
      </c>
    </row>
    <row r="204" spans="2:15" x14ac:dyDescent="0.25">
      <c r="B204" s="15">
        <v>201</v>
      </c>
      <c r="C204" s="15">
        <v>1</v>
      </c>
      <c r="D204" s="80">
        <f t="shared" si="36"/>
        <v>9.1952217226295062E+49</v>
      </c>
      <c r="E204" s="80">
        <f t="shared" si="37"/>
        <v>9.3675679196027715E+158</v>
      </c>
      <c r="F204" s="15">
        <f t="shared" si="38"/>
        <v>1</v>
      </c>
      <c r="G204" s="4">
        <f t="shared" si="39"/>
        <v>9.8160182040285927E-110</v>
      </c>
      <c r="H204" s="76">
        <v>0.01</v>
      </c>
      <c r="I204" s="15">
        <f t="shared" si="40"/>
        <v>1.01</v>
      </c>
      <c r="J204" s="79">
        <f t="shared" si="41"/>
        <v>9.1952217226295062E+49</v>
      </c>
      <c r="K204" s="79">
        <f t="shared" si="42"/>
        <v>9.3675679196027715E+158</v>
      </c>
      <c r="L204" s="79">
        <f t="shared" si="44"/>
        <v>7.3891780303482566</v>
      </c>
      <c r="M204" s="79">
        <f t="shared" si="45"/>
        <v>7.2532306058706633E-109</v>
      </c>
      <c r="N204" s="79">
        <f t="shared" si="46"/>
        <v>6.271628785467804E-109</v>
      </c>
      <c r="O204" s="78">
        <f t="shared" si="43"/>
        <v>0.8646669499783497</v>
      </c>
    </row>
    <row r="205" spans="2:15" x14ac:dyDescent="0.25">
      <c r="B205" s="15">
        <v>202</v>
      </c>
      <c r="C205" s="15">
        <v>1</v>
      </c>
      <c r="D205" s="80">
        <f t="shared" si="36"/>
        <v>1.6298106152204642E+50</v>
      </c>
      <c r="E205" s="80">
        <f t="shared" si="37"/>
        <v>9.4259477598377589E+159</v>
      </c>
      <c r="F205" s="15">
        <f t="shared" si="38"/>
        <v>1</v>
      </c>
      <c r="G205" s="4">
        <f t="shared" si="39"/>
        <v>1.7290681603019162E-110</v>
      </c>
      <c r="H205" s="76">
        <v>0.01</v>
      </c>
      <c r="I205" s="15">
        <f t="shared" si="40"/>
        <v>1.01</v>
      </c>
      <c r="J205" s="79">
        <f t="shared" si="41"/>
        <v>1.6298106152204642E+50</v>
      </c>
      <c r="K205" s="79">
        <f t="shared" si="42"/>
        <v>9.4259477598377589E+159</v>
      </c>
      <c r="L205" s="79">
        <f t="shared" si="44"/>
        <v>7.4630698106517395</v>
      </c>
      <c r="M205" s="79">
        <f t="shared" si="45"/>
        <v>1.2904156387708372E-109</v>
      </c>
      <c r="N205" s="79">
        <f t="shared" si="46"/>
        <v>1.1175088227406456E-109</v>
      </c>
      <c r="O205" s="78">
        <f t="shared" si="43"/>
        <v>0.8660068811666829</v>
      </c>
    </row>
    <row r="206" spans="2:15" x14ac:dyDescent="0.25">
      <c r="B206" s="15">
        <v>203</v>
      </c>
      <c r="C206" s="15">
        <v>1</v>
      </c>
      <c r="D206" s="80">
        <f t="shared" si="36"/>
        <v>2.8887641011942161E+50</v>
      </c>
      <c r="E206" s="80">
        <f t="shared" si="37"/>
        <v>9.5080814383970219E+160</v>
      </c>
      <c r="F206" s="15">
        <f t="shared" si="38"/>
        <v>1</v>
      </c>
      <c r="G206" s="4">
        <f t="shared" si="39"/>
        <v>3.0382197711605172E-111</v>
      </c>
      <c r="H206" s="76">
        <v>0.01</v>
      </c>
      <c r="I206" s="15">
        <f t="shared" si="40"/>
        <v>1.01</v>
      </c>
      <c r="J206" s="79">
        <f t="shared" si="41"/>
        <v>2.8887641011942161E+50</v>
      </c>
      <c r="K206" s="79">
        <f t="shared" si="42"/>
        <v>9.5080814383970219E+160</v>
      </c>
      <c r="L206" s="79">
        <f t="shared" si="44"/>
        <v>7.537700508758256</v>
      </c>
      <c r="M206" s="79">
        <f t="shared" si="45"/>
        <v>2.2901190714796023E-110</v>
      </c>
      <c r="N206" s="79">
        <f t="shared" si="46"/>
        <v>1.9862970943635505E-110</v>
      </c>
      <c r="O206" s="78">
        <f t="shared" si="43"/>
        <v>0.86733354570958698</v>
      </c>
    </row>
    <row r="207" spans="2:15" x14ac:dyDescent="0.25">
      <c r="B207" s="15">
        <v>204</v>
      </c>
      <c r="C207" s="15">
        <v>1</v>
      </c>
      <c r="D207" s="80">
        <f t="shared" si="36"/>
        <v>5.120201055519271E+50</v>
      </c>
      <c r="E207" s="80">
        <f t="shared" si="37"/>
        <v>9.6144667150350831E+161</v>
      </c>
      <c r="F207" s="15">
        <f t="shared" si="38"/>
        <v>1</v>
      </c>
      <c r="G207" s="4">
        <f t="shared" si="39"/>
        <v>5.3255174803531344E-112</v>
      </c>
      <c r="H207" s="76">
        <v>0.01</v>
      </c>
      <c r="I207" s="15">
        <f t="shared" si="40"/>
        <v>1.01</v>
      </c>
      <c r="J207" s="79">
        <f t="shared" si="41"/>
        <v>5.120201055519271E+50</v>
      </c>
      <c r="K207" s="79">
        <f t="shared" si="42"/>
        <v>9.6144667150350831E+161</v>
      </c>
      <c r="L207" s="79">
        <f t="shared" si="44"/>
        <v>7.6130775138458384</v>
      </c>
      <c r="M207" s="79">
        <f t="shared" si="45"/>
        <v>4.0543577379269393E-111</v>
      </c>
      <c r="N207" s="79">
        <f t="shared" si="46"/>
        <v>3.5218059898916261E-111</v>
      </c>
      <c r="O207" s="78">
        <f t="shared" si="43"/>
        <v>0.86864707495998716</v>
      </c>
    </row>
    <row r="208" spans="2:15" x14ac:dyDescent="0.25">
      <c r="B208" s="15">
        <v>205</v>
      </c>
      <c r="C208" s="15">
        <v>1</v>
      </c>
      <c r="D208" s="80">
        <f t="shared" si="36"/>
        <v>9.0753200782656765E+50</v>
      </c>
      <c r="E208" s="80">
        <f t="shared" si="37"/>
        <v>9.7457834743564813E+162</v>
      </c>
      <c r="F208" s="15">
        <f t="shared" si="38"/>
        <v>1</v>
      </c>
      <c r="G208" s="4">
        <f t="shared" si="39"/>
        <v>9.3120477200679076E-113</v>
      </c>
      <c r="H208" s="76">
        <v>0.01</v>
      </c>
      <c r="I208" s="15">
        <f t="shared" si="40"/>
        <v>1.01</v>
      </c>
      <c r="J208" s="79">
        <f t="shared" si="41"/>
        <v>9.0753200782656765E+50</v>
      </c>
      <c r="K208" s="79">
        <f t="shared" si="42"/>
        <v>9.7457834743564813E+162</v>
      </c>
      <c r="L208" s="79">
        <f t="shared" si="44"/>
        <v>7.6892082889842968</v>
      </c>
      <c r="M208" s="79">
        <f t="shared" si="45"/>
        <v>7.1602274516563473E-112</v>
      </c>
      <c r="N208" s="79">
        <f t="shared" si="46"/>
        <v>6.2290226796495566E-112</v>
      </c>
      <c r="O208" s="78">
        <f t="shared" si="43"/>
        <v>0.86994759897028429</v>
      </c>
    </row>
    <row r="209" spans="2:15" x14ac:dyDescent="0.25">
      <c r="B209" s="15">
        <v>206</v>
      </c>
      <c r="C209" s="15">
        <v>1</v>
      </c>
      <c r="D209" s="80">
        <f t="shared" si="36"/>
        <v>1.6085586020922047E+51</v>
      </c>
      <c r="E209" s="80">
        <f t="shared" si="37"/>
        <v>9.9029007164857496E+163</v>
      </c>
      <c r="F209" s="15">
        <f t="shared" si="38"/>
        <v>1</v>
      </c>
      <c r="G209" s="4">
        <f t="shared" si="39"/>
        <v>1.6243307371691344E-113</v>
      </c>
      <c r="H209" s="76">
        <v>0.01</v>
      </c>
      <c r="I209" s="15">
        <f t="shared" si="40"/>
        <v>1.01</v>
      </c>
      <c r="J209" s="79">
        <f t="shared" si="41"/>
        <v>1.6085586020922047E+51</v>
      </c>
      <c r="K209" s="79">
        <f t="shared" si="42"/>
        <v>9.9029007164857496E+163</v>
      </c>
      <c r="L209" s="79">
        <f t="shared" si="44"/>
        <v>7.766100371874141</v>
      </c>
      <c r="M209" s="79">
        <f t="shared" si="45"/>
        <v>1.2614715541975811E-112</v>
      </c>
      <c r="N209" s="79">
        <f t="shared" si="46"/>
        <v>1.0990384804806678E-112</v>
      </c>
      <c r="O209" s="78">
        <f t="shared" si="43"/>
        <v>0.87123524650523199</v>
      </c>
    </row>
    <row r="210" spans="2:15" x14ac:dyDescent="0.25">
      <c r="B210" s="15">
        <v>207</v>
      </c>
      <c r="C210" s="15">
        <v>1</v>
      </c>
      <c r="D210" s="80">
        <f t="shared" si="36"/>
        <v>2.8510958886855415E+51</v>
      </c>
      <c r="E210" s="80">
        <f t="shared" si="37"/>
        <v>1.0086885895959537E+165</v>
      </c>
      <c r="F210" s="15">
        <f t="shared" si="38"/>
        <v>1</v>
      </c>
      <c r="G210" s="4">
        <f t="shared" si="39"/>
        <v>2.8265372664001218E-114</v>
      </c>
      <c r="H210" s="76">
        <v>0.01</v>
      </c>
      <c r="I210" s="15">
        <f t="shared" si="40"/>
        <v>1.01</v>
      </c>
      <c r="J210" s="79">
        <f t="shared" si="41"/>
        <v>2.8510958886855415E+51</v>
      </c>
      <c r="K210" s="79">
        <f t="shared" si="42"/>
        <v>1.0086885895959537E+165</v>
      </c>
      <c r="L210" s="79">
        <f t="shared" si="44"/>
        <v>7.8437613755928801</v>
      </c>
      <c r="M210" s="79">
        <f t="shared" si="45"/>
        <v>2.2170683836863157E-113</v>
      </c>
      <c r="N210" s="79">
        <f t="shared" si="46"/>
        <v>1.9344146570463035E-113</v>
      </c>
      <c r="O210" s="78">
        <f t="shared" si="43"/>
        <v>0.87251014505468505</v>
      </c>
    </row>
    <row r="211" spans="2:15" x14ac:dyDescent="0.25">
      <c r="B211" s="15">
        <v>208</v>
      </c>
      <c r="C211" s="15">
        <v>1</v>
      </c>
      <c r="D211" s="80">
        <f t="shared" si="36"/>
        <v>5.0534358872015375E+51</v>
      </c>
      <c r="E211" s="80">
        <f t="shared" si="37"/>
        <v>1.0299016745144867E+166</v>
      </c>
      <c r="F211" s="15">
        <f t="shared" si="38"/>
        <v>1</v>
      </c>
      <c r="G211" s="4">
        <f t="shared" si="39"/>
        <v>4.9067168373950003E-115</v>
      </c>
      <c r="H211" s="76">
        <v>0.01</v>
      </c>
      <c r="I211" s="15">
        <f t="shared" si="40"/>
        <v>1.01</v>
      </c>
      <c r="J211" s="79">
        <f t="shared" si="41"/>
        <v>5.0534358872015375E+51</v>
      </c>
      <c r="K211" s="79">
        <f t="shared" si="42"/>
        <v>1.0299016745144867E+166</v>
      </c>
      <c r="L211" s="79">
        <f t="shared" si="44"/>
        <v>7.9221989893488116</v>
      </c>
      <c r="M211" s="79">
        <f t="shared" si="45"/>
        <v>3.8871987170231474E-114</v>
      </c>
      <c r="N211" s="79">
        <f t="shared" si="46"/>
        <v>3.3965270332836476E-114</v>
      </c>
      <c r="O211" s="78">
        <f t="shared" si="43"/>
        <v>0.87377242084622297</v>
      </c>
    </row>
    <row r="212" spans="2:15" x14ac:dyDescent="0.25">
      <c r="B212" s="15">
        <v>209</v>
      </c>
      <c r="C212" s="15">
        <v>1</v>
      </c>
      <c r="D212" s="80">
        <f t="shared" si="36"/>
        <v>8.9569818985745668E+51</v>
      </c>
      <c r="E212" s="80">
        <f t="shared" si="37"/>
        <v>1.0540795761277733E+167</v>
      </c>
      <c r="F212" s="15">
        <f t="shared" si="38"/>
        <v>1</v>
      </c>
      <c r="G212" s="4">
        <f t="shared" si="39"/>
        <v>8.4974437427946333E-116</v>
      </c>
      <c r="H212" s="76">
        <v>0.01</v>
      </c>
      <c r="I212" s="15">
        <f t="shared" si="40"/>
        <v>1.01</v>
      </c>
      <c r="J212" s="79">
        <f t="shared" si="41"/>
        <v>8.9569818985745668E+51</v>
      </c>
      <c r="K212" s="79">
        <f t="shared" si="42"/>
        <v>1.0540795761277733E+167</v>
      </c>
      <c r="L212" s="79">
        <f t="shared" si="44"/>
        <v>8.0014209792422992</v>
      </c>
      <c r="M212" s="79">
        <f t="shared" si="45"/>
        <v>6.7991624633528184E-115</v>
      </c>
      <c r="N212" s="79">
        <f t="shared" si="46"/>
        <v>5.9494180890733552E-115</v>
      </c>
      <c r="O212" s="78">
        <f t="shared" si="43"/>
        <v>0.87502219885764643</v>
      </c>
    </row>
    <row r="213" spans="2:15" x14ac:dyDescent="0.25">
      <c r="B213" s="15">
        <v>210</v>
      </c>
      <c r="C213" s="15">
        <v>1</v>
      </c>
      <c r="D213" s="80">
        <f t="shared" si="36"/>
        <v>1.587583705861937E+52</v>
      </c>
      <c r="E213" s="80">
        <f t="shared" si="37"/>
        <v>1.0813967582402365E+168</v>
      </c>
      <c r="F213" s="15">
        <f t="shared" si="38"/>
        <v>1</v>
      </c>
      <c r="G213" s="4">
        <f t="shared" si="39"/>
        <v>1.4680862447242967E-116</v>
      </c>
      <c r="H213" s="76">
        <v>0.01</v>
      </c>
      <c r="I213" s="15">
        <f t="shared" si="40"/>
        <v>1.01</v>
      </c>
      <c r="J213" s="79">
        <f t="shared" si="41"/>
        <v>1.587583705861937E+52</v>
      </c>
      <c r="K213" s="79">
        <f t="shared" si="42"/>
        <v>1.0813967582402365E+168</v>
      </c>
      <c r="L213" s="79">
        <f t="shared" si="44"/>
        <v>8.0814351890347247</v>
      </c>
      <c r="M213" s="79">
        <f t="shared" si="45"/>
        <v>1.1864243838652777E-115</v>
      </c>
      <c r="N213" s="79">
        <f t="shared" si="46"/>
        <v>1.0396157593928479E-115</v>
      </c>
      <c r="O213" s="78">
        <f t="shared" si="43"/>
        <v>0.87625960282935289</v>
      </c>
    </row>
    <row r="214" spans="2:15" x14ac:dyDescent="0.25">
      <c r="B214" s="15">
        <v>211</v>
      </c>
      <c r="C214" s="15">
        <v>1</v>
      </c>
      <c r="D214" s="80">
        <f t="shared" ref="D214:D277" si="47">PI()^(B214/2)</f>
        <v>2.8139188530898636E+52</v>
      </c>
      <c r="E214" s="80">
        <f t="shared" ref="E214:E277" si="48">EXP(_xlfn.GAMMALN.PRECISE((B214/2)+1))</f>
        <v>1.1120539528148039E+169</v>
      </c>
      <c r="F214" s="15">
        <f t="shared" ref="F214:F277" si="49">C214^B214</f>
        <v>1</v>
      </c>
      <c r="G214" s="4">
        <f t="shared" ref="G214:G277" si="50">D214*F214/E214</f>
        <v>2.5303797949437082E-117</v>
      </c>
      <c r="H214" s="76">
        <v>0.01</v>
      </c>
      <c r="I214" s="15">
        <f t="shared" ref="I214:I277" si="51">C214+(H214*C214)</f>
        <v>1.01</v>
      </c>
      <c r="J214" s="79">
        <f t="shared" ref="J214:J277" si="52">PI()^(B214/2)</f>
        <v>2.8139188530898636E+52</v>
      </c>
      <c r="K214" s="79">
        <f t="shared" ref="K214:K277" si="53">EXP(_xlfn.GAMMALN.PRECISE((B214/2)+1))</f>
        <v>1.1120539528148039E+169</v>
      </c>
      <c r="L214" s="79">
        <f t="shared" si="44"/>
        <v>8.1622495409250693</v>
      </c>
      <c r="M214" s="79">
        <f t="shared" si="45"/>
        <v>2.0653591319645353E-116</v>
      </c>
      <c r="N214" s="79">
        <f t="shared" si="46"/>
        <v>1.8123211524701645E-116</v>
      </c>
      <c r="O214" s="78">
        <f t="shared" ref="O214:O277" si="54">N214/M214</f>
        <v>0.87748475527658698</v>
      </c>
    </row>
    <row r="215" spans="2:15" x14ac:dyDescent="0.25">
      <c r="B215" s="15">
        <v>212</v>
      </c>
      <c r="C215" s="15">
        <v>1</v>
      </c>
      <c r="D215" s="80">
        <f t="shared" si="47"/>
        <v>4.987541307294721E+52</v>
      </c>
      <c r="E215" s="80">
        <f t="shared" si="48"/>
        <v>1.1462805637346311E+170</v>
      </c>
      <c r="F215" s="15">
        <f t="shared" si="49"/>
        <v>1</v>
      </c>
      <c r="G215" s="4">
        <f t="shared" si="50"/>
        <v>4.3510650577944883E-118</v>
      </c>
      <c r="H215" s="76">
        <v>0.01</v>
      </c>
      <c r="I215" s="15">
        <f t="shared" si="51"/>
        <v>1.01</v>
      </c>
      <c r="J215" s="79">
        <f t="shared" si="52"/>
        <v>4.987541307294721E+52</v>
      </c>
      <c r="K215" s="79">
        <f t="shared" si="53"/>
        <v>1.1462805637346311E+170</v>
      </c>
      <c r="L215" s="79">
        <f t="shared" si="44"/>
        <v>8.2438720363343219</v>
      </c>
      <c r="M215" s="79">
        <f t="shared" si="45"/>
        <v>3.5869623558223364E-117</v>
      </c>
      <c r="N215" s="79">
        <f t="shared" si="46"/>
        <v>3.1518558500428877E-117</v>
      </c>
      <c r="O215" s="78">
        <f t="shared" si="54"/>
        <v>0.87869777750157141</v>
      </c>
    </row>
    <row r="216" spans="2:15" x14ac:dyDescent="0.25">
      <c r="B216" s="15">
        <v>213</v>
      </c>
      <c r="C216" s="15">
        <v>1</v>
      </c>
      <c r="D216" s="80">
        <f t="shared" si="47"/>
        <v>8.8401867966649381E+52</v>
      </c>
      <c r="E216" s="80">
        <f t="shared" si="48"/>
        <v>1.1843374597476845E+171</v>
      </c>
      <c r="F216" s="15">
        <f t="shared" si="49"/>
        <v>1</v>
      </c>
      <c r="G216" s="4">
        <f t="shared" si="50"/>
        <v>7.4642465489086898E-119</v>
      </c>
      <c r="H216" s="76">
        <v>0.01</v>
      </c>
      <c r="I216" s="15">
        <f t="shared" si="51"/>
        <v>1.01</v>
      </c>
      <c r="J216" s="79">
        <f t="shared" si="52"/>
        <v>8.8401867966649381E+52</v>
      </c>
      <c r="K216" s="79">
        <f t="shared" si="53"/>
        <v>1.1843374597476845E+171</v>
      </c>
      <c r="L216" s="79">
        <f t="shared" si="44"/>
        <v>8.3263107566976622</v>
      </c>
      <c r="M216" s="79">
        <f t="shared" si="45"/>
        <v>6.2149636330821826E-118</v>
      </c>
      <c r="N216" s="79">
        <f t="shared" si="46"/>
        <v>5.4685389781913136E-118</v>
      </c>
      <c r="O216" s="78">
        <f t="shared" si="54"/>
        <v>0.87989878960551615</v>
      </c>
    </row>
    <row r="217" spans="2:15" x14ac:dyDescent="0.25">
      <c r="B217" s="15">
        <v>214</v>
      </c>
      <c r="C217" s="15">
        <v>1</v>
      </c>
      <c r="D217" s="80">
        <f t="shared" si="47"/>
        <v>1.5668823130472728E+53</v>
      </c>
      <c r="E217" s="80">
        <f t="shared" si="48"/>
        <v>1.2265202031960951E+172</v>
      </c>
      <c r="F217" s="15">
        <f t="shared" si="49"/>
        <v>1</v>
      </c>
      <c r="G217" s="4">
        <f t="shared" si="50"/>
        <v>1.2775022449399971E-119</v>
      </c>
      <c r="H217" s="76">
        <v>0.01</v>
      </c>
      <c r="I217" s="15">
        <f t="shared" si="51"/>
        <v>1.01</v>
      </c>
      <c r="J217" s="79">
        <f t="shared" si="52"/>
        <v>1.5668823130472728E+53</v>
      </c>
      <c r="K217" s="79">
        <f t="shared" si="53"/>
        <v>1.2265202031960951E+172</v>
      </c>
      <c r="L217" s="79">
        <f t="shared" si="44"/>
        <v>8.409573864264642</v>
      </c>
      <c r="M217" s="79">
        <f t="shared" si="45"/>
        <v>1.0743249490586806E-118</v>
      </c>
      <c r="N217" s="79">
        <f t="shared" si="46"/>
        <v>9.4657472456468083E-119</v>
      </c>
      <c r="O217" s="78">
        <f t="shared" si="54"/>
        <v>0.88108791050051105</v>
      </c>
    </row>
    <row r="218" spans="2:15" x14ac:dyDescent="0.25">
      <c r="B218" s="15">
        <v>215</v>
      </c>
      <c r="C218" s="15">
        <v>1</v>
      </c>
      <c r="D218" s="80">
        <f t="shared" si="47"/>
        <v>2.7772265896763679E+53</v>
      </c>
      <c r="E218" s="80">
        <f t="shared" si="48"/>
        <v>1.2731627692288067E+173</v>
      </c>
      <c r="F218" s="15">
        <f t="shared" si="49"/>
        <v>1</v>
      </c>
      <c r="G218" s="4">
        <f t="shared" si="50"/>
        <v>2.1813601974542645E-120</v>
      </c>
      <c r="H218" s="76">
        <v>0.01</v>
      </c>
      <c r="I218" s="15">
        <f t="shared" si="51"/>
        <v>1.01</v>
      </c>
      <c r="J218" s="79">
        <f t="shared" si="52"/>
        <v>2.7772265896763679E+53</v>
      </c>
      <c r="K218" s="79">
        <f t="shared" si="53"/>
        <v>1.2731627692288067E+173</v>
      </c>
      <c r="L218" s="79">
        <f t="shared" si="44"/>
        <v>8.4936696029072856</v>
      </c>
      <c r="M218" s="79">
        <f t="shared" si="45"/>
        <v>1.8527752802109122E-119</v>
      </c>
      <c r="N218" s="79">
        <f t="shared" si="46"/>
        <v>1.6346392604654858E-119</v>
      </c>
      <c r="O218" s="78">
        <f t="shared" si="54"/>
        <v>0.88226525792129817</v>
      </c>
    </row>
    <row r="219" spans="2:15" x14ac:dyDescent="0.25">
      <c r="B219" s="15">
        <v>216</v>
      </c>
      <c r="C219" s="15">
        <v>1</v>
      </c>
      <c r="D219" s="80">
        <f t="shared" si="47"/>
        <v>4.9225059637090947E+53</v>
      </c>
      <c r="E219" s="80">
        <f t="shared" si="48"/>
        <v>1.3246418194517783E+174</v>
      </c>
      <c r="F219" s="15">
        <f t="shared" si="49"/>
        <v>1</v>
      </c>
      <c r="G219" s="4">
        <f t="shared" si="50"/>
        <v>3.7161033959703485E-121</v>
      </c>
      <c r="H219" s="76">
        <v>0.01</v>
      </c>
      <c r="I219" s="15">
        <f t="shared" si="51"/>
        <v>1.01</v>
      </c>
      <c r="J219" s="79">
        <f t="shared" si="52"/>
        <v>4.9225059637090947E+53</v>
      </c>
      <c r="K219" s="79">
        <f t="shared" si="53"/>
        <v>1.3246418194517783E+174</v>
      </c>
      <c r="L219" s="79">
        <f t="shared" ref="L219:L282" si="55">I219^B219</f>
        <v>8.5786062989363607</v>
      </c>
      <c r="M219" s="79">
        <f t="shared" ref="M219:M282" si="56">J219*L219/K219</f>
        <v>3.1878988000170037E-120</v>
      </c>
      <c r="N219" s="79">
        <f t="shared" ref="N219:N282" si="57">M219-G219</f>
        <v>2.8162884604199689E-120</v>
      </c>
      <c r="O219" s="78">
        <f t="shared" si="54"/>
        <v>0.88343094843692882</v>
      </c>
    </row>
    <row r="220" spans="2:15" x14ac:dyDescent="0.25">
      <c r="B220" s="15">
        <v>217</v>
      </c>
      <c r="C220" s="15">
        <v>1</v>
      </c>
      <c r="D220" s="80">
        <f t="shared" si="47"/>
        <v>8.7249146514815181E+53</v>
      </c>
      <c r="E220" s="80">
        <f t="shared" si="48"/>
        <v>1.381381604613249E+175</v>
      </c>
      <c r="F220" s="15">
        <f t="shared" si="49"/>
        <v>1</v>
      </c>
      <c r="G220" s="4">
        <f t="shared" si="50"/>
        <v>6.3160784987608601E-122</v>
      </c>
      <c r="H220" s="76">
        <v>0.01</v>
      </c>
      <c r="I220" s="15">
        <f t="shared" si="51"/>
        <v>1.01</v>
      </c>
      <c r="J220" s="79">
        <f t="shared" si="52"/>
        <v>8.7249146514815181E+53</v>
      </c>
      <c r="K220" s="79">
        <f t="shared" si="53"/>
        <v>1.381381604613249E+175</v>
      </c>
      <c r="L220" s="79">
        <f t="shared" si="55"/>
        <v>8.6643923619257261</v>
      </c>
      <c r="M220" s="79">
        <f t="shared" si="56"/>
        <v>5.4724982301986903E-121</v>
      </c>
      <c r="N220" s="79">
        <f t="shared" si="57"/>
        <v>4.8408903803226042E-121</v>
      </c>
      <c r="O220" s="78">
        <f t="shared" si="54"/>
        <v>0.88458509746230574</v>
      </c>
    </row>
    <row r="221" spans="2:15" x14ac:dyDescent="0.25">
      <c r="B221" s="15">
        <v>218</v>
      </c>
      <c r="C221" s="15">
        <v>1</v>
      </c>
      <c r="D221" s="80">
        <f t="shared" si="47"/>
        <v>1.5464508572840436E+54</v>
      </c>
      <c r="E221" s="80">
        <f t="shared" si="48"/>
        <v>1.4438595832025125E+176</v>
      </c>
      <c r="F221" s="15">
        <f t="shared" si="49"/>
        <v>1</v>
      </c>
      <c r="G221" s="4">
        <f t="shared" si="50"/>
        <v>1.0710534980513696E-122</v>
      </c>
      <c r="H221" s="76">
        <v>0.01</v>
      </c>
      <c r="I221" s="15">
        <f t="shared" si="51"/>
        <v>1.01</v>
      </c>
      <c r="J221" s="79">
        <f t="shared" si="52"/>
        <v>1.5464508572840436E+54</v>
      </c>
      <c r="K221" s="79">
        <f t="shared" si="53"/>
        <v>1.4438595832025125E+176</v>
      </c>
      <c r="L221" s="79">
        <f t="shared" si="55"/>
        <v>8.7510362855449841</v>
      </c>
      <c r="M221" s="79">
        <f t="shared" si="56"/>
        <v>9.3728280252074188E-122</v>
      </c>
      <c r="N221" s="79">
        <f t="shared" si="57"/>
        <v>8.3017745271560493E-122</v>
      </c>
      <c r="O221" s="78">
        <f t="shared" si="54"/>
        <v>0.88572781926960964</v>
      </c>
    </row>
    <row r="222" spans="2:15" x14ac:dyDescent="0.25">
      <c r="B222" s="15">
        <v>219</v>
      </c>
      <c r="C222" s="15">
        <v>1</v>
      </c>
      <c r="D222" s="80">
        <f t="shared" si="47"/>
        <v>2.7410127772292308E+54</v>
      </c>
      <c r="E222" s="80">
        <f t="shared" si="48"/>
        <v>1.512612857051536E+177</v>
      </c>
      <c r="F222" s="15">
        <f t="shared" si="49"/>
        <v>1</v>
      </c>
      <c r="G222" s="4">
        <f t="shared" si="50"/>
        <v>1.8121046402925306E-123</v>
      </c>
      <c r="H222" s="76">
        <v>0.01</v>
      </c>
      <c r="I222" s="15">
        <f t="shared" si="51"/>
        <v>1.01</v>
      </c>
      <c r="J222" s="79">
        <f t="shared" si="52"/>
        <v>2.7410127772292308E+54</v>
      </c>
      <c r="K222" s="79">
        <f t="shared" si="53"/>
        <v>1.512612857051536E+177</v>
      </c>
      <c r="L222" s="79">
        <f t="shared" si="55"/>
        <v>8.8385466484004311</v>
      </c>
      <c r="M222" s="79">
        <f t="shared" si="56"/>
        <v>1.6016371395008415E-122</v>
      </c>
      <c r="N222" s="79">
        <f t="shared" si="57"/>
        <v>1.4204266754715884E-122</v>
      </c>
      <c r="O222" s="78">
        <f t="shared" si="54"/>
        <v>0.8868592269996135</v>
      </c>
    </row>
    <row r="223" spans="2:15" x14ac:dyDescent="0.25">
      <c r="B223" s="15">
        <v>220</v>
      </c>
      <c r="C223" s="15">
        <v>1</v>
      </c>
      <c r="D223" s="80">
        <f t="shared" si="47"/>
        <v>4.8583186523811886E+54</v>
      </c>
      <c r="E223" s="80">
        <f t="shared" si="48"/>
        <v>1.5882455415226952E+178</v>
      </c>
      <c r="F223" s="15">
        <f t="shared" si="49"/>
        <v>1</v>
      </c>
      <c r="G223" s="4">
        <f t="shared" si="50"/>
        <v>3.0589216373454341E-124</v>
      </c>
      <c r="H223" s="76">
        <v>0.01</v>
      </c>
      <c r="I223" s="15">
        <f t="shared" si="51"/>
        <v>1.01</v>
      </c>
      <c r="J223" s="79">
        <f t="shared" si="52"/>
        <v>4.8583186523811886E+54</v>
      </c>
      <c r="K223" s="79">
        <f t="shared" si="53"/>
        <v>1.5882455415226952E+178</v>
      </c>
      <c r="L223" s="79">
        <f t="shared" si="55"/>
        <v>8.9269321148844352</v>
      </c>
      <c r="M223" s="79">
        <f t="shared" si="56"/>
        <v>2.7306785801333837E-123</v>
      </c>
      <c r="N223" s="79">
        <f t="shared" si="57"/>
        <v>2.4247864163988404E-123</v>
      </c>
      <c r="O223" s="78">
        <f t="shared" si="54"/>
        <v>0.88797943267288471</v>
      </c>
    </row>
    <row r="224" spans="2:15" x14ac:dyDescent="0.25">
      <c r="B224" s="15">
        <v>221</v>
      </c>
      <c r="C224" s="15">
        <v>1</v>
      </c>
      <c r="D224" s="80">
        <f t="shared" si="47"/>
        <v>8.6111456043391128E+54</v>
      </c>
      <c r="E224" s="80">
        <f t="shared" si="48"/>
        <v>1.6714372070419836E+179</v>
      </c>
      <c r="F224" s="15">
        <f t="shared" si="49"/>
        <v>1</v>
      </c>
      <c r="G224" s="4">
        <f t="shared" si="50"/>
        <v>5.1519408375374374E-125</v>
      </c>
      <c r="H224" s="76">
        <v>0.01</v>
      </c>
      <c r="I224" s="15">
        <f t="shared" si="51"/>
        <v>1.01</v>
      </c>
      <c r="J224" s="79">
        <f t="shared" si="52"/>
        <v>8.6111456043391128E+54</v>
      </c>
      <c r="K224" s="79">
        <f t="shared" si="53"/>
        <v>1.6714372070419836E+179</v>
      </c>
      <c r="L224" s="79">
        <f t="shared" si="55"/>
        <v>9.0162014360332794</v>
      </c>
      <c r="M224" s="79">
        <f t="shared" si="56"/>
        <v>4.6450936377763538E-124</v>
      </c>
      <c r="N224" s="79">
        <f t="shared" si="57"/>
        <v>4.1298995540226105E-124</v>
      </c>
      <c r="O224" s="78">
        <f t="shared" si="54"/>
        <v>0.88908854720087593</v>
      </c>
    </row>
    <row r="225" spans="2:15" x14ac:dyDescent="0.25">
      <c r="B225" s="15">
        <v>222</v>
      </c>
      <c r="C225" s="15">
        <v>1</v>
      </c>
      <c r="D225" s="80">
        <f t="shared" si="47"/>
        <v>1.5262858187119007E+55</v>
      </c>
      <c r="E225" s="80">
        <f t="shared" si="48"/>
        <v>1.7629525510901396E+180</v>
      </c>
      <c r="F225" s="15">
        <f t="shared" si="49"/>
        <v>1</v>
      </c>
      <c r="G225" s="4">
        <f t="shared" si="50"/>
        <v>8.6575547241365429E-126</v>
      </c>
      <c r="H225" s="76">
        <v>0.01</v>
      </c>
      <c r="I225" s="15">
        <f t="shared" si="51"/>
        <v>1.01</v>
      </c>
      <c r="J225" s="79">
        <f t="shared" si="52"/>
        <v>1.5262858187119007E+55</v>
      </c>
      <c r="K225" s="79">
        <f t="shared" si="53"/>
        <v>1.7629525510901396E+180</v>
      </c>
      <c r="L225" s="79">
        <f t="shared" si="55"/>
        <v>9.1063634503936139</v>
      </c>
      <c r="M225" s="79">
        <f t="shared" si="56"/>
        <v>7.8838839909659576E-125</v>
      </c>
      <c r="N225" s="79">
        <f t="shared" si="57"/>
        <v>7.0181285185523035E-125</v>
      </c>
      <c r="O225" s="78">
        <f t="shared" si="54"/>
        <v>0.89018668039690685</v>
      </c>
    </row>
    <row r="226" spans="2:15" x14ac:dyDescent="0.25">
      <c r="B226" s="15">
        <v>223</v>
      </c>
      <c r="C226" s="15">
        <v>1</v>
      </c>
      <c r="D226" s="80">
        <f t="shared" si="47"/>
        <v>2.7052711769583814E+55</v>
      </c>
      <c r="E226" s="80">
        <f t="shared" si="48"/>
        <v>1.8636524858518251E+181</v>
      </c>
      <c r="F226" s="15">
        <f t="shared" si="49"/>
        <v>1</v>
      </c>
      <c r="G226" s="4">
        <f t="shared" si="50"/>
        <v>1.451596366541413E-126</v>
      </c>
      <c r="H226" s="76">
        <v>0.01</v>
      </c>
      <c r="I226" s="15">
        <f t="shared" si="51"/>
        <v>1.01</v>
      </c>
      <c r="J226" s="79">
        <f t="shared" si="52"/>
        <v>2.7052711769583814E+55</v>
      </c>
      <c r="K226" s="79">
        <f t="shared" si="53"/>
        <v>1.8636524858518251E+181</v>
      </c>
      <c r="L226" s="79">
        <f t="shared" si="55"/>
        <v>9.1974270848975479</v>
      </c>
      <c r="M226" s="79">
        <f t="shared" si="56"/>
        <v>1.3350951737966861E-125</v>
      </c>
      <c r="N226" s="79">
        <f t="shared" si="57"/>
        <v>1.1899355371425446E-125</v>
      </c>
      <c r="O226" s="78">
        <f t="shared" si="54"/>
        <v>0.89127394098703638</v>
      </c>
    </row>
    <row r="227" spans="2:15" x14ac:dyDescent="0.25">
      <c r="B227" s="15">
        <v>224</v>
      </c>
      <c r="C227" s="15">
        <v>1</v>
      </c>
      <c r="D227" s="80">
        <f t="shared" si="47"/>
        <v>4.79496831534359E+55</v>
      </c>
      <c r="E227" s="80">
        <f t="shared" si="48"/>
        <v>1.9745068572211572E+182</v>
      </c>
      <c r="F227" s="15">
        <f t="shared" si="49"/>
        <v>1</v>
      </c>
      <c r="G227" s="4">
        <f t="shared" si="50"/>
        <v>2.4284384213746609E-127</v>
      </c>
      <c r="H227" s="76">
        <v>0.01</v>
      </c>
      <c r="I227" s="15">
        <f t="shared" si="51"/>
        <v>1.01</v>
      </c>
      <c r="J227" s="79">
        <f t="shared" si="52"/>
        <v>4.79496831534359E+55</v>
      </c>
      <c r="K227" s="79">
        <f t="shared" si="53"/>
        <v>1.9745068572211572E+182</v>
      </c>
      <c r="L227" s="79">
        <f t="shared" si="55"/>
        <v>9.2894013557465254</v>
      </c>
      <c r="M227" s="79">
        <f t="shared" si="56"/>
        <v>2.2558739163864726E-126</v>
      </c>
      <c r="N227" s="79">
        <f t="shared" si="57"/>
        <v>2.0130300742490066E-126</v>
      </c>
      <c r="O227" s="78">
        <f t="shared" si="54"/>
        <v>0.89235043662082825</v>
      </c>
    </row>
    <row r="228" spans="2:15" x14ac:dyDescent="0.25">
      <c r="B228" s="15">
        <v>225</v>
      </c>
      <c r="C228" s="15">
        <v>1</v>
      </c>
      <c r="D228" s="80">
        <f t="shared" si="47"/>
        <v>8.4988600555006705E+55</v>
      </c>
      <c r="E228" s="80">
        <f t="shared" si="48"/>
        <v>2.0966090465832415E+183</v>
      </c>
      <c r="F228" s="15">
        <f t="shared" si="49"/>
        <v>1</v>
      </c>
      <c r="G228" s="4">
        <f t="shared" si="50"/>
        <v>4.0536217609815798E-128</v>
      </c>
      <c r="H228" s="76">
        <v>0.01</v>
      </c>
      <c r="I228" s="15">
        <f t="shared" si="51"/>
        <v>1.01</v>
      </c>
      <c r="J228" s="79">
        <f t="shared" si="52"/>
        <v>8.4988600555006705E+55</v>
      </c>
      <c r="K228" s="79">
        <f t="shared" si="53"/>
        <v>2.0966090465832415E+183</v>
      </c>
      <c r="L228" s="79">
        <f t="shared" si="55"/>
        <v>9.382295369303991</v>
      </c>
      <c r="M228" s="79">
        <f t="shared" si="56"/>
        <v>3.8032276676967362E-127</v>
      </c>
      <c r="N228" s="79">
        <f t="shared" si="57"/>
        <v>3.397865491598578E-127</v>
      </c>
      <c r="O228" s="78">
        <f t="shared" si="54"/>
        <v>0.89341627388200806</v>
      </c>
    </row>
    <row r="229" spans="2:15" x14ac:dyDescent="0.25">
      <c r="B229" s="15">
        <v>226</v>
      </c>
      <c r="C229" s="15">
        <v>1</v>
      </c>
      <c r="D229" s="80">
        <f t="shared" si="47"/>
        <v>1.5063837233679246E+56</v>
      </c>
      <c r="E229" s="80">
        <f t="shared" si="48"/>
        <v>2.2311927486598526E+184</v>
      </c>
      <c r="F229" s="15">
        <f t="shared" si="49"/>
        <v>1</v>
      </c>
      <c r="G229" s="4">
        <f t="shared" si="50"/>
        <v>6.7514728356513413E-129</v>
      </c>
      <c r="H229" s="76">
        <v>0.01</v>
      </c>
      <c r="I229" s="15">
        <f t="shared" si="51"/>
        <v>1.01</v>
      </c>
      <c r="J229" s="79">
        <f t="shared" si="52"/>
        <v>1.5063837233679246E+56</v>
      </c>
      <c r="K229" s="79">
        <f t="shared" si="53"/>
        <v>2.2311927486598526E+184</v>
      </c>
      <c r="L229" s="79">
        <f t="shared" si="55"/>
        <v>9.4761183229970296</v>
      </c>
      <c r="M229" s="79">
        <f t="shared" si="56"/>
        <v>6.3977755445132391E-128</v>
      </c>
      <c r="N229" s="79">
        <f t="shared" si="57"/>
        <v>5.7226282609481047E-128</v>
      </c>
      <c r="O229" s="78">
        <f t="shared" si="54"/>
        <v>0.89447155829901792</v>
      </c>
    </row>
    <row r="230" spans="2:15" x14ac:dyDescent="0.25">
      <c r="B230" s="15">
        <v>227</v>
      </c>
      <c r="C230" s="15">
        <v>1</v>
      </c>
      <c r="D230" s="80">
        <f t="shared" si="47"/>
        <v>2.6699956314249048E+56</v>
      </c>
      <c r="E230" s="80">
        <f t="shared" si="48"/>
        <v>2.3796512678718846E+185</v>
      </c>
      <c r="F230" s="15">
        <f t="shared" si="49"/>
        <v>1</v>
      </c>
      <c r="G230" s="4">
        <f t="shared" si="50"/>
        <v>1.1220113079059161E-129</v>
      </c>
      <c r="H230" s="76">
        <v>0.01</v>
      </c>
      <c r="I230" s="15">
        <f t="shared" si="51"/>
        <v>1.01</v>
      </c>
      <c r="J230" s="79">
        <f t="shared" si="52"/>
        <v>2.6699956314249048E+56</v>
      </c>
      <c r="K230" s="79">
        <f t="shared" si="53"/>
        <v>2.3796512678718846E+185</v>
      </c>
      <c r="L230" s="79">
        <f t="shared" si="55"/>
        <v>9.5708795062269996</v>
      </c>
      <c r="M230" s="79">
        <f t="shared" si="56"/>
        <v>1.0738635032591684E-128</v>
      </c>
      <c r="N230" s="79">
        <f t="shared" si="57"/>
        <v>9.6166237246857674E-129</v>
      </c>
      <c r="O230" s="78">
        <f t="shared" si="54"/>
        <v>0.89551639435546326</v>
      </c>
    </row>
    <row r="231" spans="2:15" x14ac:dyDescent="0.25">
      <c r="B231" s="15">
        <v>228</v>
      </c>
      <c r="C231" s="15">
        <v>1</v>
      </c>
      <c r="D231" s="80">
        <f t="shared" si="47"/>
        <v>4.7324440388199124E+56</v>
      </c>
      <c r="E231" s="80">
        <f t="shared" si="48"/>
        <v>2.5435597334721809E+186</v>
      </c>
      <c r="F231" s="15">
        <f t="shared" si="49"/>
        <v>1</v>
      </c>
      <c r="G231" s="4">
        <f t="shared" si="50"/>
        <v>1.8605594264380471E-130</v>
      </c>
      <c r="H231" s="76">
        <v>0.01</v>
      </c>
      <c r="I231" s="15">
        <f t="shared" si="51"/>
        <v>1.01</v>
      </c>
      <c r="J231" s="79">
        <f t="shared" si="52"/>
        <v>4.7324440388199124E+56</v>
      </c>
      <c r="K231" s="79">
        <f t="shared" si="53"/>
        <v>2.5435597334721809E+186</v>
      </c>
      <c r="L231" s="79">
        <f t="shared" si="55"/>
        <v>9.6665883012892699</v>
      </c>
      <c r="M231" s="79">
        <f t="shared" si="56"/>
        <v>1.7985261985459501E-129</v>
      </c>
      <c r="N231" s="79">
        <f t="shared" si="57"/>
        <v>1.6124702559021453E-129</v>
      </c>
      <c r="O231" s="78">
        <f t="shared" si="54"/>
        <v>0.89655088550045869</v>
      </c>
    </row>
    <row r="232" spans="2:15" x14ac:dyDescent="0.25">
      <c r="B232" s="15">
        <v>229</v>
      </c>
      <c r="C232" s="15">
        <v>1</v>
      </c>
      <c r="D232" s="80">
        <f t="shared" si="47"/>
        <v>8.3880386608012075E+56</v>
      </c>
      <c r="E232" s="80">
        <f t="shared" si="48"/>
        <v>2.7247007017131413E+187</v>
      </c>
      <c r="F232" s="15">
        <f t="shared" si="49"/>
        <v>1</v>
      </c>
      <c r="G232" s="4">
        <f t="shared" si="50"/>
        <v>3.0785174516699293E-131</v>
      </c>
      <c r="H232" s="76">
        <v>0.01</v>
      </c>
      <c r="I232" s="15">
        <f t="shared" si="51"/>
        <v>1.01</v>
      </c>
      <c r="J232" s="79">
        <f t="shared" si="52"/>
        <v>8.3880386608012075E+56</v>
      </c>
      <c r="K232" s="79">
        <f t="shared" si="53"/>
        <v>2.7247007017131413E+187</v>
      </c>
      <c r="L232" s="79">
        <f t="shared" si="55"/>
        <v>9.7632541843021627</v>
      </c>
      <c r="M232" s="79">
        <f t="shared" si="56"/>
        <v>3.0056348391463669E-130</v>
      </c>
      <c r="N232" s="79">
        <f t="shared" si="57"/>
        <v>2.6977830939793738E-130</v>
      </c>
      <c r="O232" s="78">
        <f t="shared" si="54"/>
        <v>0.89757513415887002</v>
      </c>
    </row>
    <row r="233" spans="2:15" x14ac:dyDescent="0.25">
      <c r="B233" s="15">
        <v>230</v>
      </c>
      <c r="C233" s="15">
        <v>1</v>
      </c>
      <c r="D233" s="80">
        <f t="shared" si="47"/>
        <v>1.4867411425881447E+57</v>
      </c>
      <c r="E233" s="80">
        <f t="shared" si="48"/>
        <v>2.9250936934928286E+188</v>
      </c>
      <c r="F233" s="15">
        <f t="shared" si="49"/>
        <v>1</v>
      </c>
      <c r="G233" s="4">
        <f t="shared" si="50"/>
        <v>5.0827128918829269E-132</v>
      </c>
      <c r="H233" s="76">
        <v>0.01</v>
      </c>
      <c r="I233" s="15">
        <f t="shared" si="51"/>
        <v>1.01</v>
      </c>
      <c r="J233" s="79">
        <f t="shared" si="52"/>
        <v>1.4867411425881447E+57</v>
      </c>
      <c r="K233" s="79">
        <f t="shared" si="53"/>
        <v>2.9250936934928286E+188</v>
      </c>
      <c r="L233" s="79">
        <f t="shared" si="55"/>
        <v>9.8608867261451856</v>
      </c>
      <c r="M233" s="79">
        <f t="shared" si="56"/>
        <v>5.012005608837537E-131</v>
      </c>
      <c r="N233" s="79">
        <f t="shared" si="57"/>
        <v>4.5037343196492441E-131</v>
      </c>
      <c r="O233" s="78">
        <f t="shared" si="54"/>
        <v>0.89858924174145549</v>
      </c>
    </row>
    <row r="234" spans="2:15" x14ac:dyDescent="0.25">
      <c r="B234" s="15">
        <v>231</v>
      </c>
      <c r="C234" s="15">
        <v>1</v>
      </c>
      <c r="D234" s="80">
        <f t="shared" si="47"/>
        <v>2.6351800634800634E+57</v>
      </c>
      <c r="E234" s="80">
        <f t="shared" si="48"/>
        <v>3.1470293104792136E+189</v>
      </c>
      <c r="F234" s="15">
        <f t="shared" si="49"/>
        <v>1</v>
      </c>
      <c r="G234" s="4">
        <f t="shared" si="50"/>
        <v>8.3735478875434808E-133</v>
      </c>
      <c r="H234" s="76">
        <v>0.01</v>
      </c>
      <c r="I234" s="15">
        <f t="shared" si="51"/>
        <v>1.01</v>
      </c>
      <c r="J234" s="79">
        <f t="shared" si="52"/>
        <v>2.6351800634800634E+57</v>
      </c>
      <c r="K234" s="79">
        <f t="shared" si="53"/>
        <v>3.1470293104792136E+189</v>
      </c>
      <c r="L234" s="79">
        <f t="shared" si="55"/>
        <v>9.9594955934066345</v>
      </c>
      <c r="M234" s="79">
        <f t="shared" si="56"/>
        <v>8.339631328716873E-132</v>
      </c>
      <c r="N234" s="79">
        <f t="shared" si="57"/>
        <v>7.5022765399625253E-132</v>
      </c>
      <c r="O234" s="78">
        <f t="shared" si="54"/>
        <v>0.89959330865490639</v>
      </c>
    </row>
    <row r="235" spans="2:15" x14ac:dyDescent="0.25">
      <c r="B235" s="15">
        <v>232</v>
      </c>
      <c r="C235" s="15">
        <v>1</v>
      </c>
      <c r="D235" s="80">
        <f t="shared" si="47"/>
        <v>4.6707350513446102E+57</v>
      </c>
      <c r="E235" s="80">
        <f t="shared" si="48"/>
        <v>3.3931086844518407E+190</v>
      </c>
      <c r="F235" s="15">
        <f t="shared" si="49"/>
        <v>1</v>
      </c>
      <c r="G235" s="4">
        <f t="shared" si="50"/>
        <v>1.3765356449521365E-133</v>
      </c>
      <c r="H235" s="76">
        <v>0.01</v>
      </c>
      <c r="I235" s="15">
        <f t="shared" si="51"/>
        <v>1.01</v>
      </c>
      <c r="J235" s="79">
        <f t="shared" si="52"/>
        <v>4.6707350513446102E+57</v>
      </c>
      <c r="K235" s="79">
        <f t="shared" si="53"/>
        <v>3.3931086844518407E+190</v>
      </c>
      <c r="L235" s="79">
        <f t="shared" si="55"/>
        <v>10.059090549340704</v>
      </c>
      <c r="M235" s="79">
        <f t="shared" si="56"/>
        <v>1.3846696696968648E-132</v>
      </c>
      <c r="N235" s="79">
        <f t="shared" si="57"/>
        <v>1.2470161052016511E-132</v>
      </c>
      <c r="O235" s="78">
        <f t="shared" si="54"/>
        <v>0.90058743431178856</v>
      </c>
    </row>
    <row r="236" spans="2:15" x14ac:dyDescent="0.25">
      <c r="B236" s="15">
        <v>233</v>
      </c>
      <c r="C236" s="15">
        <v>1</v>
      </c>
      <c r="D236" s="80">
        <f t="shared" si="47"/>
        <v>8.2786623283151403E+57</v>
      </c>
      <c r="E236" s="80">
        <f t="shared" si="48"/>
        <v>3.6662891467079661E+191</v>
      </c>
      <c r="F236" s="15">
        <f t="shared" si="49"/>
        <v>1</v>
      </c>
      <c r="G236" s="4">
        <f t="shared" si="50"/>
        <v>2.2580494873811894E-134</v>
      </c>
      <c r="H236" s="76">
        <v>0.01</v>
      </c>
      <c r="I236" s="15">
        <f t="shared" si="51"/>
        <v>1.01</v>
      </c>
      <c r="J236" s="79">
        <f t="shared" si="52"/>
        <v>8.2786623283151403E+57</v>
      </c>
      <c r="K236" s="79">
        <f t="shared" si="53"/>
        <v>3.6662891467079661E+191</v>
      </c>
      <c r="L236" s="79">
        <f t="shared" si="55"/>
        <v>10.159681454834111</v>
      </c>
      <c r="M236" s="79">
        <f t="shared" si="56"/>
        <v>2.2941063501044339E-133</v>
      </c>
      <c r="N236" s="79">
        <f t="shared" si="57"/>
        <v>2.0683014013663149E-133</v>
      </c>
      <c r="O236" s="78">
        <f t="shared" si="54"/>
        <v>0.90157171714038464</v>
      </c>
    </row>
    <row r="237" spans="2:15" x14ac:dyDescent="0.25">
      <c r="B237" s="15">
        <v>234</v>
      </c>
      <c r="C237" s="15">
        <v>1</v>
      </c>
      <c r="D237" s="80">
        <f t="shared" si="47"/>
        <v>1.4673546924168572E+58</v>
      </c>
      <c r="E237" s="80">
        <f t="shared" si="48"/>
        <v>3.9699371608087175E+192</v>
      </c>
      <c r="F237" s="15">
        <f t="shared" si="49"/>
        <v>1</v>
      </c>
      <c r="G237" s="4">
        <f t="shared" si="50"/>
        <v>3.6961660423812394E-135</v>
      </c>
      <c r="H237" s="76">
        <v>0.01</v>
      </c>
      <c r="I237" s="15">
        <f t="shared" si="51"/>
        <v>1.01</v>
      </c>
      <c r="J237" s="79">
        <f t="shared" si="52"/>
        <v>1.4673546924168572E+58</v>
      </c>
      <c r="K237" s="79">
        <f t="shared" si="53"/>
        <v>3.9699371608087175E+192</v>
      </c>
      <c r="L237" s="79">
        <f t="shared" si="55"/>
        <v>10.261278269382455</v>
      </c>
      <c r="M237" s="79">
        <f t="shared" si="56"/>
        <v>3.792738829071596E-134</v>
      </c>
      <c r="N237" s="79">
        <f t="shared" si="57"/>
        <v>3.4231222248334718E-134</v>
      </c>
      <c r="O237" s="78">
        <f t="shared" si="54"/>
        <v>0.90254625459444027</v>
      </c>
    </row>
    <row r="238" spans="2:15" x14ac:dyDescent="0.25">
      <c r="B238" s="15">
        <v>235</v>
      </c>
      <c r="C238" s="15">
        <v>1</v>
      </c>
      <c r="D238" s="80">
        <f t="shared" si="47"/>
        <v>2.6008184752185065E+58</v>
      </c>
      <c r="E238" s="80">
        <f t="shared" si="48"/>
        <v>4.3078897473821891E+193</v>
      </c>
      <c r="F238" s="15">
        <f t="shared" si="49"/>
        <v>1</v>
      </c>
      <c r="G238" s="4">
        <f t="shared" si="50"/>
        <v>6.0373376008496208E-136</v>
      </c>
      <c r="H238" s="76">
        <v>0.01</v>
      </c>
      <c r="I238" s="15">
        <f t="shared" si="51"/>
        <v>1.01</v>
      </c>
      <c r="J238" s="79">
        <f t="shared" si="52"/>
        <v>2.6008184752185065E+58</v>
      </c>
      <c r="K238" s="79">
        <f t="shared" si="53"/>
        <v>4.3078897473821891E+193</v>
      </c>
      <c r="L238" s="79">
        <f t="shared" si="55"/>
        <v>10.363891052076275</v>
      </c>
      <c r="M238" s="79">
        <f t="shared" si="56"/>
        <v>6.2570309139809029E-135</v>
      </c>
      <c r="N238" s="79">
        <f t="shared" si="57"/>
        <v>5.6532971538959413E-135</v>
      </c>
      <c r="O238" s="78">
        <f t="shared" si="54"/>
        <v>0.90351114316281222</v>
      </c>
    </row>
    <row r="239" spans="2:15" x14ac:dyDescent="0.25">
      <c r="B239" s="15">
        <v>236</v>
      </c>
      <c r="C239" s="15">
        <v>1</v>
      </c>
      <c r="D239" s="80">
        <f t="shared" si="47"/>
        <v>4.609830721907309E+58</v>
      </c>
      <c r="E239" s="80">
        <f t="shared" si="48"/>
        <v>4.6845258497543259E+194</v>
      </c>
      <c r="F239" s="15">
        <f t="shared" si="49"/>
        <v>1</v>
      </c>
      <c r="G239" s="4">
        <f t="shared" si="50"/>
        <v>9.8405492247397151E-137</v>
      </c>
      <c r="H239" s="76">
        <v>0.01</v>
      </c>
      <c r="I239" s="15">
        <f t="shared" si="51"/>
        <v>1.01</v>
      </c>
      <c r="J239" s="79">
        <f t="shared" si="52"/>
        <v>4.609830721907309E+58</v>
      </c>
      <c r="K239" s="79">
        <f t="shared" si="53"/>
        <v>4.6845258497543259E+194</v>
      </c>
      <c r="L239" s="79">
        <f t="shared" si="55"/>
        <v>10.467529962597039</v>
      </c>
      <c r="M239" s="79">
        <f t="shared" si="56"/>
        <v>1.0300624385837403E-135</v>
      </c>
      <c r="N239" s="79">
        <f t="shared" si="57"/>
        <v>9.3165694633634314E-136</v>
      </c>
      <c r="O239" s="78">
        <f t="shared" si="54"/>
        <v>0.90446647837902194</v>
      </c>
    </row>
    <row r="240" spans="2:15" x14ac:dyDescent="0.25">
      <c r="B240" s="15">
        <v>237</v>
      </c>
      <c r="C240" s="15">
        <v>1</v>
      </c>
      <c r="D240" s="80">
        <f t="shared" si="47"/>
        <v>8.1707122150671891E+58</v>
      </c>
      <c r="E240" s="80">
        <f t="shared" si="48"/>
        <v>5.104849350647931E+195</v>
      </c>
      <c r="F240" s="15">
        <f t="shared" si="49"/>
        <v>1</v>
      </c>
      <c r="G240" s="4">
        <f t="shared" si="50"/>
        <v>1.6005785193308642E-137</v>
      </c>
      <c r="H240" s="76">
        <v>0.01</v>
      </c>
      <c r="I240" s="15">
        <f t="shared" si="51"/>
        <v>1.01</v>
      </c>
      <c r="J240" s="79">
        <f t="shared" si="52"/>
        <v>8.1707122150671891E+58</v>
      </c>
      <c r="K240" s="79">
        <f t="shared" si="53"/>
        <v>5.104849350647931E+195</v>
      </c>
      <c r="L240" s="79">
        <f t="shared" si="55"/>
        <v>10.572205262223012</v>
      </c>
      <c r="M240" s="79">
        <f t="shared" si="56"/>
        <v>1.6921644644670878E-136</v>
      </c>
      <c r="N240" s="79">
        <f t="shared" si="57"/>
        <v>1.5321066125340015E-136</v>
      </c>
      <c r="O240" s="78">
        <f t="shared" si="54"/>
        <v>0.90541235483071481</v>
      </c>
    </row>
    <row r="241" spans="2:15" x14ac:dyDescent="0.25">
      <c r="B241" s="15">
        <v>238</v>
      </c>
      <c r="C241" s="15">
        <v>1</v>
      </c>
      <c r="D241" s="80">
        <f t="shared" si="47"/>
        <v>1.4482210330236536E+59</v>
      </c>
      <c r="E241" s="80">
        <f t="shared" si="48"/>
        <v>5.5745857612075552E+196</v>
      </c>
      <c r="F241" s="15">
        <f t="shared" si="49"/>
        <v>1</v>
      </c>
      <c r="G241" s="4">
        <f t="shared" si="50"/>
        <v>2.5978989203135748E-138</v>
      </c>
      <c r="H241" s="76">
        <v>0.01</v>
      </c>
      <c r="I241" s="15">
        <f t="shared" si="51"/>
        <v>1.01</v>
      </c>
      <c r="J241" s="79">
        <f t="shared" si="52"/>
        <v>1.4482210330236536E+59</v>
      </c>
      <c r="K241" s="79">
        <f t="shared" si="53"/>
        <v>5.5745857612075552E+196</v>
      </c>
      <c r="L241" s="79">
        <f t="shared" si="55"/>
        <v>10.677927314845242</v>
      </c>
      <c r="M241" s="79">
        <f t="shared" si="56"/>
        <v>2.7740175842423286E-137</v>
      </c>
      <c r="N241" s="79">
        <f t="shared" si="57"/>
        <v>2.514227692210971E-137</v>
      </c>
      <c r="O241" s="78">
        <f t="shared" si="54"/>
        <v>0.90634886616902455</v>
      </c>
    </row>
    <row r="242" spans="2:15" x14ac:dyDescent="0.25">
      <c r="B242" s="15">
        <v>239</v>
      </c>
      <c r="C242" s="15">
        <v>1</v>
      </c>
      <c r="D242" s="80">
        <f t="shared" si="47"/>
        <v>2.5669049469451123E+59</v>
      </c>
      <c r="E242" s="80">
        <f t="shared" si="48"/>
        <v>6.1002949740237815E+197</v>
      </c>
      <c r="F242" s="15">
        <f t="shared" si="49"/>
        <v>1</v>
      </c>
      <c r="G242" s="4">
        <f t="shared" si="50"/>
        <v>4.2078374207730653E-139</v>
      </c>
      <c r="H242" s="76">
        <v>0.01</v>
      </c>
      <c r="I242" s="15">
        <f t="shared" si="51"/>
        <v>1.01</v>
      </c>
      <c r="J242" s="79">
        <f t="shared" si="52"/>
        <v>2.5669049469451123E+59</v>
      </c>
      <c r="K242" s="79">
        <f t="shared" si="53"/>
        <v>6.1002949740237815E+197</v>
      </c>
      <c r="L242" s="79">
        <f t="shared" si="55"/>
        <v>10.784706587993691</v>
      </c>
      <c r="M242" s="79">
        <f t="shared" si="56"/>
        <v>4.5380291953017659E-138</v>
      </c>
      <c r="N242" s="79">
        <f t="shared" si="57"/>
        <v>4.1172454532244593E-138</v>
      </c>
      <c r="O242" s="78">
        <f t="shared" si="54"/>
        <v>0.90727610511784607</v>
      </c>
    </row>
    <row r="243" spans="2:15" x14ac:dyDescent="0.25">
      <c r="B243" s="15">
        <v>240</v>
      </c>
      <c r="C243" s="15">
        <v>1</v>
      </c>
      <c r="D243" s="80">
        <f t="shared" si="47"/>
        <v>4.5497205581213313E+59</v>
      </c>
      <c r="E243" s="80">
        <f t="shared" si="48"/>
        <v>6.6895029134493916E+198</v>
      </c>
      <c r="F243" s="15">
        <f t="shared" si="49"/>
        <v>1</v>
      </c>
      <c r="G243" s="4">
        <f t="shared" si="50"/>
        <v>6.8012834690213209E-140</v>
      </c>
      <c r="H243" s="76">
        <v>0.01</v>
      </c>
      <c r="I243" s="15">
        <f t="shared" si="51"/>
        <v>1.01</v>
      </c>
      <c r="J243" s="79">
        <f t="shared" si="52"/>
        <v>4.5497205581213313E+59</v>
      </c>
      <c r="K243" s="79">
        <f t="shared" si="53"/>
        <v>6.6895029134493916E+198</v>
      </c>
      <c r="L243" s="79">
        <f t="shared" si="55"/>
        <v>10.89255365387363</v>
      </c>
      <c r="M243" s="79">
        <f t="shared" si="56"/>
        <v>7.4083345101518515E-139</v>
      </c>
      <c r="N243" s="79">
        <f t="shared" si="57"/>
        <v>6.7282061632497191E-139</v>
      </c>
      <c r="O243" s="78">
        <f t="shared" si="54"/>
        <v>0.90819416348301585</v>
      </c>
    </row>
    <row r="244" spans="2:15" x14ac:dyDescent="0.25">
      <c r="B244" s="15">
        <v>241</v>
      </c>
      <c r="C244" s="15">
        <v>1</v>
      </c>
      <c r="D244" s="80">
        <f t="shared" si="47"/>
        <v>8.0641697237861812E+59</v>
      </c>
      <c r="E244" s="80">
        <f t="shared" si="48"/>
        <v>7.3508554436982363E+199</v>
      </c>
      <c r="F244" s="15">
        <f t="shared" si="49"/>
        <v>1</v>
      </c>
      <c r="G244" s="4">
        <f t="shared" si="50"/>
        <v>1.0970382679337624E-140</v>
      </c>
      <c r="H244" s="76">
        <v>0.01</v>
      </c>
      <c r="I244" s="15">
        <f t="shared" si="51"/>
        <v>1.01</v>
      </c>
      <c r="J244" s="79">
        <f t="shared" si="52"/>
        <v>8.0641697237861812E+59</v>
      </c>
      <c r="K244" s="79">
        <f t="shared" si="53"/>
        <v>7.3508554436982363E+199</v>
      </c>
      <c r="L244" s="79">
        <f t="shared" si="55"/>
        <v>11.001479190412368</v>
      </c>
      <c r="M244" s="79">
        <f t="shared" si="56"/>
        <v>1.2069043675759315E-139</v>
      </c>
      <c r="N244" s="79">
        <f t="shared" si="57"/>
        <v>1.0972005407825552E-139</v>
      </c>
      <c r="O244" s="78">
        <f t="shared" si="54"/>
        <v>0.90910313216140182</v>
      </c>
    </row>
    <row r="245" spans="2:15" x14ac:dyDescent="0.25">
      <c r="B245" s="15">
        <v>242</v>
      </c>
      <c r="C245" s="15">
        <v>1</v>
      </c>
      <c r="D245" s="80">
        <f t="shared" si="47"/>
        <v>1.4293368681280427E+60</v>
      </c>
      <c r="E245" s="80">
        <f t="shared" si="48"/>
        <v>8.0942985252732197E+200</v>
      </c>
      <c r="F245" s="15">
        <f t="shared" si="49"/>
        <v>1</v>
      </c>
      <c r="G245" s="4">
        <f t="shared" si="50"/>
        <v>1.7658563786165721E-141</v>
      </c>
      <c r="H245" s="76">
        <v>0.01</v>
      </c>
      <c r="I245" s="15">
        <f t="shared" si="51"/>
        <v>1.01</v>
      </c>
      <c r="J245" s="79">
        <f t="shared" si="52"/>
        <v>1.4293368681280427E+60</v>
      </c>
      <c r="K245" s="79">
        <f t="shared" si="53"/>
        <v>8.0942985252732197E+200</v>
      </c>
      <c r="L245" s="79">
        <f t="shared" si="55"/>
        <v>11.111493982316492</v>
      </c>
      <c r="M245" s="79">
        <f t="shared" si="56"/>
        <v>1.9621302524633233E-140</v>
      </c>
      <c r="N245" s="79">
        <f t="shared" si="57"/>
        <v>1.785544614601666E-140</v>
      </c>
      <c r="O245" s="78">
        <f t="shared" si="54"/>
        <v>0.9100031011499029</v>
      </c>
    </row>
    <row r="246" spans="2:15" x14ac:dyDescent="0.25">
      <c r="B246" s="15">
        <v>243</v>
      </c>
      <c r="C246" s="15">
        <v>1</v>
      </c>
      <c r="D246" s="80">
        <f t="shared" si="47"/>
        <v>2.5334336361547557E+60</v>
      </c>
      <c r="E246" s="80">
        <f t="shared" si="48"/>
        <v>8.9312893640942506E+201</v>
      </c>
      <c r="F246" s="15">
        <f t="shared" si="49"/>
        <v>1</v>
      </c>
      <c r="G246" s="4">
        <f t="shared" si="50"/>
        <v>2.836582191972994E-142</v>
      </c>
      <c r="H246" s="76">
        <v>0.01</v>
      </c>
      <c r="I246" s="15">
        <f t="shared" si="51"/>
        <v>1.01</v>
      </c>
      <c r="J246" s="79">
        <f t="shared" si="52"/>
        <v>2.5334336361547557E+60</v>
      </c>
      <c r="K246" s="79">
        <f t="shared" si="53"/>
        <v>8.9312893640942506E+201</v>
      </c>
      <c r="L246" s="79">
        <f t="shared" si="55"/>
        <v>11.222608922139655</v>
      </c>
      <c r="M246" s="79">
        <f t="shared" si="56"/>
        <v>3.183385261601858E-141</v>
      </c>
      <c r="N246" s="79">
        <f t="shared" si="57"/>
        <v>2.8997270424045587E-141</v>
      </c>
      <c r="O246" s="78">
        <f t="shared" si="54"/>
        <v>0.91089415955435926</v>
      </c>
    </row>
    <row r="247" spans="2:15" x14ac:dyDescent="0.25">
      <c r="B247" s="15">
        <v>244</v>
      </c>
      <c r="C247" s="15">
        <v>1</v>
      </c>
      <c r="D247" s="80">
        <f t="shared" si="47"/>
        <v>4.4903942044161024E+60</v>
      </c>
      <c r="E247" s="80">
        <f t="shared" si="48"/>
        <v>9.8750442008326717E+202</v>
      </c>
      <c r="F247" s="15">
        <f t="shared" si="49"/>
        <v>1</v>
      </c>
      <c r="G247" s="4">
        <f t="shared" si="50"/>
        <v>4.5472142838990723E-143</v>
      </c>
      <c r="H247" s="76">
        <v>0.01</v>
      </c>
      <c r="I247" s="15">
        <f t="shared" si="51"/>
        <v>1.01</v>
      </c>
      <c r="J247" s="79">
        <f t="shared" si="52"/>
        <v>4.4903942044161024E+60</v>
      </c>
      <c r="K247" s="79">
        <f t="shared" si="53"/>
        <v>9.8750442008326717E+202</v>
      </c>
      <c r="L247" s="79">
        <f t="shared" si="55"/>
        <v>11.334835011361053</v>
      </c>
      <c r="M247" s="79">
        <f t="shared" si="56"/>
        <v>5.154192366930028E-142</v>
      </c>
      <c r="N247" s="79">
        <f t="shared" si="57"/>
        <v>4.6994709385401206E-142</v>
      </c>
      <c r="O247" s="78">
        <f t="shared" si="54"/>
        <v>0.91177639559837553</v>
      </c>
    </row>
    <row r="248" spans="2:15" x14ac:dyDescent="0.25">
      <c r="B248" s="15">
        <v>245</v>
      </c>
      <c r="C248" s="15">
        <v>1</v>
      </c>
      <c r="D248" s="80">
        <f t="shared" si="47"/>
        <v>7.9590164997011768E+60</v>
      </c>
      <c r="E248" s="80">
        <f t="shared" si="48"/>
        <v>1.094082947101551E+204</v>
      </c>
      <c r="F248" s="15">
        <f t="shared" si="49"/>
        <v>1</v>
      </c>
      <c r="G248" s="4">
        <f t="shared" si="50"/>
        <v>7.2746006331478208E-144</v>
      </c>
      <c r="H248" s="76">
        <v>0.01</v>
      </c>
      <c r="I248" s="15">
        <f t="shared" si="51"/>
        <v>1.01</v>
      </c>
      <c r="J248" s="79">
        <f t="shared" si="52"/>
        <v>7.9590164997011768E+60</v>
      </c>
      <c r="K248" s="79">
        <f t="shared" si="53"/>
        <v>1.094082947101551E+204</v>
      </c>
      <c r="L248" s="79">
        <f t="shared" si="55"/>
        <v>11.448183361474662</v>
      </c>
      <c r="M248" s="79">
        <f t="shared" si="56"/>
        <v>8.3280961929775939E-143</v>
      </c>
      <c r="N248" s="79">
        <f t="shared" si="57"/>
        <v>7.6006361296628118E-143</v>
      </c>
      <c r="O248" s="78">
        <f t="shared" si="54"/>
        <v>0.91264989663205498</v>
      </c>
    </row>
    <row r="249" spans="2:15" x14ac:dyDescent="0.25">
      <c r="B249" s="15">
        <v>246</v>
      </c>
      <c r="C249" s="15">
        <v>1</v>
      </c>
      <c r="D249" s="80">
        <f t="shared" si="47"/>
        <v>1.4106989444315812E+61</v>
      </c>
      <c r="E249" s="80">
        <f t="shared" si="48"/>
        <v>1.214630436702581E+205</v>
      </c>
      <c r="F249" s="15">
        <f t="shared" si="49"/>
        <v>1</v>
      </c>
      <c r="G249" s="4">
        <f t="shared" si="50"/>
        <v>1.1614223567962591E-144</v>
      </c>
      <c r="H249" s="76">
        <v>0.01</v>
      </c>
      <c r="I249" s="15">
        <f t="shared" si="51"/>
        <v>1.01</v>
      </c>
      <c r="J249" s="79">
        <f t="shared" si="52"/>
        <v>1.4106989444315812E+61</v>
      </c>
      <c r="K249" s="79">
        <f t="shared" si="53"/>
        <v>1.214630436702581E+205</v>
      </c>
      <c r="L249" s="79">
        <f t="shared" si="55"/>
        <v>11.562665195089412</v>
      </c>
      <c r="M249" s="79">
        <f t="shared" si="56"/>
        <v>1.3429137861726823E-143</v>
      </c>
      <c r="N249" s="79">
        <f t="shared" si="57"/>
        <v>1.2267715504930563E-143</v>
      </c>
      <c r="O249" s="78">
        <f t="shared" si="54"/>
        <v>0.91351474914064845</v>
      </c>
    </row>
    <row r="250" spans="2:15" x14ac:dyDescent="0.25">
      <c r="B250" s="15">
        <v>247</v>
      </c>
      <c r="C250" s="15">
        <v>1</v>
      </c>
      <c r="D250" s="80">
        <f t="shared" si="47"/>
        <v>2.5003987765260827E+61</v>
      </c>
      <c r="E250" s="80">
        <f t="shared" si="48"/>
        <v>1.3511924396703375E+206</v>
      </c>
      <c r="F250" s="15">
        <f t="shared" si="49"/>
        <v>1</v>
      </c>
      <c r="G250" s="4">
        <f t="shared" si="50"/>
        <v>1.8505127050119725E-145</v>
      </c>
      <c r="H250" s="76">
        <v>0.01</v>
      </c>
      <c r="I250" s="15">
        <f t="shared" si="51"/>
        <v>1.01</v>
      </c>
      <c r="J250" s="79">
        <f t="shared" si="52"/>
        <v>2.5003987765260827E+61</v>
      </c>
      <c r="K250" s="79">
        <f t="shared" si="53"/>
        <v>1.3511924396703375E+206</v>
      </c>
      <c r="L250" s="79">
        <f t="shared" si="55"/>
        <v>11.678291847040303</v>
      </c>
      <c r="M250" s="79">
        <f t="shared" si="56"/>
        <v>2.1610827435785815E-144</v>
      </c>
      <c r="N250" s="79">
        <f t="shared" si="57"/>
        <v>1.9760314730773844E-144</v>
      </c>
      <c r="O250" s="78">
        <f t="shared" si="54"/>
        <v>0.91437103875311743</v>
      </c>
    </row>
    <row r="251" spans="2:15" x14ac:dyDescent="0.25">
      <c r="B251" s="15">
        <v>248</v>
      </c>
      <c r="C251" s="15">
        <v>1</v>
      </c>
      <c r="D251" s="80">
        <f t="shared" si="47"/>
        <v>4.4318414402531313E+61</v>
      </c>
      <c r="E251" s="80">
        <f t="shared" si="48"/>
        <v>1.5061417415112316E+207</v>
      </c>
      <c r="F251" s="15">
        <f t="shared" si="49"/>
        <v>1</v>
      </c>
      <c r="G251" s="4">
        <f t="shared" si="50"/>
        <v>2.9425128579241902E-146</v>
      </c>
      <c r="H251" s="76">
        <v>0.01</v>
      </c>
      <c r="I251" s="15">
        <f t="shared" si="51"/>
        <v>1.01</v>
      </c>
      <c r="J251" s="79">
        <f t="shared" si="52"/>
        <v>4.4318414402531313E+61</v>
      </c>
      <c r="K251" s="79">
        <f t="shared" si="53"/>
        <v>1.5061417415112316E+207</v>
      </c>
      <c r="L251" s="79">
        <f t="shared" si="55"/>
        <v>11.795074765510709</v>
      </c>
      <c r="M251" s="79">
        <f t="shared" si="56"/>
        <v>3.470715915769241E-145</v>
      </c>
      <c r="N251" s="79">
        <f t="shared" si="57"/>
        <v>3.1764646299768218E-145</v>
      </c>
      <c r="O251" s="78">
        <f t="shared" si="54"/>
        <v>0.91521885025061123</v>
      </c>
    </row>
    <row r="252" spans="2:15" x14ac:dyDescent="0.25">
      <c r="B252" s="15">
        <v>249</v>
      </c>
      <c r="C252" s="15">
        <v>1</v>
      </c>
      <c r="D252" s="80">
        <f t="shared" si="47"/>
        <v>7.8552344273793659E+61</v>
      </c>
      <c r="E252" s="80">
        <f t="shared" si="48"/>
        <v>1.6822345873896565E+208</v>
      </c>
      <c r="F252" s="15">
        <f t="shared" si="49"/>
        <v>1</v>
      </c>
      <c r="G252" s="4">
        <f t="shared" si="50"/>
        <v>4.6695237907148414E-147</v>
      </c>
      <c r="H252" s="76">
        <v>0.01</v>
      </c>
      <c r="I252" s="15">
        <f t="shared" si="51"/>
        <v>1.01</v>
      </c>
      <c r="J252" s="79">
        <f t="shared" si="52"/>
        <v>7.8552344273793659E+61</v>
      </c>
      <c r="K252" s="79">
        <f t="shared" si="53"/>
        <v>1.6822345873896565E+208</v>
      </c>
      <c r="L252" s="79">
        <f t="shared" si="55"/>
        <v>11.913025513165817</v>
      </c>
      <c r="M252" s="79">
        <f t="shared" si="56"/>
        <v>5.5628156053120663E-146</v>
      </c>
      <c r="N252" s="79">
        <f t="shared" si="57"/>
        <v>5.0958632262405821E-146</v>
      </c>
      <c r="O252" s="78">
        <f t="shared" si="54"/>
        <v>0.91605826757486264</v>
      </c>
    </row>
    <row r="253" spans="2:15" x14ac:dyDescent="0.25">
      <c r="B253" s="15">
        <v>250</v>
      </c>
      <c r="C253" s="15">
        <v>1</v>
      </c>
      <c r="D253" s="80">
        <f t="shared" si="47"/>
        <v>1.3923040510574045E+62</v>
      </c>
      <c r="E253" s="80">
        <f t="shared" si="48"/>
        <v>1.8826771768888681E+209</v>
      </c>
      <c r="F253" s="15">
        <f t="shared" si="49"/>
        <v>1</v>
      </c>
      <c r="G253" s="4">
        <f t="shared" si="50"/>
        <v>7.3953414220391877E-148</v>
      </c>
      <c r="H253" s="76">
        <v>0.01</v>
      </c>
      <c r="I253" s="15">
        <f t="shared" si="51"/>
        <v>1.01</v>
      </c>
      <c r="J253" s="79">
        <f t="shared" si="52"/>
        <v>1.3923040510574045E+62</v>
      </c>
      <c r="K253" s="79">
        <f t="shared" si="53"/>
        <v>1.8826771768888681E+209</v>
      </c>
      <c r="L253" s="79">
        <f t="shared" si="55"/>
        <v>12.032155768297473</v>
      </c>
      <c r="M253" s="79">
        <f t="shared" si="56"/>
        <v>8.8981899949718053E-147</v>
      </c>
      <c r="N253" s="79">
        <f t="shared" si="57"/>
        <v>8.1586558527678865E-147</v>
      </c>
      <c r="O253" s="78">
        <f t="shared" si="54"/>
        <v>0.9168893738364976</v>
      </c>
    </row>
    <row r="254" spans="2:15" x14ac:dyDescent="0.25">
      <c r="B254" s="15">
        <v>251</v>
      </c>
      <c r="C254" s="15">
        <v>1</v>
      </c>
      <c r="D254" s="80">
        <f t="shared" si="47"/>
        <v>2.4677946769280306E+62</v>
      </c>
      <c r="E254" s="80">
        <f t="shared" si="48"/>
        <v>2.1112044071738304E+210</v>
      </c>
      <c r="F254" s="15">
        <f t="shared" si="49"/>
        <v>1</v>
      </c>
      <c r="G254" s="4">
        <f t="shared" si="50"/>
        <v>1.1689037160696112E-148</v>
      </c>
      <c r="H254" s="76">
        <v>0.01</v>
      </c>
      <c r="I254" s="15">
        <f t="shared" si="51"/>
        <v>1.01</v>
      </c>
      <c r="J254" s="79">
        <f t="shared" si="52"/>
        <v>2.4677946769280306E+62</v>
      </c>
      <c r="K254" s="79">
        <f t="shared" si="53"/>
        <v>2.1112044071738304E+210</v>
      </c>
      <c r="L254" s="79">
        <f t="shared" si="55"/>
        <v>12.152477325980445</v>
      </c>
      <c r="M254" s="79">
        <f t="shared" si="56"/>
        <v>1.4205075905790234E-147</v>
      </c>
      <c r="N254" s="79">
        <f t="shared" si="57"/>
        <v>1.3036172189720624E-147</v>
      </c>
      <c r="O254" s="78">
        <f t="shared" si="54"/>
        <v>0.91771225132326495</v>
      </c>
    </row>
    <row r="255" spans="2:15" x14ac:dyDescent="0.25">
      <c r="B255" s="15">
        <v>252</v>
      </c>
      <c r="C255" s="15">
        <v>1</v>
      </c>
      <c r="D255" s="80">
        <f t="shared" si="47"/>
        <v>4.3740521783652496E+62</v>
      </c>
      <c r="E255" s="80">
        <f t="shared" si="48"/>
        <v>2.3721732428799207E+211</v>
      </c>
      <c r="F255" s="15">
        <f t="shared" si="49"/>
        <v>1</v>
      </c>
      <c r="G255" s="4">
        <f t="shared" si="50"/>
        <v>1.8439008160529462E-149</v>
      </c>
      <c r="H255" s="76">
        <v>0.01</v>
      </c>
      <c r="I255" s="15">
        <f t="shared" si="51"/>
        <v>1.01</v>
      </c>
      <c r="J255" s="79">
        <f t="shared" si="52"/>
        <v>4.3740521783652496E+62</v>
      </c>
      <c r="K255" s="79">
        <f t="shared" si="53"/>
        <v>2.3721732428799207E+211</v>
      </c>
      <c r="L255" s="79">
        <f t="shared" si="55"/>
        <v>12.274002099240251</v>
      </c>
      <c r="M255" s="79">
        <f t="shared" si="56"/>
        <v>2.2632042487024674E-148</v>
      </c>
      <c r="N255" s="79">
        <f t="shared" si="57"/>
        <v>2.0788141670971727E-148</v>
      </c>
      <c r="O255" s="78">
        <f t="shared" si="54"/>
        <v>0.91852698150818313</v>
      </c>
    </row>
    <row r="256" spans="2:15" x14ac:dyDescent="0.25">
      <c r="B256" s="15">
        <v>253</v>
      </c>
      <c r="C256" s="15">
        <v>1</v>
      </c>
      <c r="D256" s="80">
        <f t="shared" si="47"/>
        <v>7.752805627605213E+62</v>
      </c>
      <c r="E256" s="80">
        <f t="shared" si="48"/>
        <v>2.6706735750752748E+212</v>
      </c>
      <c r="F256" s="15">
        <f t="shared" si="49"/>
        <v>1</v>
      </c>
      <c r="G256" s="4">
        <f t="shared" si="50"/>
        <v>2.9029401795712509E-150</v>
      </c>
      <c r="H256" s="76">
        <v>0.01</v>
      </c>
      <c r="I256" s="15">
        <f t="shared" si="51"/>
        <v>1.01</v>
      </c>
      <c r="J256" s="79">
        <f t="shared" si="52"/>
        <v>7.752805627605213E+62</v>
      </c>
      <c r="K256" s="79">
        <f t="shared" si="53"/>
        <v>2.6706735750752748E+212</v>
      </c>
      <c r="L256" s="79">
        <f t="shared" si="55"/>
        <v>12.396742120232654</v>
      </c>
      <c r="M256" s="79">
        <f t="shared" si="56"/>
        <v>3.5987000796606669E-149</v>
      </c>
      <c r="N256" s="79">
        <f t="shared" si="57"/>
        <v>3.308406061703542E-149</v>
      </c>
      <c r="O256" s="78">
        <f t="shared" si="54"/>
        <v>0.91933364505760706</v>
      </c>
    </row>
    <row r="257" spans="2:15" x14ac:dyDescent="0.25">
      <c r="B257" s="15">
        <v>254</v>
      </c>
      <c r="C257" s="15">
        <v>1</v>
      </c>
      <c r="D257" s="80">
        <f t="shared" si="47"/>
        <v>1.3741490189970698E+63</v>
      </c>
      <c r="E257" s="80">
        <f t="shared" si="48"/>
        <v>3.0126600184573228E+213</v>
      </c>
      <c r="F257" s="15">
        <f t="shared" si="49"/>
        <v>1</v>
      </c>
      <c r="G257" s="4">
        <f t="shared" si="50"/>
        <v>4.5612482343783459E-151</v>
      </c>
      <c r="H257" s="76">
        <v>0.01</v>
      </c>
      <c r="I257" s="15">
        <f t="shared" si="51"/>
        <v>1.01</v>
      </c>
      <c r="J257" s="79">
        <f t="shared" si="52"/>
        <v>1.3741490189970698E+63</v>
      </c>
      <c r="K257" s="79">
        <f t="shared" si="53"/>
        <v>3.0126600184573228E+213</v>
      </c>
      <c r="L257" s="79">
        <f t="shared" si="55"/>
        <v>12.520709541434982</v>
      </c>
      <c r="M257" s="79">
        <f t="shared" si="56"/>
        <v>5.7110064289034422E-150</v>
      </c>
      <c r="N257" s="79">
        <f t="shared" si="57"/>
        <v>5.254881605465608E-150</v>
      </c>
      <c r="O257" s="78">
        <f t="shared" si="54"/>
        <v>0.92013232183921501</v>
      </c>
    </row>
    <row r="258" spans="2:15" x14ac:dyDescent="0.25">
      <c r="B258" s="15">
        <v>255</v>
      </c>
      <c r="C258" s="15">
        <v>1</v>
      </c>
      <c r="D258" s="80">
        <f t="shared" si="47"/>
        <v>2.4356157204393813E+63</v>
      </c>
      <c r="E258" s="80">
        <f t="shared" si="48"/>
        <v>3.405108808220738E+214</v>
      </c>
      <c r="F258" s="15">
        <f t="shared" si="49"/>
        <v>1</v>
      </c>
      <c r="G258" s="4">
        <f t="shared" si="50"/>
        <v>7.1528278760409327E-152</v>
      </c>
      <c r="H258" s="76">
        <v>0.01</v>
      </c>
      <c r="I258" s="15">
        <f t="shared" si="51"/>
        <v>1.01</v>
      </c>
      <c r="J258" s="79">
        <f t="shared" si="52"/>
        <v>2.4356157204393813E+63</v>
      </c>
      <c r="K258" s="79">
        <f t="shared" si="53"/>
        <v>3.405108808220738E+214</v>
      </c>
      <c r="L258" s="79">
        <f t="shared" si="55"/>
        <v>12.645916636849329</v>
      </c>
      <c r="M258" s="79">
        <f t="shared" si="56"/>
        <v>9.0454065038145675E-151</v>
      </c>
      <c r="N258" s="79">
        <f t="shared" si="57"/>
        <v>8.330123716210474E-151</v>
      </c>
      <c r="O258" s="78">
        <f t="shared" si="54"/>
        <v>0.92092309092991576</v>
      </c>
    </row>
    <row r="259" spans="2:15" x14ac:dyDescent="0.25">
      <c r="B259" s="15">
        <v>256</v>
      </c>
      <c r="C259" s="15">
        <v>1</v>
      </c>
      <c r="D259" s="80">
        <f t="shared" si="47"/>
        <v>4.3170164630188164E+63</v>
      </c>
      <c r="E259" s="80">
        <f t="shared" si="48"/>
        <v>3.8562048236256426E+215</v>
      </c>
      <c r="F259" s="15">
        <f t="shared" si="49"/>
        <v>1</v>
      </c>
      <c r="G259" s="4">
        <f t="shared" si="50"/>
        <v>1.1194987456501115E-152</v>
      </c>
      <c r="H259" s="76">
        <v>0.01</v>
      </c>
      <c r="I259" s="15">
        <f t="shared" si="51"/>
        <v>1.01</v>
      </c>
      <c r="J259" s="79">
        <f t="shared" si="52"/>
        <v>4.3170164630188164E+63</v>
      </c>
      <c r="K259" s="79">
        <f t="shared" si="53"/>
        <v>3.8562048236256426E+215</v>
      </c>
      <c r="L259" s="79">
        <f t="shared" si="55"/>
        <v>12.772375803217825</v>
      </c>
      <c r="M259" s="79">
        <f t="shared" si="56"/>
        <v>1.4298658690674192E-151</v>
      </c>
      <c r="N259" s="79">
        <f t="shared" si="57"/>
        <v>1.317915994502408E-151</v>
      </c>
      <c r="O259" s="78">
        <f t="shared" si="54"/>
        <v>0.92170603062367895</v>
      </c>
    </row>
    <row r="260" spans="2:15" x14ac:dyDescent="0.25">
      <c r="B260" s="15">
        <v>257</v>
      </c>
      <c r="C260" s="15">
        <v>1</v>
      </c>
      <c r="D260" s="80">
        <f t="shared" si="47"/>
        <v>7.6517124543002858E+63</v>
      </c>
      <c r="E260" s="80">
        <f t="shared" si="48"/>
        <v>4.3755648185635753E+216</v>
      </c>
      <c r="F260" s="15">
        <f t="shared" si="49"/>
        <v>1</v>
      </c>
      <c r="G260" s="4">
        <f t="shared" si="50"/>
        <v>1.7487370823162015E-153</v>
      </c>
      <c r="H260" s="76">
        <v>0.01</v>
      </c>
      <c r="I260" s="15">
        <f t="shared" si="51"/>
        <v>1.01</v>
      </c>
      <c r="J260" s="79">
        <f t="shared" si="52"/>
        <v>7.6517124543002858E+63</v>
      </c>
      <c r="K260" s="79">
        <f t="shared" si="53"/>
        <v>4.3755648185635753E+216</v>
      </c>
      <c r="L260" s="79">
        <f t="shared" si="55"/>
        <v>12.900099561250004</v>
      </c>
      <c r="M260" s="79">
        <f t="shared" si="56"/>
        <v>2.2558882468328843E-152</v>
      </c>
      <c r="N260" s="79">
        <f t="shared" si="57"/>
        <v>2.0810145386012644E-152</v>
      </c>
      <c r="O260" s="78">
        <f t="shared" si="54"/>
        <v>0.92248121843928621</v>
      </c>
    </row>
    <row r="261" spans="2:15" x14ac:dyDescent="0.25">
      <c r="B261" s="15">
        <v>258</v>
      </c>
      <c r="C261" s="15">
        <v>1</v>
      </c>
      <c r="D261" s="80">
        <f t="shared" si="47"/>
        <v>1.3562307205646105E+64</v>
      </c>
      <c r="E261" s="80">
        <f t="shared" si="48"/>
        <v>4.9745042224770298E+217</v>
      </c>
      <c r="F261" s="15">
        <f t="shared" si="49"/>
        <v>1</v>
      </c>
      <c r="G261" s="4">
        <f t="shared" si="50"/>
        <v>2.7263635930522581E-154</v>
      </c>
      <c r="H261" s="76">
        <v>0.01</v>
      </c>
      <c r="I261" s="15">
        <f t="shared" si="51"/>
        <v>1.01</v>
      </c>
      <c r="J261" s="79">
        <f t="shared" si="52"/>
        <v>1.3562307205646105E+64</v>
      </c>
      <c r="K261" s="79">
        <f t="shared" si="53"/>
        <v>4.9745042224770298E+217</v>
      </c>
      <c r="L261" s="79">
        <f t="shared" si="55"/>
        <v>13.029100556862502</v>
      </c>
      <c r="M261" s="79">
        <f t="shared" si="56"/>
        <v>3.5522065408446832E-153</v>
      </c>
      <c r="N261" s="79">
        <f t="shared" si="57"/>
        <v>3.2795701815394571E-153</v>
      </c>
      <c r="O261" s="78">
        <f t="shared" si="54"/>
        <v>0.92324873112800598</v>
      </c>
    </row>
    <row r="262" spans="2:15" x14ac:dyDescent="0.25">
      <c r="B262" s="15">
        <v>259</v>
      </c>
      <c r="C262" s="15">
        <v>1</v>
      </c>
      <c r="D262" s="80">
        <f t="shared" si="47"/>
        <v>2.403856363381098E+64</v>
      </c>
      <c r="E262" s="80">
        <f t="shared" si="48"/>
        <v>5.6663564400398778E+218</v>
      </c>
      <c r="F262" s="15">
        <f t="shared" si="49"/>
        <v>1</v>
      </c>
      <c r="G262" s="4">
        <f t="shared" si="50"/>
        <v>4.2423317149532877E-155</v>
      </c>
      <c r="H262" s="76">
        <v>0.01</v>
      </c>
      <c r="I262" s="15">
        <f t="shared" si="51"/>
        <v>1.01</v>
      </c>
      <c r="J262" s="79">
        <f t="shared" si="52"/>
        <v>2.403856363381098E+64</v>
      </c>
      <c r="K262" s="79">
        <f t="shared" si="53"/>
        <v>5.6663564400398778E+218</v>
      </c>
      <c r="L262" s="79">
        <f t="shared" si="55"/>
        <v>13.159391562431127</v>
      </c>
      <c r="M262" s="79">
        <f t="shared" si="56"/>
        <v>5.5826504174790266E-154</v>
      </c>
      <c r="N262" s="79">
        <f t="shared" si="57"/>
        <v>5.1584172459836982E-154</v>
      </c>
      <c r="O262" s="78">
        <f t="shared" si="54"/>
        <v>0.92400864468119415</v>
      </c>
    </row>
    <row r="263" spans="2:15" x14ac:dyDescent="0.25">
      <c r="B263" s="15">
        <v>260</v>
      </c>
      <c r="C263" s="15">
        <v>1</v>
      </c>
      <c r="D263" s="80">
        <f t="shared" si="47"/>
        <v>4.2607244682985722E+64</v>
      </c>
      <c r="E263" s="80">
        <f t="shared" si="48"/>
        <v>6.466855489220212E+219</v>
      </c>
      <c r="F263" s="15">
        <f t="shared" si="49"/>
        <v>1</v>
      </c>
      <c r="G263" s="4">
        <f t="shared" si="50"/>
        <v>6.5885567961134998E-156</v>
      </c>
      <c r="H263" s="76">
        <v>0.01</v>
      </c>
      <c r="I263" s="15">
        <f t="shared" si="51"/>
        <v>1.01</v>
      </c>
      <c r="J263" s="79">
        <f t="shared" si="52"/>
        <v>4.2607244682985722E+64</v>
      </c>
      <c r="K263" s="79">
        <f t="shared" si="53"/>
        <v>6.466855489220212E+219</v>
      </c>
      <c r="L263" s="79">
        <f t="shared" si="55"/>
        <v>13.29098547805544</v>
      </c>
      <c r="M263" s="79">
        <f t="shared" si="56"/>
        <v>8.7568412698488006E-155</v>
      </c>
      <c r="N263" s="79">
        <f t="shared" si="57"/>
        <v>8.097985590237451E-155</v>
      </c>
      <c r="O263" s="78">
        <f t="shared" si="54"/>
        <v>0.92476103433781598</v>
      </c>
    </row>
    <row r="264" spans="2:15" x14ac:dyDescent="0.25">
      <c r="B264" s="15">
        <v>261</v>
      </c>
      <c r="C264" s="15">
        <v>1</v>
      </c>
      <c r="D264" s="80">
        <f t="shared" si="47"/>
        <v>7.5519374914832455E+64</v>
      </c>
      <c r="E264" s="80">
        <f t="shared" si="48"/>
        <v>7.3945951542523117E+220</v>
      </c>
      <c r="F264" s="15">
        <f t="shared" si="49"/>
        <v>1</v>
      </c>
      <c r="G264" s="4">
        <f t="shared" si="50"/>
        <v>1.0212780191408387E-156</v>
      </c>
      <c r="H264" s="76">
        <v>0.01</v>
      </c>
      <c r="I264" s="15">
        <f t="shared" si="51"/>
        <v>1.01</v>
      </c>
      <c r="J264" s="79">
        <f t="shared" si="52"/>
        <v>7.5519374914832455E+64</v>
      </c>
      <c r="K264" s="79">
        <f t="shared" si="53"/>
        <v>7.3945951542523117E+220</v>
      </c>
      <c r="L264" s="79">
        <f t="shared" si="55"/>
        <v>13.423895332835993</v>
      </c>
      <c r="M264" s="79">
        <f t="shared" si="56"/>
        <v>1.3709529234672692E-155</v>
      </c>
      <c r="N264" s="79">
        <f t="shared" si="57"/>
        <v>1.2688251215531853E-155</v>
      </c>
      <c r="O264" s="78">
        <f t="shared" si="54"/>
        <v>0.92550597459189687</v>
      </c>
    </row>
    <row r="265" spans="2:15" x14ac:dyDescent="0.25">
      <c r="B265" s="15">
        <v>262</v>
      </c>
      <c r="C265" s="15">
        <v>1</v>
      </c>
      <c r="D265" s="80">
        <f t="shared" si="47"/>
        <v>1.3385460688577073E+65</v>
      </c>
      <c r="E265" s="80">
        <f t="shared" si="48"/>
        <v>8.4715806908782187E+221</v>
      </c>
      <c r="F265" s="15">
        <f t="shared" si="49"/>
        <v>1</v>
      </c>
      <c r="G265" s="4">
        <f t="shared" si="50"/>
        <v>1.5800428723992299E-157</v>
      </c>
      <c r="H265" s="76">
        <v>0.01</v>
      </c>
      <c r="I265" s="15">
        <f t="shared" si="51"/>
        <v>1.01</v>
      </c>
      <c r="J265" s="79">
        <f t="shared" si="52"/>
        <v>1.3385460688577073E+65</v>
      </c>
      <c r="K265" s="79">
        <f t="shared" si="53"/>
        <v>8.4715806908782187E+221</v>
      </c>
      <c r="L265" s="79">
        <f t="shared" si="55"/>
        <v>13.558134286164355</v>
      </c>
      <c r="M265" s="79">
        <f t="shared" si="56"/>
        <v>2.1422433441885609E-156</v>
      </c>
      <c r="N265" s="79">
        <f t="shared" si="57"/>
        <v>1.984239056948638E-156</v>
      </c>
      <c r="O265" s="78">
        <f t="shared" si="54"/>
        <v>0.9262435391998981</v>
      </c>
    </row>
    <row r="266" spans="2:15" x14ac:dyDescent="0.25">
      <c r="B266" s="15">
        <v>263</v>
      </c>
      <c r="C266" s="15">
        <v>1</v>
      </c>
      <c r="D266" s="80">
        <f t="shared" si="47"/>
        <v>2.3725111343612776E+65</v>
      </c>
      <c r="E266" s="80">
        <f t="shared" si="48"/>
        <v>9.7238926278417635E+222</v>
      </c>
      <c r="F266" s="15">
        <f t="shared" si="49"/>
        <v>1</v>
      </c>
      <c r="G266" s="4">
        <f t="shared" si="50"/>
        <v>2.4398779636544186E-158</v>
      </c>
      <c r="H266" s="76">
        <v>0.01</v>
      </c>
      <c r="I266" s="15">
        <f t="shared" si="51"/>
        <v>1.01</v>
      </c>
      <c r="J266" s="79">
        <f t="shared" si="52"/>
        <v>2.3725111343612776E+65</v>
      </c>
      <c r="K266" s="79">
        <f t="shared" si="53"/>
        <v>9.7238926278417635E+222</v>
      </c>
      <c r="L266" s="79">
        <f t="shared" si="55"/>
        <v>13.693715629025995</v>
      </c>
      <c r="M266" s="79">
        <f t="shared" si="56"/>
        <v>3.341099500381063E-157</v>
      </c>
      <c r="N266" s="79">
        <f t="shared" si="57"/>
        <v>3.0971117040156208E-157</v>
      </c>
      <c r="O266" s="78">
        <f t="shared" si="54"/>
        <v>0.92697380118801775</v>
      </c>
    </row>
    <row r="267" spans="2:15" x14ac:dyDescent="0.25">
      <c r="B267" s="15">
        <v>264</v>
      </c>
      <c r="C267" s="15">
        <v>1</v>
      </c>
      <c r="D267" s="80">
        <f t="shared" si="47"/>
        <v>4.2051664964148708E+65</v>
      </c>
      <c r="E267" s="80">
        <f t="shared" si="48"/>
        <v>1.118248651196143E+224</v>
      </c>
      <c r="F267" s="15">
        <f t="shared" si="49"/>
        <v>1</v>
      </c>
      <c r="G267" s="4">
        <f t="shared" si="50"/>
        <v>3.76049324264043E-159</v>
      </c>
      <c r="H267" s="76">
        <v>0.01</v>
      </c>
      <c r="I267" s="15">
        <f t="shared" si="51"/>
        <v>1.01</v>
      </c>
      <c r="J267" s="79">
        <f t="shared" si="52"/>
        <v>4.2051664964148708E+65</v>
      </c>
      <c r="K267" s="79">
        <f t="shared" si="53"/>
        <v>1.118248651196143E+224</v>
      </c>
      <c r="L267" s="79">
        <f t="shared" si="55"/>
        <v>13.830652785316259</v>
      </c>
      <c r="M267" s="79">
        <f t="shared" si="56"/>
        <v>5.2010076340487828E-158</v>
      </c>
      <c r="N267" s="79">
        <f t="shared" si="57"/>
        <v>4.8249583097847399E-158</v>
      </c>
      <c r="O267" s="78">
        <f t="shared" si="54"/>
        <v>0.92769683285942361</v>
      </c>
    </row>
    <row r="268" spans="2:15" x14ac:dyDescent="0.25">
      <c r="B268" s="15">
        <v>265</v>
      </c>
      <c r="C268" s="15">
        <v>1</v>
      </c>
      <c r="D268" s="80">
        <f t="shared" si="47"/>
        <v>7.4534635502694878E+65</v>
      </c>
      <c r="E268" s="80">
        <f t="shared" si="48"/>
        <v>1.2884157731890654E+225</v>
      </c>
      <c r="F268" s="15">
        <f t="shared" si="49"/>
        <v>1</v>
      </c>
      <c r="G268" s="4">
        <f t="shared" si="50"/>
        <v>5.7849831594507719E-160</v>
      </c>
      <c r="H268" s="76">
        <v>0.01</v>
      </c>
      <c r="I268" s="15">
        <f t="shared" si="51"/>
        <v>1.01</v>
      </c>
      <c r="J268" s="79">
        <f t="shared" si="52"/>
        <v>7.4534635502694878E+65</v>
      </c>
      <c r="K268" s="79">
        <f t="shared" si="53"/>
        <v>1.2884157731890654E+225</v>
      </c>
      <c r="L268" s="79">
        <f t="shared" si="55"/>
        <v>13.968959313169423</v>
      </c>
      <c r="M268" s="79">
        <f t="shared" si="56"/>
        <v>8.0810194381738117E-159</v>
      </c>
      <c r="N268" s="79">
        <f t="shared" si="57"/>
        <v>7.5025211222287348E-159</v>
      </c>
      <c r="O268" s="78">
        <f t="shared" si="54"/>
        <v>0.92841270580140955</v>
      </c>
    </row>
    <row r="269" spans="2:15" x14ac:dyDescent="0.25">
      <c r="B269" s="15">
        <v>266</v>
      </c>
      <c r="C269" s="15">
        <v>1</v>
      </c>
      <c r="D269" s="80">
        <f t="shared" si="47"/>
        <v>1.3210920172258888E+66</v>
      </c>
      <c r="E269" s="80">
        <f t="shared" si="48"/>
        <v>1.487270706090812E+226</v>
      </c>
      <c r="F269" s="15">
        <f t="shared" si="49"/>
        <v>1</v>
      </c>
      <c r="G269" s="4">
        <f t="shared" si="50"/>
        <v>8.8826601089877422E-161</v>
      </c>
      <c r="H269" s="76">
        <v>0.01</v>
      </c>
      <c r="I269" s="15">
        <f t="shared" si="51"/>
        <v>1.01</v>
      </c>
      <c r="J269" s="79">
        <f t="shared" si="52"/>
        <v>1.3210920172258888E+66</v>
      </c>
      <c r="K269" s="79">
        <f t="shared" si="53"/>
        <v>1.487270706090812E+226</v>
      </c>
      <c r="L269" s="79">
        <f t="shared" si="55"/>
        <v>14.108648906301116</v>
      </c>
      <c r="M269" s="79">
        <f t="shared" si="56"/>
        <v>1.2532233283171447E-159</v>
      </c>
      <c r="N269" s="79">
        <f t="shared" si="57"/>
        <v>1.1643967272272673E-159</v>
      </c>
      <c r="O269" s="78">
        <f t="shared" si="54"/>
        <v>0.92912149089248464</v>
      </c>
    </row>
    <row r="270" spans="2:15" x14ac:dyDescent="0.25">
      <c r="B270" s="15">
        <v>267</v>
      </c>
      <c r="C270" s="15">
        <v>1</v>
      </c>
      <c r="D270" s="80">
        <f t="shared" si="47"/>
        <v>2.3415746333325604E+66</v>
      </c>
      <c r="E270" s="80">
        <f t="shared" si="48"/>
        <v>1.72003505720741E+227</v>
      </c>
      <c r="F270" s="15">
        <f t="shared" si="49"/>
        <v>1</v>
      </c>
      <c r="G270" s="4">
        <f t="shared" si="50"/>
        <v>1.3613528535483809E-161</v>
      </c>
      <c r="H270" s="76">
        <v>0.01</v>
      </c>
      <c r="I270" s="15">
        <f t="shared" si="51"/>
        <v>1.01</v>
      </c>
      <c r="J270" s="79">
        <f t="shared" si="52"/>
        <v>2.3415746333325604E+66</v>
      </c>
      <c r="K270" s="79">
        <f t="shared" si="53"/>
        <v>1.72003505720741E+227</v>
      </c>
      <c r="L270" s="79">
        <f t="shared" si="55"/>
        <v>14.249735395364125</v>
      </c>
      <c r="M270" s="79">
        <f t="shared" si="56"/>
        <v>1.9398917942788319E-160</v>
      </c>
      <c r="N270" s="79">
        <f t="shared" si="57"/>
        <v>1.8037565089239939E-160</v>
      </c>
      <c r="O270" s="78">
        <f t="shared" si="54"/>
        <v>0.92982325830939083</v>
      </c>
    </row>
    <row r="271" spans="2:15" x14ac:dyDescent="0.25">
      <c r="B271" s="15">
        <v>268</v>
      </c>
      <c r="C271" s="15">
        <v>1</v>
      </c>
      <c r="D271" s="80">
        <f t="shared" si="47"/>
        <v>4.150332976032972E+66</v>
      </c>
      <c r="E271" s="80">
        <f t="shared" si="48"/>
        <v>1.9929427461617248E+228</v>
      </c>
      <c r="F271" s="15">
        <f t="shared" si="49"/>
        <v>1</v>
      </c>
      <c r="G271" s="4">
        <f t="shared" si="50"/>
        <v>2.0825149061739166E-162</v>
      </c>
      <c r="H271" s="76">
        <v>0.01</v>
      </c>
      <c r="I271" s="15">
        <f t="shared" si="51"/>
        <v>1.01</v>
      </c>
      <c r="J271" s="79">
        <f t="shared" si="52"/>
        <v>4.150332976032972E+66</v>
      </c>
      <c r="K271" s="79">
        <f t="shared" si="53"/>
        <v>1.9929427461617248E+228</v>
      </c>
      <c r="L271" s="79">
        <f t="shared" si="55"/>
        <v>14.392232749317767</v>
      </c>
      <c r="M271" s="79">
        <f t="shared" si="56"/>
        <v>2.9972039233578656E-161</v>
      </c>
      <c r="N271" s="79">
        <f t="shared" si="57"/>
        <v>2.7889524327404739E-161</v>
      </c>
      <c r="O271" s="78">
        <f t="shared" si="54"/>
        <v>0.93051807753405025</v>
      </c>
    </row>
    <row r="272" spans="2:15" x14ac:dyDescent="0.25">
      <c r="B272" s="15">
        <v>269</v>
      </c>
      <c r="C272" s="15">
        <v>1</v>
      </c>
      <c r="D272" s="80">
        <f t="shared" si="47"/>
        <v>7.3562736659098943E+66</v>
      </c>
      <c r="E272" s="80">
        <f t="shared" si="48"/>
        <v>2.3134471519439806E+229</v>
      </c>
      <c r="F272" s="15">
        <f t="shared" si="49"/>
        <v>1</v>
      </c>
      <c r="G272" s="4">
        <f t="shared" si="50"/>
        <v>3.1797889395175709E-163</v>
      </c>
      <c r="H272" s="76">
        <v>0.01</v>
      </c>
      <c r="I272" s="15">
        <f t="shared" si="51"/>
        <v>1.01</v>
      </c>
      <c r="J272" s="79">
        <f t="shared" si="52"/>
        <v>7.3562736659098943E+66</v>
      </c>
      <c r="K272" s="79">
        <f t="shared" si="53"/>
        <v>2.3134471519439806E+229</v>
      </c>
      <c r="L272" s="79">
        <f t="shared" si="55"/>
        <v>14.536155076810946</v>
      </c>
      <c r="M272" s="79">
        <f t="shared" si="56"/>
        <v>4.6221905136355625E-162</v>
      </c>
      <c r="N272" s="79">
        <f t="shared" si="57"/>
        <v>4.3042116196838056E-162</v>
      </c>
      <c r="O272" s="78">
        <f t="shared" si="54"/>
        <v>0.93120601736044584</v>
      </c>
    </row>
    <row r="273" spans="2:15" x14ac:dyDescent="0.25">
      <c r="B273" s="15">
        <v>270</v>
      </c>
      <c r="C273" s="15">
        <v>1</v>
      </c>
      <c r="D273" s="80">
        <f t="shared" si="47"/>
        <v>1.3038655587456648E+67</v>
      </c>
      <c r="E273" s="80">
        <f t="shared" si="48"/>
        <v>2.6904727073182788E+230</v>
      </c>
      <c r="F273" s="15">
        <f t="shared" si="49"/>
        <v>1</v>
      </c>
      <c r="G273" s="4">
        <f t="shared" si="50"/>
        <v>4.8462322446128409E-164</v>
      </c>
      <c r="H273" s="76">
        <v>0.01</v>
      </c>
      <c r="I273" s="15">
        <f t="shared" si="51"/>
        <v>1.01</v>
      </c>
      <c r="J273" s="79">
        <f t="shared" si="52"/>
        <v>1.3038655587456648E+67</v>
      </c>
      <c r="K273" s="79">
        <f t="shared" si="53"/>
        <v>2.6904727073182788E+230</v>
      </c>
      <c r="L273" s="79">
        <f t="shared" si="55"/>
        <v>14.681516627579057</v>
      </c>
      <c r="M273" s="79">
        <f t="shared" si="56"/>
        <v>7.11500392803932E-163</v>
      </c>
      <c r="N273" s="79">
        <f t="shared" si="57"/>
        <v>6.630380703578036E-163</v>
      </c>
      <c r="O273" s="78">
        <f t="shared" si="54"/>
        <v>0.93188714590143151</v>
      </c>
    </row>
    <row r="274" spans="2:15" x14ac:dyDescent="0.25">
      <c r="B274" s="15">
        <v>271</v>
      </c>
      <c r="C274" s="15">
        <v>1</v>
      </c>
      <c r="D274" s="80">
        <f t="shared" si="47"/>
        <v>2.3110415306618268E+67</v>
      </c>
      <c r="E274" s="80">
        <f t="shared" si="48"/>
        <v>3.1347208908838937E+231</v>
      </c>
      <c r="F274" s="15">
        <f t="shared" si="49"/>
        <v>1</v>
      </c>
      <c r="G274" s="4">
        <f t="shared" si="50"/>
        <v>7.3723996843948209E-165</v>
      </c>
      <c r="H274" s="76">
        <v>0.01</v>
      </c>
      <c r="I274" s="15">
        <f t="shared" si="51"/>
        <v>1.01</v>
      </c>
      <c r="J274" s="79">
        <f t="shared" si="52"/>
        <v>2.3110415306618268E+67</v>
      </c>
      <c r="K274" s="79">
        <f t="shared" si="53"/>
        <v>3.1347208908838937E+231</v>
      </c>
      <c r="L274" s="79">
        <f t="shared" si="55"/>
        <v>14.828331793854844</v>
      </c>
      <c r="M274" s="79">
        <f t="shared" si="56"/>
        <v>1.0932038863711712E-163</v>
      </c>
      <c r="N274" s="79">
        <f t="shared" si="57"/>
        <v>1.019479889527223E-163</v>
      </c>
      <c r="O274" s="78">
        <f t="shared" si="54"/>
        <v>0.93256153059547675</v>
      </c>
    </row>
    <row r="275" spans="2:15" x14ac:dyDescent="0.25">
      <c r="B275" s="15">
        <v>272</v>
      </c>
      <c r="C275" s="15">
        <v>1</v>
      </c>
      <c r="D275" s="80">
        <f t="shared" si="47"/>
        <v>4.0962144606241317E+67</v>
      </c>
      <c r="E275" s="80">
        <f t="shared" si="48"/>
        <v>3.6590428819524733E+232</v>
      </c>
      <c r="F275" s="15">
        <f t="shared" si="49"/>
        <v>1</v>
      </c>
      <c r="G275" s="4">
        <f t="shared" si="50"/>
        <v>1.1194770306814175E-165</v>
      </c>
      <c r="H275" s="76">
        <v>0.01</v>
      </c>
      <c r="I275" s="15">
        <f t="shared" si="51"/>
        <v>1.01</v>
      </c>
      <c r="J275" s="79">
        <f t="shared" si="52"/>
        <v>4.0962144606241317E+67</v>
      </c>
      <c r="K275" s="79">
        <f t="shared" si="53"/>
        <v>3.6590428819524733E+232</v>
      </c>
      <c r="L275" s="79">
        <f t="shared" si="55"/>
        <v>14.976615111793397</v>
      </c>
      <c r="M275" s="79">
        <f t="shared" si="56"/>
        <v>1.6765976615008919E-164</v>
      </c>
      <c r="N275" s="79">
        <f t="shared" si="57"/>
        <v>1.5646499584327501E-164</v>
      </c>
      <c r="O275" s="78">
        <f t="shared" si="54"/>
        <v>0.93322923821334325</v>
      </c>
    </row>
    <row r="276" spans="2:15" x14ac:dyDescent="0.25">
      <c r="B276" s="15">
        <v>273</v>
      </c>
      <c r="C276" s="15">
        <v>1</v>
      </c>
      <c r="D276" s="80">
        <f t="shared" si="47"/>
        <v>7.2603510948682144E+67</v>
      </c>
      <c r="E276" s="80">
        <f t="shared" si="48"/>
        <v>4.278894016056746E+233</v>
      </c>
      <c r="F276" s="15">
        <f t="shared" si="49"/>
        <v>1</v>
      </c>
      <c r="G276" s="4">
        <f t="shared" si="50"/>
        <v>1.6967821749319834E-166</v>
      </c>
      <c r="H276" s="76">
        <v>0.01</v>
      </c>
      <c r="I276" s="15">
        <f t="shared" si="51"/>
        <v>1.01</v>
      </c>
      <c r="J276" s="79">
        <f t="shared" si="52"/>
        <v>7.2603510948682144E+67</v>
      </c>
      <c r="K276" s="79">
        <f t="shared" si="53"/>
        <v>4.278894016056746E+233</v>
      </c>
      <c r="L276" s="79">
        <f t="shared" si="55"/>
        <v>15.12638126291133</v>
      </c>
      <c r="M276" s="79">
        <f t="shared" si="56"/>
        <v>2.5666174098133086E-165</v>
      </c>
      <c r="N276" s="79">
        <f t="shared" si="57"/>
        <v>2.3969391923201102E-165</v>
      </c>
      <c r="O276" s="78">
        <f t="shared" si="54"/>
        <v>0.9338903348646963</v>
      </c>
    </row>
    <row r="277" spans="2:15" x14ac:dyDescent="0.25">
      <c r="B277" s="15">
        <v>274</v>
      </c>
      <c r="C277" s="15">
        <v>1</v>
      </c>
      <c r="D277" s="80">
        <f t="shared" si="47"/>
        <v>1.2868637257025049E+68</v>
      </c>
      <c r="E277" s="80">
        <f t="shared" si="48"/>
        <v>5.0128887482753301E+234</v>
      </c>
      <c r="F277" s="15">
        <f t="shared" si="49"/>
        <v>1</v>
      </c>
      <c r="G277" s="4">
        <f t="shared" si="50"/>
        <v>2.5671100842707643E-167</v>
      </c>
      <c r="H277" s="76">
        <v>0.01</v>
      </c>
      <c r="I277" s="15">
        <f t="shared" si="51"/>
        <v>1.01</v>
      </c>
      <c r="J277" s="79">
        <f t="shared" si="52"/>
        <v>1.2868637257025049E+68</v>
      </c>
      <c r="K277" s="79">
        <f t="shared" si="53"/>
        <v>5.0128887482753301E+234</v>
      </c>
      <c r="L277" s="79">
        <f t="shared" si="55"/>
        <v>15.277645075540445</v>
      </c>
      <c r="M277" s="79">
        <f t="shared" si="56"/>
        <v>3.9219396737329457E-166</v>
      </c>
      <c r="N277" s="79">
        <f t="shared" si="57"/>
        <v>3.6652286653058695E-166</v>
      </c>
      <c r="O277" s="78">
        <f t="shared" si="54"/>
        <v>0.93454488600464991</v>
      </c>
    </row>
    <row r="278" spans="2:15" x14ac:dyDescent="0.25">
      <c r="B278" s="15">
        <v>275</v>
      </c>
      <c r="C278" s="15">
        <v>1</v>
      </c>
      <c r="D278" s="80">
        <f t="shared" ref="D278:D341" si="58">PI()^(B278/2)</f>
        <v>2.2809065662120285E+68</v>
      </c>
      <c r="E278" s="80">
        <f t="shared" ref="E278:E341" si="59">EXP(_xlfn.GAMMALN.PRECISE((B278/2)+1))</f>
        <v>5.8834792720780175E+235</v>
      </c>
      <c r="F278" s="15">
        <f t="shared" ref="F278:F341" si="60">C278^B278</f>
        <v>1</v>
      </c>
      <c r="G278" s="4">
        <f t="shared" ref="G278:G341" si="61">D278*F278/E278</f>
        <v>3.8767988476424475E-168</v>
      </c>
      <c r="H278" s="76">
        <v>0.01</v>
      </c>
      <c r="I278" s="15">
        <f t="shared" ref="I278:I341" si="62">C278+(H278*C278)</f>
        <v>1.01</v>
      </c>
      <c r="J278" s="79">
        <f t="shared" ref="J278:J341" si="63">PI()^(B278/2)</f>
        <v>2.2809065662120285E+68</v>
      </c>
      <c r="K278" s="79">
        <f t="shared" ref="K278:K341" si="64">EXP(_xlfn.GAMMALN.PRECISE((B278/2)+1))</f>
        <v>5.8834792720780175E+235</v>
      </c>
      <c r="L278" s="79">
        <f t="shared" si="55"/>
        <v>15.430421526295845</v>
      </c>
      <c r="M278" s="79">
        <f t="shared" si="56"/>
        <v>5.9820640391780946E-167</v>
      </c>
      <c r="N278" s="79">
        <f t="shared" si="57"/>
        <v>5.5943841544138501E-167</v>
      </c>
      <c r="O278" s="78">
        <f t="shared" ref="O278:O341" si="65">N278/M278</f>
        <v>0.93519295644024736</v>
      </c>
    </row>
    <row r="279" spans="2:15" x14ac:dyDescent="0.25">
      <c r="B279" s="15">
        <v>276</v>
      </c>
      <c r="C279" s="15">
        <v>1</v>
      </c>
      <c r="D279" s="80">
        <f t="shared" si="58"/>
        <v>4.0428016268381802E+68</v>
      </c>
      <c r="E279" s="80">
        <f t="shared" si="59"/>
        <v>6.9177864726192148E+236</v>
      </c>
      <c r="F279" s="15">
        <f t="shared" si="60"/>
        <v>1</v>
      </c>
      <c r="G279" s="4">
        <f t="shared" si="61"/>
        <v>5.8440682476102695E-169</v>
      </c>
      <c r="H279" s="76">
        <v>0.01</v>
      </c>
      <c r="I279" s="15">
        <f t="shared" si="62"/>
        <v>1.01</v>
      </c>
      <c r="J279" s="79">
        <f t="shared" si="63"/>
        <v>4.0428016268381802E+68</v>
      </c>
      <c r="K279" s="79">
        <f t="shared" si="64"/>
        <v>6.9177864726192148E+236</v>
      </c>
      <c r="L279" s="79">
        <f t="shared" si="55"/>
        <v>15.584725741558806</v>
      </c>
      <c r="M279" s="79">
        <f t="shared" si="56"/>
        <v>9.1078200853958235E-168</v>
      </c>
      <c r="N279" s="79">
        <f t="shared" si="57"/>
        <v>8.5234132606347965E-168</v>
      </c>
      <c r="O279" s="78">
        <f t="shared" si="65"/>
        <v>0.93583461033687854</v>
      </c>
    </row>
    <row r="280" spans="2:15" x14ac:dyDescent="0.25">
      <c r="B280" s="15">
        <v>277</v>
      </c>
      <c r="C280" s="15">
        <v>1</v>
      </c>
      <c r="D280" s="80">
        <f t="shared" si="58"/>
        <v>7.1656793119365366E+68</v>
      </c>
      <c r="E280" s="80">
        <f t="shared" si="59"/>
        <v>8.1486187918274962E+237</v>
      </c>
      <c r="F280" s="15">
        <f t="shared" si="60"/>
        <v>1</v>
      </c>
      <c r="G280" s="4">
        <f t="shared" si="61"/>
        <v>8.7937348586280901E-170</v>
      </c>
      <c r="H280" s="76">
        <v>0.01</v>
      </c>
      <c r="I280" s="15">
        <f t="shared" si="62"/>
        <v>1.01</v>
      </c>
      <c r="J280" s="79">
        <f t="shared" si="63"/>
        <v>7.1656793119365366E+68</v>
      </c>
      <c r="K280" s="79">
        <f t="shared" si="64"/>
        <v>8.1486187918274962E+237</v>
      </c>
      <c r="L280" s="79">
        <f t="shared" si="55"/>
        <v>15.740572998974391</v>
      </c>
      <c r="M280" s="79">
        <f t="shared" si="56"/>
        <v>1.3841842547586119E-168</v>
      </c>
      <c r="N280" s="79">
        <f t="shared" si="57"/>
        <v>1.296246906172331E-168</v>
      </c>
      <c r="O280" s="78">
        <f t="shared" si="65"/>
        <v>0.93646991122463219</v>
      </c>
    </row>
    <row r="281" spans="2:15" x14ac:dyDescent="0.25">
      <c r="B281" s="15">
        <v>278</v>
      </c>
      <c r="C281" s="15">
        <v>1</v>
      </c>
      <c r="D281" s="80">
        <f t="shared" si="58"/>
        <v>1.2700835890795692E+69</v>
      </c>
      <c r="E281" s="80">
        <f t="shared" si="59"/>
        <v>9.6157231969405526E+238</v>
      </c>
      <c r="F281" s="15">
        <f t="shared" si="60"/>
        <v>1</v>
      </c>
      <c r="G281" s="4">
        <f t="shared" si="61"/>
        <v>1.3208404225733884E-170</v>
      </c>
      <c r="H281" s="76">
        <v>0.01</v>
      </c>
      <c r="I281" s="15">
        <f t="shared" si="62"/>
        <v>1.01</v>
      </c>
      <c r="J281" s="79">
        <f t="shared" si="63"/>
        <v>1.2700835890795692E+69</v>
      </c>
      <c r="K281" s="79">
        <f t="shared" si="64"/>
        <v>9.6157231969405526E+238</v>
      </c>
      <c r="L281" s="79">
        <f t="shared" si="55"/>
        <v>15.897978728964139</v>
      </c>
      <c r="M281" s="79">
        <f t="shared" si="56"/>
        <v>2.0998692942427734E-169</v>
      </c>
      <c r="N281" s="79">
        <f t="shared" si="57"/>
        <v>1.9677852519854346E-169</v>
      </c>
      <c r="O281" s="78">
        <f t="shared" si="65"/>
        <v>0.93709892200458644</v>
      </c>
    </row>
    <row r="282" spans="2:15" x14ac:dyDescent="0.25">
      <c r="B282" s="15">
        <v>279</v>
      </c>
      <c r="C282" s="15">
        <v>1</v>
      </c>
      <c r="D282" s="80">
        <f t="shared" si="58"/>
        <v>2.2511645484359882E+69</v>
      </c>
      <c r="E282" s="80">
        <f t="shared" si="59"/>
        <v>1.1367323214600767E+240</v>
      </c>
      <c r="F282" s="15">
        <f t="shared" si="60"/>
        <v>1</v>
      </c>
      <c r="G282" s="4">
        <f t="shared" si="61"/>
        <v>1.9803822816830599E-171</v>
      </c>
      <c r="H282" s="76">
        <v>0.01</v>
      </c>
      <c r="I282" s="15">
        <f t="shared" si="62"/>
        <v>1.01</v>
      </c>
      <c r="J282" s="79">
        <f t="shared" si="63"/>
        <v>2.2511645484359882E+69</v>
      </c>
      <c r="K282" s="79">
        <f t="shared" si="64"/>
        <v>1.1367323214600767E+240</v>
      </c>
      <c r="L282" s="79">
        <f t="shared" si="55"/>
        <v>16.056958516253779</v>
      </c>
      <c r="M282" s="79">
        <f t="shared" si="56"/>
        <v>3.1798916143308895E-170</v>
      </c>
      <c r="N282" s="79">
        <f t="shared" si="57"/>
        <v>2.9818533861625836E-170</v>
      </c>
      <c r="O282" s="78">
        <f t="shared" si="65"/>
        <v>0.93772170495503604</v>
      </c>
    </row>
    <row r="283" spans="2:15" x14ac:dyDescent="0.25">
      <c r="B283" s="15">
        <v>280</v>
      </c>
      <c r="C283" s="15">
        <v>1</v>
      </c>
      <c r="D283" s="80">
        <f t="shared" si="58"/>
        <v>3.9900852728973324E+69</v>
      </c>
      <c r="E283" s="80">
        <f t="shared" si="59"/>
        <v>1.3462012475718704E+241</v>
      </c>
      <c r="F283" s="15">
        <f t="shared" si="60"/>
        <v>1</v>
      </c>
      <c r="G283" s="4">
        <f t="shared" si="61"/>
        <v>2.9639589772288568E-172</v>
      </c>
      <c r="H283" s="76">
        <v>0.01</v>
      </c>
      <c r="I283" s="15">
        <f t="shared" si="62"/>
        <v>1.01</v>
      </c>
      <c r="J283" s="79">
        <f t="shared" si="63"/>
        <v>3.9900852728973324E+69</v>
      </c>
      <c r="K283" s="79">
        <f t="shared" si="64"/>
        <v>1.3462012475718704E+241</v>
      </c>
      <c r="L283" s="79">
        <f t="shared" ref="L283:L344" si="66">I283^B283</f>
        <v>16.21752810141632</v>
      </c>
      <c r="M283" s="79">
        <f t="shared" ref="M283:M344" si="67">J283*L283/K283</f>
        <v>4.8068088004654157E-171</v>
      </c>
      <c r="N283" s="79">
        <f t="shared" ref="N283:N344" si="68">M283-G283</f>
        <v>4.5104129027425302E-171</v>
      </c>
      <c r="O283" s="78">
        <f t="shared" si="65"/>
        <v>0.93833832173765941</v>
      </c>
    </row>
    <row r="284" spans="2:15" x14ac:dyDescent="0.25">
      <c r="B284" s="15">
        <v>281</v>
      </c>
      <c r="C284" s="15">
        <v>1</v>
      </c>
      <c r="D284" s="80">
        <f t="shared" si="58"/>
        <v>7.0722420073881884E+69</v>
      </c>
      <c r="E284" s="80">
        <f t="shared" si="59"/>
        <v>1.5971089116512312E+242</v>
      </c>
      <c r="F284" s="15">
        <f t="shared" si="60"/>
        <v>1</v>
      </c>
      <c r="G284" s="4">
        <f t="shared" si="61"/>
        <v>4.4281526173918126E-173</v>
      </c>
      <c r="H284" s="76">
        <v>0.01</v>
      </c>
      <c r="I284" s="15">
        <f t="shared" si="62"/>
        <v>1.01</v>
      </c>
      <c r="J284" s="79">
        <f t="shared" si="63"/>
        <v>7.0722420073881884E+69</v>
      </c>
      <c r="K284" s="79">
        <f t="shared" si="64"/>
        <v>1.5971089116512312E+242</v>
      </c>
      <c r="L284" s="79">
        <f t="shared" si="66"/>
        <v>16.379703382430485</v>
      </c>
      <c r="M284" s="79">
        <f t="shared" si="67"/>
        <v>7.2531826405011067E-172</v>
      </c>
      <c r="N284" s="79">
        <f t="shared" si="68"/>
        <v>6.8103673787619258E-172</v>
      </c>
      <c r="O284" s="78">
        <f t="shared" si="65"/>
        <v>0.93894883340362323</v>
      </c>
    </row>
    <row r="285" spans="2:15" x14ac:dyDescent="0.25">
      <c r="B285" s="15">
        <v>282</v>
      </c>
      <c r="C285" s="15">
        <v>1</v>
      </c>
      <c r="D285" s="80">
        <f t="shared" si="58"/>
        <v>1.2535222580531083E+70</v>
      </c>
      <c r="E285" s="80">
        <f t="shared" si="59"/>
        <v>1.8981437590762873E+243</v>
      </c>
      <c r="F285" s="15">
        <f t="shared" si="60"/>
        <v>1</v>
      </c>
      <c r="G285" s="4">
        <f t="shared" si="61"/>
        <v>6.6039374102155591E-174</v>
      </c>
      <c r="H285" s="76">
        <v>0.01</v>
      </c>
      <c r="I285" s="15">
        <f t="shared" si="62"/>
        <v>1.01</v>
      </c>
      <c r="J285" s="79">
        <f t="shared" si="63"/>
        <v>1.2535222580531083E+70</v>
      </c>
      <c r="K285" s="79">
        <f t="shared" si="64"/>
        <v>1.8981437590762873E+243</v>
      </c>
      <c r="L285" s="79">
        <f t="shared" si="66"/>
        <v>16.543500416254791</v>
      </c>
      <c r="M285" s="79">
        <f t="shared" si="67"/>
        <v>1.0925224129482168E-172</v>
      </c>
      <c r="N285" s="79">
        <f t="shared" si="68"/>
        <v>1.0264830388460612E-172</v>
      </c>
      <c r="O285" s="78">
        <f t="shared" si="65"/>
        <v>0.93955330039962692</v>
      </c>
    </row>
    <row r="286" spans="2:15" x14ac:dyDescent="0.25">
      <c r="B286" s="15">
        <v>283</v>
      </c>
      <c r="C286" s="15">
        <v>1</v>
      </c>
      <c r="D286" s="80">
        <f t="shared" si="58"/>
        <v>2.2218103534820197E+70</v>
      </c>
      <c r="E286" s="80">
        <f t="shared" si="59"/>
        <v>2.259909109986492E+244</v>
      </c>
      <c r="F286" s="15">
        <f t="shared" si="60"/>
        <v>1</v>
      </c>
      <c r="G286" s="4">
        <f t="shared" si="61"/>
        <v>9.831414651429499E-175</v>
      </c>
      <c r="H286" s="76">
        <v>0.01</v>
      </c>
      <c r="I286" s="15">
        <f t="shared" si="62"/>
        <v>1.01</v>
      </c>
      <c r="J286" s="79">
        <f t="shared" si="63"/>
        <v>2.2218103534820197E+70</v>
      </c>
      <c r="K286" s="79">
        <f t="shared" si="64"/>
        <v>2.259909109986492E+244</v>
      </c>
      <c r="L286" s="79">
        <f t="shared" si="66"/>
        <v>16.708935420417333</v>
      </c>
      <c r="M286" s="79">
        <f t="shared" si="67"/>
        <v>1.6427247250208026E-173</v>
      </c>
      <c r="N286" s="79">
        <f t="shared" si="68"/>
        <v>1.5444105785065076E-173</v>
      </c>
      <c r="O286" s="78">
        <f t="shared" si="65"/>
        <v>0.94015178257388798</v>
      </c>
    </row>
    <row r="287" spans="2:15" x14ac:dyDescent="0.25">
      <c r="B287" s="15">
        <v>284</v>
      </c>
      <c r="C287" s="15">
        <v>1</v>
      </c>
      <c r="D287" s="80">
        <f t="shared" si="58"/>
        <v>3.9380563170109338E+70</v>
      </c>
      <c r="E287" s="80">
        <f t="shared" si="59"/>
        <v>2.6953641378880047E+245</v>
      </c>
      <c r="F287" s="15">
        <f t="shared" si="60"/>
        <v>1</v>
      </c>
      <c r="G287" s="4">
        <f t="shared" si="61"/>
        <v>1.461047975542429E-175</v>
      </c>
      <c r="H287" s="76">
        <v>0.01</v>
      </c>
      <c r="I287" s="15">
        <f t="shared" si="62"/>
        <v>1.01</v>
      </c>
      <c r="J287" s="79">
        <f t="shared" si="63"/>
        <v>3.9380563170109338E+70</v>
      </c>
      <c r="K287" s="79">
        <f t="shared" si="64"/>
        <v>2.6953641378880047E+245</v>
      </c>
      <c r="L287" s="79">
        <f t="shared" si="66"/>
        <v>16.876024774621506</v>
      </c>
      <c r="M287" s="79">
        <f t="shared" si="67"/>
        <v>2.4656681832164628E-174</v>
      </c>
      <c r="N287" s="79">
        <f t="shared" si="68"/>
        <v>2.3195633856622202E-174</v>
      </c>
      <c r="O287" s="78">
        <f t="shared" si="65"/>
        <v>0.94074433918206746</v>
      </c>
    </row>
    <row r="288" spans="2:15" x14ac:dyDescent="0.25">
      <c r="B288" s="15">
        <v>285</v>
      </c>
      <c r="C288" s="15">
        <v>1</v>
      </c>
      <c r="D288" s="80">
        <f t="shared" si="58"/>
        <v>6.9800230841687596E+70</v>
      </c>
      <c r="E288" s="80">
        <f t="shared" si="59"/>
        <v>3.2203704817311862E+246</v>
      </c>
      <c r="F288" s="15">
        <f t="shared" si="60"/>
        <v>1</v>
      </c>
      <c r="G288" s="4">
        <f t="shared" si="61"/>
        <v>2.1674596521629038E-176</v>
      </c>
      <c r="H288" s="76">
        <v>0.01</v>
      </c>
      <c r="I288" s="15">
        <f t="shared" si="62"/>
        <v>1.01</v>
      </c>
      <c r="J288" s="79">
        <f t="shared" si="63"/>
        <v>6.9800230841687596E+70</v>
      </c>
      <c r="K288" s="79">
        <f t="shared" si="64"/>
        <v>3.2203704817311862E+246</v>
      </c>
      <c r="L288" s="79">
        <f t="shared" si="66"/>
        <v>17.044785022367723</v>
      </c>
      <c r="M288" s="79">
        <f t="shared" si="67"/>
        <v>3.6943883815772613E-175</v>
      </c>
      <c r="N288" s="79">
        <f t="shared" si="68"/>
        <v>3.4776424163609711E-175</v>
      </c>
      <c r="O288" s="78">
        <f t="shared" si="65"/>
        <v>0.94133102889313602</v>
      </c>
    </row>
    <row r="289" spans="2:15" x14ac:dyDescent="0.25">
      <c r="B289" s="15">
        <v>286</v>
      </c>
      <c r="C289" s="15">
        <v>1</v>
      </c>
      <c r="D289" s="80">
        <f t="shared" si="58"/>
        <v>1.2371768794944428E+71</v>
      </c>
      <c r="E289" s="80">
        <f t="shared" si="59"/>
        <v>3.8543707171800172E+247</v>
      </c>
      <c r="F289" s="15">
        <f t="shared" si="60"/>
        <v>1</v>
      </c>
      <c r="G289" s="4">
        <f t="shared" si="61"/>
        <v>3.2098025080462465E-177</v>
      </c>
      <c r="H289" s="76">
        <v>0.01</v>
      </c>
      <c r="I289" s="15">
        <f t="shared" si="62"/>
        <v>1.01</v>
      </c>
      <c r="J289" s="79">
        <f t="shared" si="63"/>
        <v>1.2371768794944428E+71</v>
      </c>
      <c r="K289" s="79">
        <f t="shared" si="64"/>
        <v>3.8543707171800172E+247</v>
      </c>
      <c r="L289" s="79">
        <f t="shared" si="66"/>
        <v>17.215232872591404</v>
      </c>
      <c r="M289" s="79">
        <f t="shared" si="67"/>
        <v>5.5257497651044074E-176</v>
      </c>
      <c r="N289" s="79">
        <f t="shared" si="68"/>
        <v>5.204769514299783E-176</v>
      </c>
      <c r="O289" s="78">
        <f t="shared" si="65"/>
        <v>0.94191190979518424</v>
      </c>
    </row>
    <row r="290" spans="2:15" x14ac:dyDescent="0.25">
      <c r="B290" s="15">
        <v>287</v>
      </c>
      <c r="C290" s="15">
        <v>1</v>
      </c>
      <c r="D290" s="80">
        <f t="shared" si="58"/>
        <v>2.1928389243112074E+71</v>
      </c>
      <c r="E290" s="80">
        <f t="shared" si="59"/>
        <v>4.6212316412842571E+248</v>
      </c>
      <c r="F290" s="15">
        <f t="shared" si="60"/>
        <v>1</v>
      </c>
      <c r="G290" s="4">
        <f t="shared" si="61"/>
        <v>4.745139595949381E-178</v>
      </c>
      <c r="H290" s="76">
        <v>0.01</v>
      </c>
      <c r="I290" s="15">
        <f t="shared" si="62"/>
        <v>1.01</v>
      </c>
      <c r="J290" s="79">
        <f t="shared" si="63"/>
        <v>2.1928389243112074E+71</v>
      </c>
      <c r="K290" s="79">
        <f t="shared" si="64"/>
        <v>4.6212316412842571E+248</v>
      </c>
      <c r="L290" s="79">
        <f t="shared" si="66"/>
        <v>17.387385201317311</v>
      </c>
      <c r="M290" s="79">
        <f t="shared" si="67"/>
        <v>8.2505569988795071E-177</v>
      </c>
      <c r="N290" s="79">
        <f t="shared" si="68"/>
        <v>7.7760430392845688E-177</v>
      </c>
      <c r="O290" s="78">
        <f t="shared" si="65"/>
        <v>0.9424870394011724</v>
      </c>
    </row>
    <row r="291" spans="2:15" x14ac:dyDescent="0.25">
      <c r="B291" s="15">
        <v>288</v>
      </c>
      <c r="C291" s="15">
        <v>1</v>
      </c>
      <c r="D291" s="80">
        <f t="shared" si="58"/>
        <v>3.8867057958108859E+71</v>
      </c>
      <c r="E291" s="80">
        <f t="shared" si="59"/>
        <v>5.5502938327392393E+249</v>
      </c>
      <c r="F291" s="15">
        <f t="shared" si="60"/>
        <v>1</v>
      </c>
      <c r="G291" s="4">
        <f t="shared" si="61"/>
        <v>7.0027027630223281E-179</v>
      </c>
      <c r="H291" s="76">
        <v>0.01</v>
      </c>
      <c r="I291" s="15">
        <f t="shared" si="62"/>
        <v>1.01</v>
      </c>
      <c r="J291" s="79">
        <f t="shared" si="63"/>
        <v>3.8867057958108859E+71</v>
      </c>
      <c r="K291" s="79">
        <f t="shared" si="64"/>
        <v>5.5502938327392393E+249</v>
      </c>
      <c r="L291" s="79">
        <f t="shared" si="66"/>
        <v>17.561259053330488</v>
      </c>
      <c r="M291" s="79">
        <f t="shared" si="67"/>
        <v>1.2297627729490829E-177</v>
      </c>
      <c r="N291" s="79">
        <f t="shared" si="68"/>
        <v>1.1597357453188597E-177</v>
      </c>
      <c r="O291" s="78">
        <f t="shared" si="65"/>
        <v>0.94305647465462628</v>
      </c>
    </row>
    <row r="292" spans="2:15" x14ac:dyDescent="0.25">
      <c r="B292" s="15">
        <v>289</v>
      </c>
      <c r="C292" s="15">
        <v>1</v>
      </c>
      <c r="D292" s="80">
        <f t="shared" si="58"/>
        <v>6.8890066551217408E+71</v>
      </c>
      <c r="E292" s="80">
        <f t="shared" si="59"/>
        <v>6.6776797216553969E+250</v>
      </c>
      <c r="F292" s="15">
        <f t="shared" si="60"/>
        <v>1</v>
      </c>
      <c r="G292" s="4">
        <f t="shared" si="61"/>
        <v>1.0316467608922634E-179</v>
      </c>
      <c r="H292" s="76">
        <v>0.01</v>
      </c>
      <c r="I292" s="15">
        <f t="shared" si="62"/>
        <v>1.01</v>
      </c>
      <c r="J292" s="79">
        <f t="shared" si="63"/>
        <v>6.8890066551217408E+71</v>
      </c>
      <c r="K292" s="79">
        <f t="shared" si="64"/>
        <v>6.6776797216553969E+250</v>
      </c>
      <c r="L292" s="79">
        <f t="shared" si="66"/>
        <v>17.736871643863793</v>
      </c>
      <c r="M292" s="79">
        <f t="shared" si="67"/>
        <v>1.8298186179753916E-178</v>
      </c>
      <c r="N292" s="79">
        <f t="shared" si="68"/>
        <v>1.7266539418861652E-178</v>
      </c>
      <c r="O292" s="78">
        <f t="shared" si="65"/>
        <v>0.94362027193527342</v>
      </c>
    </row>
    <row r="293" spans="2:15" x14ac:dyDescent="0.25">
      <c r="B293" s="15">
        <v>290</v>
      </c>
      <c r="C293" s="15">
        <v>1</v>
      </c>
      <c r="D293" s="80">
        <f t="shared" si="58"/>
        <v>1.2210446374784349E+72</v>
      </c>
      <c r="E293" s="80">
        <f t="shared" si="59"/>
        <v>8.0479260574721535E+251</v>
      </c>
      <c r="F293" s="15">
        <f t="shared" si="60"/>
        <v>1</v>
      </c>
      <c r="G293" s="4">
        <f t="shared" si="61"/>
        <v>1.5172165210747027E-180</v>
      </c>
      <c r="H293" s="76">
        <v>0.01</v>
      </c>
      <c r="I293" s="15">
        <f t="shared" si="62"/>
        <v>1.01</v>
      </c>
      <c r="J293" s="79">
        <f t="shared" si="63"/>
        <v>1.2210446374784349E+72</v>
      </c>
      <c r="K293" s="79">
        <f t="shared" si="64"/>
        <v>8.0479260574721535E+251</v>
      </c>
      <c r="L293" s="79">
        <f t="shared" si="66"/>
        <v>17.914240360302433</v>
      </c>
      <c r="M293" s="79">
        <f t="shared" si="67"/>
        <v>2.7179781437154085E-179</v>
      </c>
      <c r="N293" s="79">
        <f t="shared" si="68"/>
        <v>2.5662564916079381E-179</v>
      </c>
      <c r="O293" s="78">
        <f t="shared" si="65"/>
        <v>0.94417848706462715</v>
      </c>
    </row>
    <row r="294" spans="2:15" x14ac:dyDescent="0.25">
      <c r="B294" s="15">
        <v>291</v>
      </c>
      <c r="C294" s="15">
        <v>1</v>
      </c>
      <c r="D294" s="80">
        <f t="shared" si="58"/>
        <v>2.1642452698261975E+72</v>
      </c>
      <c r="E294" s="80">
        <f t="shared" si="59"/>
        <v>9.7160239950086298E+252</v>
      </c>
      <c r="F294" s="15">
        <f t="shared" si="60"/>
        <v>1</v>
      </c>
      <c r="G294" s="4">
        <f t="shared" si="61"/>
        <v>2.2275009519717385E-181</v>
      </c>
      <c r="H294" s="76">
        <v>0.01</v>
      </c>
      <c r="I294" s="15">
        <f t="shared" si="62"/>
        <v>1.01</v>
      </c>
      <c r="J294" s="79">
        <f t="shared" si="63"/>
        <v>2.1642452698261975E+72</v>
      </c>
      <c r="K294" s="79">
        <f t="shared" si="64"/>
        <v>9.7160239950086298E+252</v>
      </c>
      <c r="L294" s="79">
        <f t="shared" si="66"/>
        <v>18.093382763905453</v>
      </c>
      <c r="M294" s="79">
        <f t="shared" si="67"/>
        <v>4.0303027330988438E-180</v>
      </c>
      <c r="N294" s="79">
        <f t="shared" si="68"/>
        <v>3.8075526379016699E-180</v>
      </c>
      <c r="O294" s="78">
        <f t="shared" si="65"/>
        <v>0.94473117531151207</v>
      </c>
    </row>
    <row r="295" spans="2:15" x14ac:dyDescent="0.25">
      <c r="B295" s="15">
        <v>292</v>
      </c>
      <c r="C295" s="15">
        <v>1</v>
      </c>
      <c r="D295" s="80">
        <f t="shared" si="58"/>
        <v>3.8360248628074642E+72</v>
      </c>
      <c r="E295" s="80">
        <f t="shared" si="59"/>
        <v>1.1749972043908966E+254</v>
      </c>
      <c r="F295" s="15">
        <f t="shared" si="60"/>
        <v>1</v>
      </c>
      <c r="G295" s="4">
        <f t="shared" si="61"/>
        <v>3.2647097784339068E-182</v>
      </c>
      <c r="H295" s="76">
        <v>0.01</v>
      </c>
      <c r="I295" s="15">
        <f t="shared" si="62"/>
        <v>1.01</v>
      </c>
      <c r="J295" s="79">
        <f t="shared" si="63"/>
        <v>3.8360248628074642E+72</v>
      </c>
      <c r="K295" s="79">
        <f t="shared" si="64"/>
        <v>1.1749972043908966E+254</v>
      </c>
      <c r="L295" s="79">
        <f t="shared" si="66"/>
        <v>18.274316591544508</v>
      </c>
      <c r="M295" s="79">
        <f t="shared" si="67"/>
        <v>5.9660340070612346E-181</v>
      </c>
      <c r="N295" s="79">
        <f t="shared" si="68"/>
        <v>5.6395630292178444E-181</v>
      </c>
      <c r="O295" s="78">
        <f t="shared" si="65"/>
        <v>0.94527839139753678</v>
      </c>
    </row>
    <row r="296" spans="2:15" x14ac:dyDescent="0.25">
      <c r="B296" s="15">
        <v>293</v>
      </c>
      <c r="C296" s="15">
        <v>1</v>
      </c>
      <c r="D296" s="80">
        <f t="shared" si="58"/>
        <v>6.7991770402523497E+72</v>
      </c>
      <c r="E296" s="80">
        <f t="shared" si="59"/>
        <v>1.4233975152686748E+255</v>
      </c>
      <c r="F296" s="15">
        <f t="shared" si="60"/>
        <v>1</v>
      </c>
      <c r="G296" s="4">
        <f t="shared" si="61"/>
        <v>4.7767239771870502E-183</v>
      </c>
      <c r="H296" s="76">
        <v>0.01</v>
      </c>
      <c r="I296" s="15">
        <f t="shared" si="62"/>
        <v>1.01</v>
      </c>
      <c r="J296" s="79">
        <f t="shared" si="63"/>
        <v>6.7991770402523497E+72</v>
      </c>
      <c r="K296" s="79">
        <f t="shared" si="64"/>
        <v>1.4233975152686748E+255</v>
      </c>
      <c r="L296" s="79">
        <f t="shared" si="66"/>
        <v>18.457059757459955</v>
      </c>
      <c r="M296" s="79">
        <f t="shared" si="67"/>
        <v>8.8164279891833175E-182</v>
      </c>
      <c r="N296" s="79">
        <f t="shared" si="68"/>
        <v>8.3387555914646122E-182</v>
      </c>
      <c r="O296" s="78">
        <f t="shared" si="65"/>
        <v>0.94582018950251157</v>
      </c>
    </row>
    <row r="297" spans="2:15" x14ac:dyDescent="0.25">
      <c r="B297" s="15">
        <v>294</v>
      </c>
      <c r="C297" s="15">
        <v>1</v>
      </c>
      <c r="D297" s="80">
        <f t="shared" si="58"/>
        <v>1.2051227527983723E+73</v>
      </c>
      <c r="E297" s="80">
        <f t="shared" si="59"/>
        <v>1.7272458904546453E+256</v>
      </c>
      <c r="F297" s="15">
        <f t="shared" si="60"/>
        <v>1</v>
      </c>
      <c r="G297" s="4">
        <f t="shared" si="61"/>
        <v>6.9771348680480008E-184</v>
      </c>
      <c r="H297" s="76">
        <v>0.01</v>
      </c>
      <c r="I297" s="15">
        <f t="shared" si="62"/>
        <v>1.01</v>
      </c>
      <c r="J297" s="79">
        <f t="shared" si="63"/>
        <v>1.2051227527983723E+73</v>
      </c>
      <c r="K297" s="79">
        <f t="shared" si="64"/>
        <v>1.7272458904546453E+256</v>
      </c>
      <c r="L297" s="79">
        <f t="shared" si="66"/>
        <v>18.641630355034557</v>
      </c>
      <c r="M297" s="79">
        <f t="shared" si="67"/>
        <v>1.3006516914737364E-182</v>
      </c>
      <c r="N297" s="79">
        <f t="shared" si="68"/>
        <v>1.2308803427932564E-182</v>
      </c>
      <c r="O297" s="78">
        <f t="shared" si="65"/>
        <v>0.94635662326981351</v>
      </c>
    </row>
    <row r="298" spans="2:15" x14ac:dyDescent="0.25">
      <c r="B298" s="15">
        <v>295</v>
      </c>
      <c r="C298" s="15">
        <v>1</v>
      </c>
      <c r="D298" s="80">
        <f t="shared" si="58"/>
        <v>2.1360244640113493E+73</v>
      </c>
      <c r="E298" s="80">
        <f t="shared" si="59"/>
        <v>2.0995113350215199E+257</v>
      </c>
      <c r="F298" s="15">
        <f t="shared" si="60"/>
        <v>1</v>
      </c>
      <c r="G298" s="4">
        <f t="shared" si="61"/>
        <v>1.0173912511834356E-184</v>
      </c>
      <c r="H298" s="76">
        <v>0.01</v>
      </c>
      <c r="I298" s="15">
        <f t="shared" si="62"/>
        <v>1.01</v>
      </c>
      <c r="J298" s="79">
        <f t="shared" si="63"/>
        <v>2.1360244640113493E+73</v>
      </c>
      <c r="K298" s="79">
        <f t="shared" si="64"/>
        <v>2.0995113350215199E+257</v>
      </c>
      <c r="L298" s="79">
        <f t="shared" si="66"/>
        <v>18.828046658584896</v>
      </c>
      <c r="M298" s="79">
        <f t="shared" si="67"/>
        <v>1.9155489947317789E-183</v>
      </c>
      <c r="N298" s="79">
        <f t="shared" si="68"/>
        <v>1.8138098696134354E-183</v>
      </c>
      <c r="O298" s="78">
        <f t="shared" si="65"/>
        <v>0.94688774581169644</v>
      </c>
    </row>
    <row r="299" spans="2:15" x14ac:dyDescent="0.25">
      <c r="B299" s="15">
        <v>296</v>
      </c>
      <c r="C299" s="15">
        <v>1</v>
      </c>
      <c r="D299" s="80">
        <f t="shared" si="58"/>
        <v>3.7860047868652746E+73</v>
      </c>
      <c r="E299" s="80">
        <f t="shared" si="59"/>
        <v>2.5563239178729601E+258</v>
      </c>
      <c r="F299" s="15">
        <f t="shared" si="60"/>
        <v>1</v>
      </c>
      <c r="G299" s="4">
        <f t="shared" si="61"/>
        <v>1.4810348408489229E-185</v>
      </c>
      <c r="H299" s="76">
        <v>0.01</v>
      </c>
      <c r="I299" s="15">
        <f t="shared" si="62"/>
        <v>1.01</v>
      </c>
      <c r="J299" s="79">
        <f t="shared" si="63"/>
        <v>3.7860047868652746E+73</v>
      </c>
      <c r="K299" s="79">
        <f t="shared" si="64"/>
        <v>2.5563239178729601E+258</v>
      </c>
      <c r="L299" s="79">
        <f t="shared" si="66"/>
        <v>19.016327125170751</v>
      </c>
      <c r="M299" s="79">
        <f t="shared" si="67"/>
        <v>2.816384301735832E-184</v>
      </c>
      <c r="N299" s="79">
        <f t="shared" si="68"/>
        <v>2.6682808176509396E-184</v>
      </c>
      <c r="O299" s="78">
        <f t="shared" si="65"/>
        <v>0.94741360971455091</v>
      </c>
    </row>
    <row r="300" spans="2:15" x14ac:dyDescent="0.25">
      <c r="B300" s="15">
        <v>297</v>
      </c>
      <c r="C300" s="15">
        <v>1</v>
      </c>
      <c r="D300" s="80">
        <f t="shared" si="58"/>
        <v>6.7105187640260402E+73</v>
      </c>
      <c r="E300" s="80">
        <f t="shared" si="59"/>
        <v>3.1177743325068242E+259</v>
      </c>
      <c r="F300" s="15">
        <f t="shared" si="60"/>
        <v>1</v>
      </c>
      <c r="G300" s="4">
        <f t="shared" si="61"/>
        <v>2.1523426805013483E-186</v>
      </c>
      <c r="H300" s="76">
        <v>0.01</v>
      </c>
      <c r="I300" s="15">
        <f t="shared" si="62"/>
        <v>1.01</v>
      </c>
      <c r="J300" s="79">
        <f t="shared" si="63"/>
        <v>6.7105187640260402E+73</v>
      </c>
      <c r="K300" s="79">
        <f t="shared" si="64"/>
        <v>3.1177743325068242E+259</v>
      </c>
      <c r="L300" s="79">
        <f t="shared" si="66"/>
        <v>19.20649039642246</v>
      </c>
      <c r="M300" s="79">
        <f t="shared" si="67"/>
        <v>4.1338949022859323E-185</v>
      </c>
      <c r="N300" s="79">
        <f t="shared" si="68"/>
        <v>3.9186606342357973E-185</v>
      </c>
      <c r="O300" s="78">
        <f t="shared" si="65"/>
        <v>0.94793426704410988</v>
      </c>
    </row>
    <row r="301" spans="2:15" x14ac:dyDescent="0.25">
      <c r="B301" s="15">
        <v>298</v>
      </c>
      <c r="C301" s="15">
        <v>1</v>
      </c>
      <c r="D301" s="80">
        <f t="shared" si="58"/>
        <v>1.1894084824871735E+74</v>
      </c>
      <c r="E301" s="80">
        <f t="shared" si="59"/>
        <v>3.8089226376305589E+260</v>
      </c>
      <c r="F301" s="15">
        <f t="shared" si="60"/>
        <v>1</v>
      </c>
      <c r="G301" s="4">
        <f t="shared" si="61"/>
        <v>3.1226900508199257E-187</v>
      </c>
      <c r="H301" s="76">
        <v>0.01</v>
      </c>
      <c r="I301" s="15">
        <f t="shared" si="62"/>
        <v>1.01</v>
      </c>
      <c r="J301" s="79">
        <f t="shared" si="63"/>
        <v>1.1894084824871735E+74</v>
      </c>
      <c r="K301" s="79">
        <f t="shared" si="64"/>
        <v>3.8089226376305589E+260</v>
      </c>
      <c r="L301" s="79">
        <f t="shared" si="66"/>
        <v>19.398555300386686</v>
      </c>
      <c r="M301" s="79">
        <f t="shared" si="67"/>
        <v>6.0575675636797635E-186</v>
      </c>
      <c r="N301" s="79">
        <f t="shared" si="68"/>
        <v>5.7452985585977706E-186</v>
      </c>
      <c r="O301" s="78">
        <f t="shared" si="65"/>
        <v>0.94844976935060377</v>
      </c>
    </row>
    <row r="302" spans="2:15" x14ac:dyDescent="0.25">
      <c r="B302" s="15">
        <v>299</v>
      </c>
      <c r="C302" s="15">
        <v>1</v>
      </c>
      <c r="D302" s="80">
        <f t="shared" si="58"/>
        <v>2.108171645084098E+74</v>
      </c>
      <c r="E302" s="80">
        <f t="shared" si="59"/>
        <v>4.6610726270967647E+261</v>
      </c>
      <c r="F302" s="15">
        <f t="shared" si="60"/>
        <v>1</v>
      </c>
      <c r="G302" s="4">
        <f t="shared" si="61"/>
        <v>4.5229324100817791E-188</v>
      </c>
      <c r="H302" s="76">
        <v>0.01</v>
      </c>
      <c r="I302" s="15">
        <f t="shared" si="62"/>
        <v>1.01</v>
      </c>
      <c r="J302" s="79">
        <f t="shared" si="63"/>
        <v>2.108171645084098E+74</v>
      </c>
      <c r="K302" s="79">
        <f t="shared" si="64"/>
        <v>4.6610726270967647E+261</v>
      </c>
      <c r="L302" s="79">
        <f t="shared" si="66"/>
        <v>19.592540853390549</v>
      </c>
      <c r="M302" s="79">
        <f t="shared" si="67"/>
        <v>8.8615738021651431E-187</v>
      </c>
      <c r="N302" s="79">
        <f t="shared" si="68"/>
        <v>8.4092805611569656E-187</v>
      </c>
      <c r="O302" s="78">
        <f t="shared" si="65"/>
        <v>0.94896016767386526</v>
      </c>
    </row>
    <row r="303" spans="2:15" x14ac:dyDescent="0.25">
      <c r="B303" s="15">
        <v>300</v>
      </c>
      <c r="C303" s="15">
        <v>1</v>
      </c>
      <c r="D303" s="80">
        <f t="shared" si="58"/>
        <v>3.7366369506990894E+74</v>
      </c>
      <c r="E303" s="80">
        <f t="shared" si="59"/>
        <v>5.7133839564463546E+262</v>
      </c>
      <c r="F303" s="15">
        <f t="shared" si="60"/>
        <v>1</v>
      </c>
      <c r="G303" s="4">
        <f t="shared" si="61"/>
        <v>6.5401467487286215E-189</v>
      </c>
      <c r="H303" s="76">
        <v>0.01</v>
      </c>
      <c r="I303" s="15">
        <f t="shared" si="62"/>
        <v>1.01</v>
      </c>
      <c r="J303" s="79">
        <f t="shared" si="63"/>
        <v>3.7366369506990894E+74</v>
      </c>
      <c r="K303" s="79">
        <f t="shared" si="64"/>
        <v>5.7133839564463546E+262</v>
      </c>
      <c r="L303" s="79">
        <f t="shared" si="66"/>
        <v>19.788466261924455</v>
      </c>
      <c r="M303" s="79">
        <f t="shared" si="67"/>
        <v>1.2941947328525125E-187</v>
      </c>
      <c r="N303" s="79">
        <f t="shared" si="68"/>
        <v>1.2287932653652263E-187</v>
      </c>
      <c r="O303" s="78">
        <f t="shared" si="65"/>
        <v>0.94946551254838141</v>
      </c>
    </row>
    <row r="304" spans="2:15" x14ac:dyDescent="0.25">
      <c r="B304" s="15">
        <v>301</v>
      </c>
      <c r="C304" s="15">
        <v>1</v>
      </c>
      <c r="D304" s="80">
        <f t="shared" si="58"/>
        <v>6.6230165527024214E+74</v>
      </c>
      <c r="E304" s="80">
        <f t="shared" si="59"/>
        <v>7.0149143037816246E+263</v>
      </c>
      <c r="F304" s="15">
        <f t="shared" si="60"/>
        <v>1</v>
      </c>
      <c r="G304" s="4">
        <f t="shared" si="61"/>
        <v>9.4413363669062385E-190</v>
      </c>
      <c r="H304" s="76">
        <v>0.01</v>
      </c>
      <c r="I304" s="15">
        <f t="shared" si="62"/>
        <v>1.01</v>
      </c>
      <c r="J304" s="79">
        <f t="shared" si="63"/>
        <v>6.6230165527024214E+74</v>
      </c>
      <c r="K304" s="79">
        <f t="shared" si="64"/>
        <v>7.0149143037816246E+263</v>
      </c>
      <c r="L304" s="79">
        <f t="shared" si="66"/>
        <v>19.9863509245437</v>
      </c>
      <c r="M304" s="79">
        <f t="shared" si="67"/>
        <v>1.8869786182564458E-188</v>
      </c>
      <c r="N304" s="79">
        <f t="shared" si="68"/>
        <v>1.7925652545873834E-188</v>
      </c>
      <c r="O304" s="78">
        <f t="shared" si="65"/>
        <v>0.94996585400829836</v>
      </c>
    </row>
    <row r="305" spans="2:15" x14ac:dyDescent="0.25">
      <c r="B305" s="15">
        <v>302</v>
      </c>
      <c r="C305" s="15">
        <v>1</v>
      </c>
      <c r="D305" s="80">
        <f t="shared" si="58"/>
        <v>1.1738991193448424E+75</v>
      </c>
      <c r="E305" s="80">
        <f t="shared" si="59"/>
        <v>8.6272097742343408E+264</v>
      </c>
      <c r="F305" s="15">
        <f t="shared" si="60"/>
        <v>1</v>
      </c>
      <c r="G305" s="4">
        <f t="shared" si="61"/>
        <v>1.3606938396823962E-190</v>
      </c>
      <c r="H305" s="76">
        <v>0.01</v>
      </c>
      <c r="I305" s="15">
        <f t="shared" si="62"/>
        <v>1.01</v>
      </c>
      <c r="J305" s="79">
        <f t="shared" si="63"/>
        <v>1.1738991193448424E+75</v>
      </c>
      <c r="K305" s="79">
        <f t="shared" si="64"/>
        <v>8.6272097742343408E+264</v>
      </c>
      <c r="L305" s="79">
        <f t="shared" si="66"/>
        <v>20.186214433789139</v>
      </c>
      <c r="M305" s="79">
        <f t="shared" si="67"/>
        <v>2.7467257626564752E-189</v>
      </c>
      <c r="N305" s="79">
        <f t="shared" si="68"/>
        <v>2.6106563786882355E-189</v>
      </c>
      <c r="O305" s="78">
        <f t="shared" si="65"/>
        <v>0.95046124159237455</v>
      </c>
    </row>
    <row r="306" spans="2:15" x14ac:dyDescent="0.25">
      <c r="B306" s="15">
        <v>303</v>
      </c>
      <c r="C306" s="15">
        <v>1</v>
      </c>
      <c r="D306" s="80">
        <f t="shared" si="58"/>
        <v>2.0806820146573835E+75</v>
      </c>
      <c r="E306" s="80">
        <f t="shared" si="59"/>
        <v>1.0627595170229865E+266</v>
      </c>
      <c r="F306" s="15">
        <f t="shared" si="60"/>
        <v>1</v>
      </c>
      <c r="G306" s="4">
        <f t="shared" si="61"/>
        <v>1.9578107571182357E-191</v>
      </c>
      <c r="H306" s="76">
        <v>0.01</v>
      </c>
      <c r="I306" s="15">
        <f t="shared" si="62"/>
        <v>1.01</v>
      </c>
      <c r="J306" s="79">
        <f t="shared" si="63"/>
        <v>2.0806820146573835E+75</v>
      </c>
      <c r="K306" s="79">
        <f t="shared" si="64"/>
        <v>1.0627595170229865E+266</v>
      </c>
      <c r="L306" s="79">
        <f t="shared" si="66"/>
        <v>20.388076578127023</v>
      </c>
      <c r="M306" s="79">
        <f t="shared" si="67"/>
        <v>3.9915995641607437E-190</v>
      </c>
      <c r="N306" s="79">
        <f t="shared" si="68"/>
        <v>3.79581848844892E-190</v>
      </c>
      <c r="O306" s="78">
        <f t="shared" si="65"/>
        <v>0.95095172434888575</v>
      </c>
    </row>
    <row r="307" spans="2:15" x14ac:dyDescent="0.25">
      <c r="B307" s="15">
        <v>304</v>
      </c>
      <c r="C307" s="15">
        <v>1</v>
      </c>
      <c r="D307" s="80">
        <f t="shared" si="58"/>
        <v>3.6879128493892848E+75</v>
      </c>
      <c r="E307" s="80">
        <f t="shared" si="59"/>
        <v>1.3113358856835267E+267</v>
      </c>
      <c r="F307" s="15">
        <f t="shared" si="60"/>
        <v>1</v>
      </c>
      <c r="G307" s="4">
        <f t="shared" si="61"/>
        <v>2.8123327437706628E-192</v>
      </c>
      <c r="H307" s="76">
        <v>0.01</v>
      </c>
      <c r="I307" s="15">
        <f t="shared" si="62"/>
        <v>1.01</v>
      </c>
      <c r="J307" s="79">
        <f t="shared" si="63"/>
        <v>3.6879128493892848E+75</v>
      </c>
      <c r="K307" s="79">
        <f t="shared" si="64"/>
        <v>1.3113358856835267E+267</v>
      </c>
      <c r="L307" s="79">
        <f t="shared" si="66"/>
        <v>20.591957343908302</v>
      </c>
      <c r="M307" s="79">
        <f t="shared" si="67"/>
        <v>5.7911435896602082E-191</v>
      </c>
      <c r="N307" s="79">
        <f t="shared" si="68"/>
        <v>5.509910315283142E-191</v>
      </c>
      <c r="O307" s="78">
        <f t="shared" si="65"/>
        <v>0.95143735084048098</v>
      </c>
    </row>
    <row r="308" spans="2:15" x14ac:dyDescent="0.25">
      <c r="B308" s="15">
        <v>305</v>
      </c>
      <c r="C308" s="15">
        <v>1</v>
      </c>
      <c r="D308" s="80">
        <f t="shared" si="58"/>
        <v>6.5366553317039573E+75</v>
      </c>
      <c r="E308" s="80">
        <f t="shared" si="59"/>
        <v>1.6207082634598299E+268</v>
      </c>
      <c r="F308" s="15">
        <f t="shared" si="60"/>
        <v>1</v>
      </c>
      <c r="G308" s="4">
        <f t="shared" si="61"/>
        <v>4.0332091092999917E-193</v>
      </c>
      <c r="H308" s="76">
        <v>0.01</v>
      </c>
      <c r="I308" s="15">
        <f t="shared" si="62"/>
        <v>1.01</v>
      </c>
      <c r="J308" s="79">
        <f t="shared" si="63"/>
        <v>6.5366553317039573E+75</v>
      </c>
      <c r="K308" s="79">
        <f t="shared" si="64"/>
        <v>1.6207082634598299E+268</v>
      </c>
      <c r="L308" s="79">
        <f t="shared" si="66"/>
        <v>20.797876917347384</v>
      </c>
      <c r="M308" s="79">
        <f t="shared" si="67"/>
        <v>8.3882186637145499E-192</v>
      </c>
      <c r="N308" s="79">
        <f t="shared" si="68"/>
        <v>7.9848977527845509E-192</v>
      </c>
      <c r="O308" s="78">
        <f t="shared" si="65"/>
        <v>0.95191816914899108</v>
      </c>
    </row>
    <row r="309" spans="2:15" x14ac:dyDescent="0.25">
      <c r="B309" s="15">
        <v>306</v>
      </c>
      <c r="C309" s="15">
        <v>1</v>
      </c>
      <c r="D309" s="80">
        <f t="shared" si="58"/>
        <v>1.1585919914720778E+76</v>
      </c>
      <c r="E309" s="80">
        <f t="shared" si="59"/>
        <v>2.0063439050959058E+269</v>
      </c>
      <c r="F309" s="15">
        <f t="shared" si="60"/>
        <v>1</v>
      </c>
      <c r="G309" s="4">
        <f t="shared" si="61"/>
        <v>5.7746430635813438E-194</v>
      </c>
      <c r="H309" s="76">
        <v>0.01</v>
      </c>
      <c r="I309" s="15">
        <f t="shared" si="62"/>
        <v>1.01</v>
      </c>
      <c r="J309" s="79">
        <f t="shared" si="63"/>
        <v>1.1585919914720778E+76</v>
      </c>
      <c r="K309" s="79">
        <f t="shared" si="64"/>
        <v>2.0063439050959058E+269</v>
      </c>
      <c r="L309" s="79">
        <f t="shared" si="66"/>
        <v>21.00585568652086</v>
      </c>
      <c r="M309" s="79">
        <f t="shared" si="67"/>
        <v>1.2130131883475841E-192</v>
      </c>
      <c r="N309" s="79">
        <f t="shared" si="68"/>
        <v>1.1552667577117706E-192</v>
      </c>
      <c r="O309" s="78">
        <f t="shared" si="65"/>
        <v>0.95239422688018915</v>
      </c>
    </row>
    <row r="310" spans="2:15" x14ac:dyDescent="0.25">
      <c r="B310" s="15">
        <v>307</v>
      </c>
      <c r="C310" s="15">
        <v>1</v>
      </c>
      <c r="D310" s="80">
        <f t="shared" si="58"/>
        <v>2.0535508369130012E+76</v>
      </c>
      <c r="E310" s="80">
        <f t="shared" si="59"/>
        <v>2.4877871844111607E+270</v>
      </c>
      <c r="F310" s="15">
        <f t="shared" si="60"/>
        <v>1</v>
      </c>
      <c r="G310" s="4">
        <f t="shared" si="61"/>
        <v>8.2545277577634121E-195</v>
      </c>
      <c r="H310" s="76">
        <v>0.01</v>
      </c>
      <c r="I310" s="15">
        <f t="shared" si="62"/>
        <v>1.01</v>
      </c>
      <c r="J310" s="79">
        <f t="shared" si="63"/>
        <v>2.0535508369130012E+76</v>
      </c>
      <c r="K310" s="79">
        <f t="shared" si="64"/>
        <v>2.4877871844111607E+270</v>
      </c>
      <c r="L310" s="79">
        <f t="shared" si="66"/>
        <v>21.215914243386067</v>
      </c>
      <c r="M310" s="79">
        <f t="shared" si="67"/>
        <v>1.7512735302835844E-193</v>
      </c>
      <c r="N310" s="79">
        <f t="shared" si="68"/>
        <v>1.6687282527059503E-193</v>
      </c>
      <c r="O310" s="78">
        <f t="shared" si="65"/>
        <v>0.95286557116850423</v>
      </c>
    </row>
    <row r="311" spans="2:15" x14ac:dyDescent="0.25">
      <c r="B311" s="15">
        <v>308</v>
      </c>
      <c r="C311" s="15">
        <v>1</v>
      </c>
      <c r="D311" s="80">
        <f t="shared" si="58"/>
        <v>3.6398240889166481E+76</v>
      </c>
      <c r="E311" s="80">
        <f t="shared" si="59"/>
        <v>3.0897696138477123E+271</v>
      </c>
      <c r="F311" s="15">
        <f t="shared" si="60"/>
        <v>1</v>
      </c>
      <c r="G311" s="4">
        <f t="shared" si="61"/>
        <v>1.1780244302370329E-195</v>
      </c>
      <c r="H311" s="76">
        <v>0.01</v>
      </c>
      <c r="I311" s="15">
        <f t="shared" si="62"/>
        <v>1.01</v>
      </c>
      <c r="J311" s="79">
        <f t="shared" si="63"/>
        <v>3.6398240889166481E+76</v>
      </c>
      <c r="K311" s="79">
        <f t="shared" si="64"/>
        <v>3.0897696138477123E+271</v>
      </c>
      <c r="L311" s="79">
        <f t="shared" si="66"/>
        <v>21.428073385819928</v>
      </c>
      <c r="M311" s="79">
        <f t="shared" si="67"/>
        <v>2.524279394140785E-194</v>
      </c>
      <c r="N311" s="79">
        <f t="shared" si="68"/>
        <v>2.4064769511170818E-194</v>
      </c>
      <c r="O311" s="78">
        <f t="shared" si="65"/>
        <v>0.95333224868168731</v>
      </c>
    </row>
    <row r="312" spans="2:15" x14ac:dyDescent="0.25">
      <c r="B312" s="15">
        <v>309</v>
      </c>
      <c r="C312" s="15">
        <v>1</v>
      </c>
      <c r="D312" s="80">
        <f t="shared" si="58"/>
        <v>6.4514202230189687E+76</v>
      </c>
      <c r="E312" s="80">
        <f t="shared" si="59"/>
        <v>3.8436311999152957E+272</v>
      </c>
      <c r="F312" s="15">
        <f t="shared" si="60"/>
        <v>1</v>
      </c>
      <c r="G312" s="4">
        <f t="shared" si="61"/>
        <v>1.6784701464493113E-196</v>
      </c>
      <c r="H312" s="76">
        <v>0.01</v>
      </c>
      <c r="I312" s="15">
        <f t="shared" si="62"/>
        <v>1.01</v>
      </c>
      <c r="J312" s="79">
        <f t="shared" si="63"/>
        <v>6.4514202230189687E+76</v>
      </c>
      <c r="K312" s="79">
        <f t="shared" si="64"/>
        <v>3.8436311999152957E+272</v>
      </c>
      <c r="L312" s="79">
        <f t="shared" si="66"/>
        <v>21.642354119678124</v>
      </c>
      <c r="M312" s="79">
        <f t="shared" si="67"/>
        <v>3.6326045288764002E-195</v>
      </c>
      <c r="N312" s="79">
        <f t="shared" si="68"/>
        <v>3.4647575142314694E-195</v>
      </c>
      <c r="O312" s="78">
        <f t="shared" si="65"/>
        <v>0.95379430562543299</v>
      </c>
    </row>
    <row r="313" spans="2:15" x14ac:dyDescent="0.25">
      <c r="B313" s="15">
        <v>310</v>
      </c>
      <c r="C313" s="15">
        <v>1</v>
      </c>
      <c r="D313" s="80">
        <f t="shared" si="58"/>
        <v>1.1434844618099704E+77</v>
      </c>
      <c r="E313" s="80">
        <f t="shared" si="59"/>
        <v>4.7891429014634364E+273</v>
      </c>
      <c r="F313" s="15">
        <f t="shared" si="60"/>
        <v>1</v>
      </c>
      <c r="G313" s="4">
        <f t="shared" si="61"/>
        <v>2.3876599327628157E-197</v>
      </c>
      <c r="H313" s="76">
        <v>0.01</v>
      </c>
      <c r="I313" s="15">
        <f t="shared" si="62"/>
        <v>1.01</v>
      </c>
      <c r="J313" s="79">
        <f t="shared" si="63"/>
        <v>1.1434844618099704E+77</v>
      </c>
      <c r="K313" s="79">
        <f t="shared" si="64"/>
        <v>4.7891429014634364E+273</v>
      </c>
      <c r="L313" s="79">
        <f t="shared" si="66"/>
        <v>21.85877766087491</v>
      </c>
      <c r="M313" s="79">
        <f t="shared" si="67"/>
        <v>5.2191327600041927E-196</v>
      </c>
      <c r="N313" s="79">
        <f t="shared" si="68"/>
        <v>4.9803667667279114E-196</v>
      </c>
      <c r="O313" s="78">
        <f t="shared" si="65"/>
        <v>0.95425178774795349</v>
      </c>
    </row>
    <row r="314" spans="2:15" x14ac:dyDescent="0.25">
      <c r="B314" s="15">
        <v>311</v>
      </c>
      <c r="C314" s="15">
        <v>1</v>
      </c>
      <c r="D314" s="80">
        <f t="shared" si="58"/>
        <v>2.026773437785732E+77</v>
      </c>
      <c r="E314" s="80">
        <f t="shared" si="59"/>
        <v>5.9768465158674601E+274</v>
      </c>
      <c r="F314" s="15">
        <f t="shared" si="60"/>
        <v>1</v>
      </c>
      <c r="G314" s="4">
        <f t="shared" si="61"/>
        <v>3.3910414671098053E-198</v>
      </c>
      <c r="H314" s="76">
        <v>0.01</v>
      </c>
      <c r="I314" s="15">
        <f t="shared" si="62"/>
        <v>1.01</v>
      </c>
      <c r="J314" s="79">
        <f t="shared" si="63"/>
        <v>2.026773437785732E+77</v>
      </c>
      <c r="K314" s="79">
        <f t="shared" si="64"/>
        <v>5.9768465158674601E+274</v>
      </c>
      <c r="L314" s="79">
        <f t="shared" si="66"/>
        <v>22.077365437483657</v>
      </c>
      <c r="M314" s="79">
        <f t="shared" si="67"/>
        <v>7.4865261683043883E-197</v>
      </c>
      <c r="N314" s="79">
        <f t="shared" si="68"/>
        <v>7.1474220215934076E-197</v>
      </c>
      <c r="O314" s="78">
        <f t="shared" si="65"/>
        <v>0.95470474034450825</v>
      </c>
    </row>
    <row r="315" spans="2:15" x14ac:dyDescent="0.25">
      <c r="B315" s="15">
        <v>312</v>
      </c>
      <c r="C315" s="15">
        <v>1</v>
      </c>
      <c r="D315" s="80">
        <f t="shared" si="58"/>
        <v>3.5923623847162815E+77</v>
      </c>
      <c r="E315" s="80">
        <f t="shared" si="59"/>
        <v>7.471062926282278E+275</v>
      </c>
      <c r="F315" s="15">
        <f t="shared" si="60"/>
        <v>1</v>
      </c>
      <c r="G315" s="4">
        <f t="shared" si="61"/>
        <v>4.8083685282301583E-199</v>
      </c>
      <c r="H315" s="76">
        <v>0.01</v>
      </c>
      <c r="I315" s="15">
        <f t="shared" si="62"/>
        <v>1.01</v>
      </c>
      <c r="J315" s="79">
        <f t="shared" si="63"/>
        <v>3.5923623847162815E+77</v>
      </c>
      <c r="K315" s="79">
        <f t="shared" si="64"/>
        <v>7.471062926282278E+275</v>
      </c>
      <c r="L315" s="79">
        <f t="shared" si="66"/>
        <v>22.298139091858499</v>
      </c>
      <c r="M315" s="79">
        <f t="shared" si="67"/>
        <v>1.0721767024739101E-197</v>
      </c>
      <c r="N315" s="79">
        <f t="shared" si="68"/>
        <v>1.0240930171916085E-197</v>
      </c>
      <c r="O315" s="78">
        <f t="shared" si="65"/>
        <v>0.95515320826188943</v>
      </c>
    </row>
    <row r="316" spans="2:15" x14ac:dyDescent="0.25">
      <c r="B316" s="15">
        <v>313</v>
      </c>
      <c r="C316" s="15">
        <v>1</v>
      </c>
      <c r="D316" s="80">
        <f t="shared" si="58"/>
        <v>6.3672965426384983E+77</v>
      </c>
      <c r="E316" s="80">
        <f t="shared" si="59"/>
        <v>9.353764797333527E+276</v>
      </c>
      <c r="F316" s="15">
        <f t="shared" si="60"/>
        <v>1</v>
      </c>
      <c r="G316" s="4">
        <f t="shared" si="61"/>
        <v>6.807201892069833E-200</v>
      </c>
      <c r="H316" s="76">
        <v>0.01</v>
      </c>
      <c r="I316" s="15">
        <f t="shared" si="62"/>
        <v>1.01</v>
      </c>
      <c r="J316" s="79">
        <f t="shared" si="63"/>
        <v>6.3672965426384983E+77</v>
      </c>
      <c r="K316" s="79">
        <f t="shared" si="64"/>
        <v>9.353764797333527E+276</v>
      </c>
      <c r="L316" s="79">
        <f t="shared" si="66"/>
        <v>22.521120482777086</v>
      </c>
      <c r="M316" s="79">
        <f t="shared" si="67"/>
        <v>1.5330581396189284E-198</v>
      </c>
      <c r="N316" s="79">
        <f t="shared" si="68"/>
        <v>1.4649861206982301E-198</v>
      </c>
      <c r="O316" s="78">
        <f t="shared" si="65"/>
        <v>0.95559723590286083</v>
      </c>
    </row>
    <row r="317" spans="2:15" x14ac:dyDescent="0.25">
      <c r="B317" s="15">
        <v>314</v>
      </c>
      <c r="C317" s="15">
        <v>1</v>
      </c>
      <c r="D317" s="80">
        <f t="shared" si="58"/>
        <v>1.128573927685698E+78</v>
      </c>
      <c r="E317" s="80">
        <f t="shared" si="59"/>
        <v>1.172956879426488E+278</v>
      </c>
      <c r="F317" s="15">
        <f t="shared" si="60"/>
        <v>1</v>
      </c>
      <c r="G317" s="4">
        <f t="shared" si="61"/>
        <v>9.6216148051197689E-201</v>
      </c>
      <c r="H317" s="76">
        <v>0.01</v>
      </c>
      <c r="I317" s="15">
        <f t="shared" si="62"/>
        <v>1.01</v>
      </c>
      <c r="J317" s="79">
        <f t="shared" si="63"/>
        <v>1.128573927685698E+78</v>
      </c>
      <c r="K317" s="79">
        <f t="shared" si="64"/>
        <v>1.172956879426488E+278</v>
      </c>
      <c r="L317" s="79">
        <f t="shared" si="66"/>
        <v>22.746331687604854</v>
      </c>
      <c r="M317" s="79">
        <f t="shared" si="67"/>
        <v>2.1885644172762381E-199</v>
      </c>
      <c r="N317" s="79">
        <f t="shared" si="68"/>
        <v>2.0923482692250405E-199</v>
      </c>
      <c r="O317" s="78">
        <f t="shared" si="65"/>
        <v>0.95603686723055537</v>
      </c>
    </row>
    <row r="318" spans="2:15" x14ac:dyDescent="0.25">
      <c r="B318" s="15">
        <v>315</v>
      </c>
      <c r="C318" s="15">
        <v>1</v>
      </c>
      <c r="D318" s="80">
        <f t="shared" si="58"/>
        <v>2.0003452041581094E+78</v>
      </c>
      <c r="E318" s="80">
        <f t="shared" si="59"/>
        <v>1.4732179555799754E+279</v>
      </c>
      <c r="F318" s="15">
        <f t="shared" si="60"/>
        <v>1</v>
      </c>
      <c r="G318" s="4">
        <f t="shared" si="61"/>
        <v>1.3578066955955711E-201</v>
      </c>
      <c r="H318" s="76">
        <v>0.01</v>
      </c>
      <c r="I318" s="15">
        <f t="shared" si="62"/>
        <v>1.01</v>
      </c>
      <c r="J318" s="79">
        <f t="shared" si="63"/>
        <v>2.0003452041581094E+78</v>
      </c>
      <c r="K318" s="79">
        <f t="shared" si="64"/>
        <v>1.4732179555799754E+279</v>
      </c>
      <c r="L318" s="79">
        <f t="shared" si="66"/>
        <v>22.973795004480895</v>
      </c>
      <c r="M318" s="79">
        <f t="shared" si="67"/>
        <v>3.1193972680324247E-200</v>
      </c>
      <c r="N318" s="79">
        <f t="shared" si="68"/>
        <v>2.9836165984728678E-200</v>
      </c>
      <c r="O318" s="78">
        <f t="shared" si="65"/>
        <v>0.95647214577282702</v>
      </c>
    </row>
    <row r="319" spans="2:15" x14ac:dyDescent="0.25">
      <c r="B319" s="15">
        <v>316</v>
      </c>
      <c r="C319" s="15">
        <v>1</v>
      </c>
      <c r="D319" s="80">
        <f t="shared" si="58"/>
        <v>3.5455195602503663E+78</v>
      </c>
      <c r="E319" s="80">
        <f t="shared" si="59"/>
        <v>1.8532718694937705E+280</v>
      </c>
      <c r="F319" s="15">
        <f t="shared" si="60"/>
        <v>1</v>
      </c>
      <c r="G319" s="4">
        <f t="shared" si="61"/>
        <v>1.913113568825086E-202</v>
      </c>
      <c r="H319" s="76">
        <v>0.01</v>
      </c>
      <c r="I319" s="15">
        <f t="shared" si="62"/>
        <v>1.01</v>
      </c>
      <c r="J319" s="79">
        <f t="shared" si="63"/>
        <v>3.5455195602503663E+78</v>
      </c>
      <c r="K319" s="79">
        <f t="shared" si="64"/>
        <v>1.8532718694937705E+280</v>
      </c>
      <c r="L319" s="79">
        <f t="shared" si="66"/>
        <v>23.203532954525706</v>
      </c>
      <c r="M319" s="79">
        <f t="shared" si="67"/>
        <v>4.4390993739983162E-201</v>
      </c>
      <c r="N319" s="79">
        <f t="shared" si="68"/>
        <v>4.2477880171158077E-201</v>
      </c>
      <c r="O319" s="78">
        <f t="shared" si="65"/>
        <v>0.95690311462656141</v>
      </c>
    </row>
    <row r="320" spans="2:15" x14ac:dyDescent="0.25">
      <c r="B320" s="15">
        <v>317</v>
      </c>
      <c r="C320" s="15">
        <v>1</v>
      </c>
      <c r="D320" s="80">
        <f t="shared" si="58"/>
        <v>6.2842697980266066E+78</v>
      </c>
      <c r="E320" s="80">
        <f t="shared" si="59"/>
        <v>2.3350504595943306E+281</v>
      </c>
      <c r="F320" s="15">
        <f t="shared" si="60"/>
        <v>1</v>
      </c>
      <c r="G320" s="4">
        <f t="shared" si="61"/>
        <v>2.6912779431406273E-203</v>
      </c>
      <c r="H320" s="76">
        <v>0.01</v>
      </c>
      <c r="I320" s="15">
        <f t="shared" si="62"/>
        <v>1.01</v>
      </c>
      <c r="J320" s="79">
        <f t="shared" si="63"/>
        <v>6.2842697980266066E+78</v>
      </c>
      <c r="K320" s="79">
        <f t="shared" si="64"/>
        <v>2.3350504595943306E+281</v>
      </c>
      <c r="L320" s="79">
        <f t="shared" si="66"/>
        <v>23.435568284070964</v>
      </c>
      <c r="M320" s="79">
        <f t="shared" si="67"/>
        <v>6.3071628007886226E-202</v>
      </c>
      <c r="N320" s="79">
        <f t="shared" si="68"/>
        <v>6.0380350064745601E-202</v>
      </c>
      <c r="O320" s="78">
        <f t="shared" si="65"/>
        <v>0.95732981646194204</v>
      </c>
    </row>
    <row r="321" spans="2:15" x14ac:dyDescent="0.25">
      <c r="B321" s="15">
        <v>318</v>
      </c>
      <c r="C321" s="15">
        <v>1</v>
      </c>
      <c r="D321" s="80">
        <f t="shared" si="58"/>
        <v>1.1138578203641467E+79</v>
      </c>
      <c r="E321" s="80">
        <f t="shared" si="59"/>
        <v>2.9467022724950322E+282</v>
      </c>
      <c r="F321" s="15">
        <f t="shared" si="60"/>
        <v>1</v>
      </c>
      <c r="G321" s="4">
        <f t="shared" si="61"/>
        <v>3.7800148008201075E-204</v>
      </c>
      <c r="H321" s="76">
        <v>0.01</v>
      </c>
      <c r="I321" s="15">
        <f t="shared" si="62"/>
        <v>1.01</v>
      </c>
      <c r="J321" s="79">
        <f t="shared" si="63"/>
        <v>1.1138578203641467E+79</v>
      </c>
      <c r="K321" s="79">
        <f t="shared" si="64"/>
        <v>2.9467022724950322E+282</v>
      </c>
      <c r="L321" s="79">
        <f t="shared" si="66"/>
        <v>23.669923966911679</v>
      </c>
      <c r="M321" s="79">
        <f t="shared" si="67"/>
        <v>8.9472662929212734E-203</v>
      </c>
      <c r="N321" s="79">
        <f t="shared" si="68"/>
        <v>8.5692648128392626E-203</v>
      </c>
      <c r="O321" s="78">
        <f t="shared" si="65"/>
        <v>0.95775229352667524</v>
      </c>
    </row>
    <row r="322" spans="2:15" x14ac:dyDescent="0.25">
      <c r="B322" s="15">
        <v>319</v>
      </c>
      <c r="C322" s="15">
        <v>1</v>
      </c>
      <c r="D322" s="80">
        <f t="shared" si="58"/>
        <v>1.9742615830656895E+79</v>
      </c>
      <c r="E322" s="80">
        <f t="shared" si="59"/>
        <v>3.7244054830529858E+283</v>
      </c>
      <c r="F322" s="15">
        <f t="shared" si="60"/>
        <v>1</v>
      </c>
      <c r="G322" s="4">
        <f t="shared" si="61"/>
        <v>5.3008771253535456E-205</v>
      </c>
      <c r="H322" s="76">
        <v>0.01</v>
      </c>
      <c r="I322" s="15">
        <f t="shared" si="62"/>
        <v>1.01</v>
      </c>
      <c r="J322" s="79">
        <f t="shared" si="63"/>
        <v>1.9742615830656895E+79</v>
      </c>
      <c r="K322" s="79">
        <f t="shared" si="64"/>
        <v>3.7244054830529858E+283</v>
      </c>
      <c r="L322" s="79">
        <f t="shared" si="66"/>
        <v>23.90662320658079</v>
      </c>
      <c r="M322" s="79">
        <f t="shared" si="67"/>
        <v>1.2672607210021034E-203</v>
      </c>
      <c r="N322" s="79">
        <f t="shared" si="68"/>
        <v>1.2142519497485679E-203</v>
      </c>
      <c r="O322" s="78">
        <f t="shared" si="65"/>
        <v>0.95817058765017338</v>
      </c>
    </row>
    <row r="323" spans="2:15" x14ac:dyDescent="0.25">
      <c r="B323" s="15">
        <v>320</v>
      </c>
      <c r="C323" s="15">
        <v>1</v>
      </c>
      <c r="D323" s="80">
        <f t="shared" si="58"/>
        <v>3.4992875455995426E+79</v>
      </c>
      <c r="E323" s="80">
        <f t="shared" si="59"/>
        <v>4.7147236359920418E+284</v>
      </c>
      <c r="F323" s="15">
        <f t="shared" si="60"/>
        <v>1</v>
      </c>
      <c r="G323" s="4">
        <f t="shared" si="61"/>
        <v>7.4220417054482237E-206</v>
      </c>
      <c r="H323" s="76">
        <v>0.01</v>
      </c>
      <c r="I323" s="15">
        <f t="shared" si="62"/>
        <v>1.01</v>
      </c>
      <c r="J323" s="79">
        <f t="shared" si="63"/>
        <v>3.4992875455995426E+79</v>
      </c>
      <c r="K323" s="79">
        <f t="shared" si="64"/>
        <v>4.7147236359920418E+284</v>
      </c>
      <c r="L323" s="79">
        <f t="shared" si="66"/>
        <v>24.145689438646603</v>
      </c>
      <c r="M323" s="79">
        <f t="shared" si="67"/>
        <v>1.7921031402043581E-204</v>
      </c>
      <c r="N323" s="79">
        <f t="shared" si="68"/>
        <v>1.7178827231498759E-204</v>
      </c>
      <c r="O323" s="78">
        <f t="shared" si="65"/>
        <v>0.95858474024769658</v>
      </c>
    </row>
    <row r="324" spans="2:15" x14ac:dyDescent="0.25">
      <c r="B324" s="15">
        <v>321</v>
      </c>
      <c r="C324" s="15">
        <v>1</v>
      </c>
      <c r="D324" s="80">
        <f t="shared" si="58"/>
        <v>6.202325685623641E+79</v>
      </c>
      <c r="E324" s="80">
        <f t="shared" si="59"/>
        <v>5.9776708002995319E+285</v>
      </c>
      <c r="F324" s="15">
        <f t="shared" si="60"/>
        <v>1</v>
      </c>
      <c r="G324" s="4">
        <f t="shared" si="61"/>
        <v>1.0375823448345219E-206</v>
      </c>
      <c r="H324" s="76">
        <v>0.01</v>
      </c>
      <c r="I324" s="15">
        <f t="shared" si="62"/>
        <v>1.01</v>
      </c>
      <c r="J324" s="79">
        <f t="shared" si="63"/>
        <v>6.202325685623641E+79</v>
      </c>
      <c r="K324" s="79">
        <f t="shared" si="64"/>
        <v>5.9776708002995319E+285</v>
      </c>
      <c r="L324" s="79">
        <f t="shared" si="66"/>
        <v>24.387146333033069</v>
      </c>
      <c r="M324" s="79">
        <f t="shared" si="67"/>
        <v>2.5303672476051063E-205</v>
      </c>
      <c r="N324" s="79">
        <f t="shared" si="68"/>
        <v>2.4266090131216543E-205</v>
      </c>
      <c r="O324" s="78">
        <f t="shared" si="65"/>
        <v>0.95899479232445206</v>
      </c>
    </row>
    <row r="325" spans="2:15" x14ac:dyDescent="0.25">
      <c r="B325" s="15">
        <v>322</v>
      </c>
      <c r="C325" s="15">
        <v>1</v>
      </c>
      <c r="D325" s="80">
        <f t="shared" si="58"/>
        <v>1.0993336046053782E+80</v>
      </c>
      <c r="E325" s="80">
        <f t="shared" si="59"/>
        <v>7.5907050539470939E+286</v>
      </c>
      <c r="F325" s="15">
        <f t="shared" si="60"/>
        <v>1</v>
      </c>
      <c r="G325" s="4">
        <f t="shared" si="61"/>
        <v>1.4482628382902788E-207</v>
      </c>
      <c r="H325" s="76">
        <v>0.01</v>
      </c>
      <c r="I325" s="15">
        <f t="shared" si="62"/>
        <v>1.01</v>
      </c>
      <c r="J325" s="79">
        <f t="shared" si="63"/>
        <v>1.0993336046053782E+80</v>
      </c>
      <c r="K325" s="79">
        <f t="shared" si="64"/>
        <v>7.5907050539470939E+286</v>
      </c>
      <c r="L325" s="79">
        <f t="shared" si="66"/>
        <v>24.631017796363398</v>
      </c>
      <c r="M325" s="79">
        <f t="shared" si="67"/>
        <v>3.5672187743739623E-206</v>
      </c>
      <c r="N325" s="79">
        <f t="shared" si="68"/>
        <v>3.4223924905449346E-206</v>
      </c>
      <c r="O325" s="78">
        <f t="shared" si="65"/>
        <v>0.95940078447965549</v>
      </c>
    </row>
    <row r="326" spans="2:15" x14ac:dyDescent="0.25">
      <c r="B326" s="15">
        <v>323</v>
      </c>
      <c r="C326" s="15">
        <v>1</v>
      </c>
      <c r="D326" s="80">
        <f t="shared" si="58"/>
        <v>1.9485180809126246E+80</v>
      </c>
      <c r="E326" s="80">
        <f t="shared" si="59"/>
        <v>9.6539383424835618E+287</v>
      </c>
      <c r="F326" s="15">
        <f t="shared" si="60"/>
        <v>1</v>
      </c>
      <c r="G326" s="4">
        <f t="shared" si="61"/>
        <v>2.0183659888709738E-208</v>
      </c>
      <c r="H326" s="76">
        <v>0.01</v>
      </c>
      <c r="I326" s="15">
        <f t="shared" si="62"/>
        <v>1.01</v>
      </c>
      <c r="J326" s="79">
        <f t="shared" si="63"/>
        <v>1.9485180809126246E+80</v>
      </c>
      <c r="K326" s="79">
        <f t="shared" si="64"/>
        <v>9.6539383424835618E+287</v>
      </c>
      <c r="L326" s="79">
        <f t="shared" si="66"/>
        <v>24.877327974327031</v>
      </c>
      <c r="M326" s="79">
        <f t="shared" si="67"/>
        <v>5.0211552677370121E-207</v>
      </c>
      <c r="N326" s="79">
        <f t="shared" si="68"/>
        <v>4.819318668849915E-207</v>
      </c>
      <c r="O326" s="78">
        <f t="shared" si="65"/>
        <v>0.95980275691055006</v>
      </c>
    </row>
    <row r="327" spans="2:15" x14ac:dyDescent="0.25">
      <c r="B327" s="15">
        <v>324</v>
      </c>
      <c r="C327" s="15">
        <v>1</v>
      </c>
      <c r="D327" s="80">
        <f t="shared" si="58"/>
        <v>3.4536583760726421E+80</v>
      </c>
      <c r="E327" s="80">
        <f t="shared" si="59"/>
        <v>1.2296942187394899E+289</v>
      </c>
      <c r="F327" s="15">
        <f t="shared" si="60"/>
        <v>1</v>
      </c>
      <c r="G327" s="4">
        <f t="shared" si="61"/>
        <v>2.8085505513824796E-209</v>
      </c>
      <c r="H327" s="76">
        <v>0.01</v>
      </c>
      <c r="I327" s="15">
        <f t="shared" si="62"/>
        <v>1.01</v>
      </c>
      <c r="J327" s="79">
        <f t="shared" si="63"/>
        <v>3.4536583760726421E+80</v>
      </c>
      <c r="K327" s="79">
        <f t="shared" si="64"/>
        <v>1.2296942187394899E+289</v>
      </c>
      <c r="L327" s="79">
        <f t="shared" si="66"/>
        <v>25.126101254070303</v>
      </c>
      <c r="M327" s="79">
        <f t="shared" si="67"/>
        <v>7.0567925531211167E-208</v>
      </c>
      <c r="N327" s="79">
        <f t="shared" si="68"/>
        <v>6.7759374979828691E-208</v>
      </c>
      <c r="O327" s="78">
        <f t="shared" si="65"/>
        <v>0.96020074941638611</v>
      </c>
    </row>
    <row r="328" spans="2:15" x14ac:dyDescent="0.25">
      <c r="B328" s="15">
        <v>325</v>
      </c>
      <c r="C328" s="15">
        <v>1</v>
      </c>
      <c r="D328" s="80">
        <f t="shared" si="58"/>
        <v>6.1214500883820749E+80</v>
      </c>
      <c r="E328" s="80">
        <f t="shared" si="59"/>
        <v>1.5687649806537513E+290</v>
      </c>
      <c r="F328" s="15">
        <f t="shared" si="60"/>
        <v>1</v>
      </c>
      <c r="G328" s="4">
        <f t="shared" si="61"/>
        <v>3.9020823156258141E-210</v>
      </c>
      <c r="H328" s="76">
        <v>0.01</v>
      </c>
      <c r="I328" s="15">
        <f t="shared" si="62"/>
        <v>1.01</v>
      </c>
      <c r="J328" s="79">
        <f t="shared" si="63"/>
        <v>6.1214500883820749E+80</v>
      </c>
      <c r="K328" s="79">
        <f t="shared" si="64"/>
        <v>1.5687649806537513E+290</v>
      </c>
      <c r="L328" s="79">
        <f t="shared" si="66"/>
        <v>25.377362266611005</v>
      </c>
      <c r="M328" s="79">
        <f t="shared" si="67"/>
        <v>9.9024556517772624E-209</v>
      </c>
      <c r="N328" s="79">
        <f t="shared" si="68"/>
        <v>9.5122474202146813E-209</v>
      </c>
      <c r="O328" s="78">
        <f t="shared" si="65"/>
        <v>0.96059480140236253</v>
      </c>
    </row>
    <row r="329" spans="2:15" x14ac:dyDescent="0.25">
      <c r="B329" s="15">
        <v>326</v>
      </c>
      <c r="C329" s="15">
        <v>1</v>
      </c>
      <c r="D329" s="80">
        <f t="shared" si="58"/>
        <v>1.0849987782278669E+81</v>
      </c>
      <c r="E329" s="80">
        <f t="shared" si="59"/>
        <v>2.0044015765453774E+291</v>
      </c>
      <c r="F329" s="15">
        <f t="shared" si="60"/>
        <v>1</v>
      </c>
      <c r="G329" s="4">
        <f t="shared" si="61"/>
        <v>5.4130808462936953E-211</v>
      </c>
      <c r="H329" s="76">
        <v>0.01</v>
      </c>
      <c r="I329" s="15">
        <f t="shared" si="62"/>
        <v>1.01</v>
      </c>
      <c r="J329" s="79">
        <f t="shared" si="63"/>
        <v>1.0849987782278669E+81</v>
      </c>
      <c r="K329" s="79">
        <f t="shared" si="64"/>
        <v>2.0044015765453774E+291</v>
      </c>
      <c r="L329" s="79">
        <f t="shared" si="66"/>
        <v>25.631135889277122</v>
      </c>
      <c r="M329" s="79">
        <f t="shared" si="67"/>
        <v>1.3874341075099691E-209</v>
      </c>
      <c r="N329" s="79">
        <f t="shared" si="68"/>
        <v>1.3333032990470321E-209</v>
      </c>
      <c r="O329" s="78">
        <f t="shared" si="65"/>
        <v>0.96098495188352717</v>
      </c>
    </row>
    <row r="330" spans="2:15" x14ac:dyDescent="0.25">
      <c r="B330" s="15">
        <v>327</v>
      </c>
      <c r="C330" s="15">
        <v>1</v>
      </c>
      <c r="D330" s="80">
        <f t="shared" si="58"/>
        <v>1.9231102626977453E+81</v>
      </c>
      <c r="E330" s="80">
        <f t="shared" si="59"/>
        <v>2.5649307433685665E+292</v>
      </c>
      <c r="F330" s="15">
        <f t="shared" si="60"/>
        <v>1</v>
      </c>
      <c r="G330" s="4">
        <f t="shared" si="61"/>
        <v>7.497708340351102E-212</v>
      </c>
      <c r="H330" s="76">
        <v>0.01</v>
      </c>
      <c r="I330" s="15">
        <f t="shared" si="62"/>
        <v>1.01</v>
      </c>
      <c r="J330" s="79">
        <f t="shared" si="63"/>
        <v>1.9231102626977453E+81</v>
      </c>
      <c r="K330" s="79">
        <f t="shared" si="64"/>
        <v>2.5649307433685665E+292</v>
      </c>
      <c r="L330" s="79">
        <f t="shared" si="66"/>
        <v>25.887447248169881</v>
      </c>
      <c r="M330" s="79">
        <f t="shared" si="67"/>
        <v>1.9409652914300251E-210</v>
      </c>
      <c r="N330" s="79">
        <f t="shared" si="68"/>
        <v>1.8659882080265142E-210</v>
      </c>
      <c r="O330" s="78">
        <f t="shared" si="65"/>
        <v>0.96137123948864078</v>
      </c>
    </row>
    <row r="331" spans="2:15" x14ac:dyDescent="0.25">
      <c r="B331" s="15">
        <v>328</v>
      </c>
      <c r="C331" s="15">
        <v>1</v>
      </c>
      <c r="D331" s="80">
        <f t="shared" si="58"/>
        <v>3.4086241908345679E+81</v>
      </c>
      <c r="E331" s="80">
        <f t="shared" si="59"/>
        <v>3.2872185855343179E+293</v>
      </c>
      <c r="F331" s="15">
        <f t="shared" si="60"/>
        <v>1</v>
      </c>
      <c r="G331" s="4">
        <f t="shared" si="61"/>
        <v>1.0369326231710011E-212</v>
      </c>
      <c r="H331" s="76">
        <v>0.01</v>
      </c>
      <c r="I331" s="15">
        <f t="shared" si="62"/>
        <v>1.01</v>
      </c>
      <c r="J331" s="79">
        <f t="shared" si="63"/>
        <v>3.4086241908345679E+81</v>
      </c>
      <c r="K331" s="79">
        <f t="shared" si="64"/>
        <v>3.2872185855343179E+293</v>
      </c>
      <c r="L331" s="79">
        <f t="shared" si="66"/>
        <v>26.146321720651589</v>
      </c>
      <c r="M331" s="79">
        <f t="shared" si="67"/>
        <v>2.7111973968068177E-211</v>
      </c>
      <c r="N331" s="79">
        <f t="shared" si="68"/>
        <v>2.6075041344897175E-211</v>
      </c>
      <c r="O331" s="78">
        <f t="shared" si="65"/>
        <v>0.96175370246400071</v>
      </c>
    </row>
    <row r="332" spans="2:15" x14ac:dyDescent="0.25">
      <c r="B332" s="15">
        <v>329</v>
      </c>
      <c r="C332" s="15">
        <v>1</v>
      </c>
      <c r="D332" s="80">
        <f t="shared" si="58"/>
        <v>6.0416290733344642E+81</v>
      </c>
      <c r="E332" s="80">
        <f t="shared" si="59"/>
        <v>4.2193110728415802E+294</v>
      </c>
      <c r="F332" s="15">
        <f t="shared" si="60"/>
        <v>1</v>
      </c>
      <c r="G332" s="4">
        <f t="shared" si="61"/>
        <v>1.4318994188939018E-213</v>
      </c>
      <c r="H332" s="76">
        <v>0.01</v>
      </c>
      <c r="I332" s="15">
        <f t="shared" si="62"/>
        <v>1.01</v>
      </c>
      <c r="J332" s="79">
        <f t="shared" si="63"/>
        <v>6.0416290733344642E+81</v>
      </c>
      <c r="K332" s="79">
        <f t="shared" si="64"/>
        <v>4.2193110728415802E+294</v>
      </c>
      <c r="L332" s="79">
        <f t="shared" si="66"/>
        <v>26.407784937858107</v>
      </c>
      <c r="M332" s="79">
        <f t="shared" si="67"/>
        <v>3.7813291906794161E-212</v>
      </c>
      <c r="N332" s="79">
        <f t="shared" si="68"/>
        <v>3.638139248790026E-212</v>
      </c>
      <c r="O332" s="78">
        <f t="shared" si="65"/>
        <v>0.96213237867722856</v>
      </c>
    </row>
    <row r="333" spans="2:15" x14ac:dyDescent="0.25">
      <c r="B333" s="15">
        <v>330</v>
      </c>
      <c r="C333" s="15">
        <v>1</v>
      </c>
      <c r="D333" s="80">
        <f t="shared" si="58"/>
        <v>1.070850871677433E+82</v>
      </c>
      <c r="E333" s="80">
        <f t="shared" si="59"/>
        <v>5.4239106661319835E+295</v>
      </c>
      <c r="F333" s="15">
        <f t="shared" si="60"/>
        <v>1</v>
      </c>
      <c r="G333" s="4">
        <f t="shared" si="61"/>
        <v>1.9743150977099359E-214</v>
      </c>
      <c r="H333" s="76">
        <v>0.01</v>
      </c>
      <c r="I333" s="15">
        <f t="shared" si="62"/>
        <v>1.01</v>
      </c>
      <c r="J333" s="79">
        <f t="shared" si="63"/>
        <v>1.070850871677433E+82</v>
      </c>
      <c r="K333" s="79">
        <f t="shared" si="64"/>
        <v>5.4239106661319835E+295</v>
      </c>
      <c r="L333" s="79">
        <f t="shared" si="66"/>
        <v>26.671862787236687</v>
      </c>
      <c r="M333" s="79">
        <f t="shared" si="67"/>
        <v>5.2658661384889208E-213</v>
      </c>
      <c r="N333" s="79">
        <f t="shared" si="68"/>
        <v>5.0684346287179274E-213</v>
      </c>
      <c r="O333" s="78">
        <f t="shared" si="65"/>
        <v>0.96250730562101838</v>
      </c>
    </row>
    <row r="334" spans="2:15" x14ac:dyDescent="0.25">
      <c r="B334" s="15">
        <v>331</v>
      </c>
      <c r="C334" s="15">
        <v>1</v>
      </c>
      <c r="D334" s="80">
        <f t="shared" si="58"/>
        <v>1.8980337512501805E+82</v>
      </c>
      <c r="E334" s="80">
        <f t="shared" si="59"/>
        <v>6.9829598255531989E+296</v>
      </c>
      <c r="F334" s="15">
        <f t="shared" si="60"/>
        <v>1</v>
      </c>
      <c r="G334" s="4">
        <f t="shared" si="61"/>
        <v>2.7180934713451768E-215</v>
      </c>
      <c r="H334" s="76">
        <v>0.01</v>
      </c>
      <c r="I334" s="15">
        <f t="shared" si="62"/>
        <v>1.01</v>
      </c>
      <c r="J334" s="79">
        <f t="shared" si="63"/>
        <v>1.8980337512501805E+82</v>
      </c>
      <c r="K334" s="79">
        <f t="shared" si="64"/>
        <v>6.9829598255531989E+296</v>
      </c>
      <c r="L334" s="79">
        <f t="shared" si="66"/>
        <v>26.938581415109049</v>
      </c>
      <c r="M334" s="79">
        <f t="shared" si="67"/>
        <v>7.322158227170842E-214</v>
      </c>
      <c r="N334" s="79">
        <f t="shared" si="68"/>
        <v>7.0503488800363243E-214</v>
      </c>
      <c r="O334" s="78">
        <f t="shared" si="65"/>
        <v>0.96287852041684974</v>
      </c>
    </row>
    <row r="335" spans="2:15" x14ac:dyDescent="0.25">
      <c r="B335" s="15">
        <v>332</v>
      </c>
      <c r="C335" s="15">
        <v>1</v>
      </c>
      <c r="D335" s="80">
        <f t="shared" si="58"/>
        <v>3.3641772315520499E+82</v>
      </c>
      <c r="E335" s="80">
        <f t="shared" si="59"/>
        <v>9.0036917057796086E+297</v>
      </c>
      <c r="F335" s="15">
        <f t="shared" si="60"/>
        <v>1</v>
      </c>
      <c r="G335" s="4">
        <f t="shared" si="61"/>
        <v>3.7364420523112013E-216</v>
      </c>
      <c r="H335" s="76">
        <v>0.01</v>
      </c>
      <c r="I335" s="15">
        <f t="shared" si="62"/>
        <v>1.01</v>
      </c>
      <c r="J335" s="79">
        <f t="shared" si="63"/>
        <v>3.3641772315520499E+82</v>
      </c>
      <c r="K335" s="79">
        <f t="shared" si="64"/>
        <v>9.0036917057796086E+297</v>
      </c>
      <c r="L335" s="79">
        <f t="shared" si="66"/>
        <v>27.207967229260142</v>
      </c>
      <c r="M335" s="79">
        <f t="shared" si="67"/>
        <v>1.0166099291331266E-214</v>
      </c>
      <c r="N335" s="79">
        <f t="shared" si="68"/>
        <v>9.7924550861001458E-215</v>
      </c>
      <c r="O335" s="78">
        <f t="shared" si="65"/>
        <v>0.96324605981866318</v>
      </c>
    </row>
    <row r="336" spans="2:15" x14ac:dyDescent="0.25">
      <c r="B336" s="15">
        <v>333</v>
      </c>
      <c r="C336" s="15">
        <v>1</v>
      </c>
      <c r="D336" s="80">
        <f t="shared" si="58"/>
        <v>5.9628488891931331E+82</v>
      </c>
      <c r="E336" s="80">
        <f t="shared" si="59"/>
        <v>1.1626628109544362E+299</v>
      </c>
      <c r="F336" s="15">
        <f t="shared" si="60"/>
        <v>1</v>
      </c>
      <c r="G336" s="4">
        <f t="shared" si="61"/>
        <v>5.128614102912777E-217</v>
      </c>
      <c r="H336" s="76">
        <v>0.01</v>
      </c>
      <c r="I336" s="15">
        <f t="shared" si="62"/>
        <v>1.01</v>
      </c>
      <c r="J336" s="79">
        <f t="shared" si="63"/>
        <v>5.9628488891931331E+82</v>
      </c>
      <c r="K336" s="79">
        <f t="shared" si="64"/>
        <v>1.1626628109544362E+299</v>
      </c>
      <c r="L336" s="79">
        <f t="shared" si="66"/>
        <v>27.480046901552743</v>
      </c>
      <c r="M336" s="79">
        <f t="shared" si="67"/>
        <v>1.4093455608800795E-215</v>
      </c>
      <c r="N336" s="79">
        <f t="shared" si="68"/>
        <v>1.3580594198509518E-215</v>
      </c>
      <c r="O336" s="78">
        <f t="shared" si="65"/>
        <v>0.96360996021649825</v>
      </c>
    </row>
    <row r="337" spans="2:15" x14ac:dyDescent="0.25">
      <c r="B337" s="15">
        <v>334</v>
      </c>
      <c r="C337" s="15">
        <v>1</v>
      </c>
      <c r="D337" s="80">
        <f t="shared" si="58"/>
        <v>1.0568874476017969E+83</v>
      </c>
      <c r="E337" s="80">
        <f t="shared" si="59"/>
        <v>1.5036165148650681E+300</v>
      </c>
      <c r="F337" s="15">
        <f t="shared" si="60"/>
        <v>1</v>
      </c>
      <c r="G337" s="4">
        <f t="shared" si="61"/>
        <v>7.0289694024585789E-218</v>
      </c>
      <c r="H337" s="76">
        <v>0.01</v>
      </c>
      <c r="I337" s="15">
        <f t="shared" si="62"/>
        <v>1.01</v>
      </c>
      <c r="J337" s="79">
        <f t="shared" si="63"/>
        <v>1.0568874476017969E+83</v>
      </c>
      <c r="K337" s="79">
        <f t="shared" si="64"/>
        <v>1.5036165148650681E+300</v>
      </c>
      <c r="L337" s="79">
        <f t="shared" si="66"/>
        <v>27.754847370568275</v>
      </c>
      <c r="M337" s="79">
        <f t="shared" si="67"/>
        <v>1.9508797293763235E-216</v>
      </c>
      <c r="N337" s="79">
        <f t="shared" si="68"/>
        <v>1.8805900353517376E-216</v>
      </c>
      <c r="O337" s="78">
        <f t="shared" si="65"/>
        <v>0.96397025764009725</v>
      </c>
    </row>
    <row r="338" spans="2:15" x14ac:dyDescent="0.25">
      <c r="B338" s="15">
        <v>335</v>
      </c>
      <c r="C338" s="15">
        <v>1</v>
      </c>
      <c r="D338" s="80">
        <f t="shared" si="58"/>
        <v>1.8732842264754951E+83</v>
      </c>
      <c r="E338" s="80">
        <f t="shared" si="59"/>
        <v>1.9474602083487975E+301</v>
      </c>
      <c r="F338" s="15">
        <f t="shared" si="60"/>
        <v>1</v>
      </c>
      <c r="G338" s="4">
        <f t="shared" si="61"/>
        <v>9.6191142619740904E-219</v>
      </c>
      <c r="H338" s="76">
        <v>0.01</v>
      </c>
      <c r="I338" s="15">
        <f t="shared" si="62"/>
        <v>1.01</v>
      </c>
      <c r="J338" s="79">
        <f t="shared" si="63"/>
        <v>1.8732842264754951E+83</v>
      </c>
      <c r="K338" s="79">
        <f t="shared" si="64"/>
        <v>1.9474602083487975E+301</v>
      </c>
      <c r="L338" s="79">
        <f t="shared" si="66"/>
        <v>28.032395844273946</v>
      </c>
      <c r="M338" s="79">
        <f t="shared" si="67"/>
        <v>2.6964681866295872E-217</v>
      </c>
      <c r="N338" s="79">
        <f t="shared" si="68"/>
        <v>2.6002770440098463E-217</v>
      </c>
      <c r="O338" s="78">
        <f t="shared" si="65"/>
        <v>0.9643269877624725</v>
      </c>
    </row>
    <row r="339" spans="2:15" x14ac:dyDescent="0.25">
      <c r="B339" s="15">
        <v>336</v>
      </c>
      <c r="C339" s="15">
        <v>1</v>
      </c>
      <c r="D339" s="80">
        <f t="shared" si="58"/>
        <v>3.3203098410570726E+83</v>
      </c>
      <c r="E339" s="80">
        <f t="shared" si="59"/>
        <v>2.5260757449732738E+302</v>
      </c>
      <c r="F339" s="15">
        <f t="shared" si="60"/>
        <v>1</v>
      </c>
      <c r="G339" s="4">
        <f t="shared" si="61"/>
        <v>1.3144142045875992E-219</v>
      </c>
      <c r="H339" s="76">
        <v>0.01</v>
      </c>
      <c r="I339" s="15">
        <f t="shared" si="62"/>
        <v>1.01</v>
      </c>
      <c r="J339" s="79">
        <f t="shared" si="63"/>
        <v>3.3203098410570726E+83</v>
      </c>
      <c r="K339" s="79">
        <f t="shared" si="64"/>
        <v>2.5260757449732738E+302</v>
      </c>
      <c r="L339" s="79">
        <f t="shared" si="66"/>
        <v>28.312719802716696</v>
      </c>
      <c r="M339" s="79">
        <f t="shared" si="67"/>
        <v>3.7214641079199431E-218</v>
      </c>
      <c r="N339" s="79">
        <f t="shared" si="68"/>
        <v>3.590022687461183E-218</v>
      </c>
      <c r="O339" s="78">
        <f t="shared" si="65"/>
        <v>0.96468018590343807</v>
      </c>
    </row>
    <row r="340" spans="2:15" x14ac:dyDescent="0.25">
      <c r="B340" s="15">
        <v>337</v>
      </c>
      <c r="C340" s="15">
        <v>1</v>
      </c>
      <c r="D340" s="80">
        <f t="shared" si="58"/>
        <v>5.8850959639811422E+83</v>
      </c>
      <c r="E340" s="80">
        <f t="shared" si="59"/>
        <v>3.2814704510677933E+303</v>
      </c>
      <c r="F340" s="15">
        <f t="shared" si="60"/>
        <v>1</v>
      </c>
      <c r="G340" s="4">
        <f t="shared" si="61"/>
        <v>1.7934325637660785E-220</v>
      </c>
      <c r="H340" s="76">
        <v>0.01</v>
      </c>
      <c r="I340" s="15">
        <f t="shared" si="62"/>
        <v>1.01</v>
      </c>
      <c r="J340" s="79">
        <f t="shared" si="63"/>
        <v>5.8850959639811422E+83</v>
      </c>
      <c r="K340" s="79">
        <f t="shared" si="64"/>
        <v>3.2814704510677933E+303</v>
      </c>
      <c r="L340" s="79">
        <f t="shared" si="66"/>
        <v>28.595847000743863</v>
      </c>
      <c r="M340" s="79">
        <f t="shared" si="67"/>
        <v>5.1284723199606591E-219</v>
      </c>
      <c r="N340" s="79">
        <f t="shared" si="68"/>
        <v>4.949129063584051E-219</v>
      </c>
      <c r="O340" s="78">
        <f t="shared" si="65"/>
        <v>0.96502988703310699</v>
      </c>
    </row>
    <row r="341" spans="2:15" x14ac:dyDescent="0.25">
      <c r="B341" s="15">
        <v>338</v>
      </c>
      <c r="C341" s="15">
        <v>1</v>
      </c>
      <c r="D341" s="80">
        <f t="shared" si="58"/>
        <v>1.0431061004306792E+84</v>
      </c>
      <c r="E341" s="80">
        <f t="shared" si="59"/>
        <v>4.2690680090050111E+304</v>
      </c>
      <c r="F341" s="15">
        <f t="shared" si="60"/>
        <v>1</v>
      </c>
      <c r="G341" s="4">
        <f t="shared" si="61"/>
        <v>2.4434047389978108E-221</v>
      </c>
      <c r="H341" s="76">
        <v>0.01</v>
      </c>
      <c r="I341" s="15">
        <f t="shared" si="62"/>
        <v>1.01</v>
      </c>
      <c r="J341" s="79">
        <f t="shared" si="63"/>
        <v>1.0431061004306792E+84</v>
      </c>
      <c r="K341" s="79">
        <f t="shared" si="64"/>
        <v>4.2690680090050111E+304</v>
      </c>
      <c r="L341" s="79">
        <f t="shared" si="66"/>
        <v>28.88180547075131</v>
      </c>
      <c r="M341" s="79">
        <f t="shared" si="67"/>
        <v>7.056994035804664E-220</v>
      </c>
      <c r="N341" s="79">
        <f t="shared" si="68"/>
        <v>6.8126535619048826E-220</v>
      </c>
      <c r="O341" s="78">
        <f t="shared" si="65"/>
        <v>0.96537612577535348</v>
      </c>
    </row>
    <row r="342" spans="2:15" x14ac:dyDescent="0.25">
      <c r="B342" s="15">
        <v>339</v>
      </c>
      <c r="C342" s="15">
        <v>1</v>
      </c>
      <c r="D342" s="80">
        <f t="shared" ref="D342:D405" si="69">PI()^(B342/2)</f>
        <v>1.8488574246113847E+84</v>
      </c>
      <c r="E342" s="80">
        <f t="shared" ref="E342:E405" si="70">EXP(_xlfn.GAMMALN.PRECISE((B342/2)+1))</f>
        <v>5.5620924145600654E+305</v>
      </c>
      <c r="F342" s="15">
        <f t="shared" ref="F342:F405" si="71">C342^B342</f>
        <v>1</v>
      </c>
      <c r="G342" s="4">
        <f t="shared" ref="G342:G405" si="72">D342*F342/E342</f>
        <v>3.3240321929415842E-222</v>
      </c>
      <c r="H342" s="76">
        <v>0.01</v>
      </c>
      <c r="I342" s="15">
        <f t="shared" ref="I342:I405" si="73">C342+(H342*C342)</f>
        <v>1.01</v>
      </c>
      <c r="J342" s="79">
        <f t="shared" ref="J342:J405" si="74">PI()^(B342/2)</f>
        <v>1.8488574246113847E+84</v>
      </c>
      <c r="K342" s="79">
        <f t="shared" ref="K342:K405" si="75">EXP(_xlfn.GAMMALN.PRECISE((B342/2)+1))</f>
        <v>5.5620924145600654E+305</v>
      </c>
      <c r="L342" s="79">
        <f t="shared" si="66"/>
        <v>29.170623525458815</v>
      </c>
      <c r="M342" s="79">
        <f t="shared" si="67"/>
        <v>9.6964091686804235E-221</v>
      </c>
      <c r="N342" s="79">
        <f t="shared" si="68"/>
        <v>9.3640059493862642E-221</v>
      </c>
      <c r="O342" s="78">
        <f t="shared" ref="O342:O405" si="76">N342/M342</f>
        <v>0.96571893641124096</v>
      </c>
    </row>
    <row r="343" spans="2:15" x14ac:dyDescent="0.25">
      <c r="B343" s="15">
        <v>340</v>
      </c>
      <c r="C343" s="15">
        <v>1</v>
      </c>
      <c r="D343" s="80">
        <f t="shared" si="69"/>
        <v>3.2770144620277194E+84</v>
      </c>
      <c r="E343" s="80">
        <f t="shared" si="70"/>
        <v>7.2574156153088822E+306</v>
      </c>
      <c r="F343" s="15">
        <f t="shared" si="71"/>
        <v>1</v>
      </c>
      <c r="G343" s="4">
        <f t="shared" si="72"/>
        <v>4.5154013986950737E-223</v>
      </c>
      <c r="H343" s="76">
        <v>0.01</v>
      </c>
      <c r="I343" s="15">
        <f t="shared" si="73"/>
        <v>1.01</v>
      </c>
      <c r="J343" s="79">
        <f t="shared" si="74"/>
        <v>3.2770144620277194E+84</v>
      </c>
      <c r="K343" s="79">
        <f t="shared" si="75"/>
        <v>7.2574156153088822E+306</v>
      </c>
      <c r="L343" s="79">
        <f t="shared" si="66"/>
        <v>29.462329760713406</v>
      </c>
      <c r="M343" s="79">
        <f t="shared" si="67"/>
        <v>1.3303424501034081E-221</v>
      </c>
      <c r="N343" s="79">
        <f t="shared" si="68"/>
        <v>1.2851884361164574E-221</v>
      </c>
      <c r="O343" s="78">
        <f t="shared" si="76"/>
        <v>0.96605835288241704</v>
      </c>
    </row>
    <row r="344" spans="2:15" x14ac:dyDescent="0.25">
      <c r="B344" s="15">
        <v>341</v>
      </c>
      <c r="C344" s="15">
        <v>1</v>
      </c>
      <c r="D344" s="80">
        <f t="shared" si="69"/>
        <v>5.8083569026941574E+84</v>
      </c>
      <c r="E344" s="80">
        <f t="shared" si="70"/>
        <v>9.4833675668258129E+307</v>
      </c>
      <c r="F344" s="15">
        <f t="shared" si="71"/>
        <v>1</v>
      </c>
      <c r="G344" s="4">
        <f t="shared" si="72"/>
        <v>6.1247830601996564E-224</v>
      </c>
      <c r="H344" s="76">
        <v>0.01</v>
      </c>
      <c r="I344" s="15">
        <f t="shared" si="73"/>
        <v>1.01</v>
      </c>
      <c r="J344" s="79">
        <f t="shared" si="74"/>
        <v>5.8083569026941574E+84</v>
      </c>
      <c r="K344" s="79">
        <f t="shared" si="75"/>
        <v>9.4833675668258129E+307</v>
      </c>
      <c r="L344" s="79">
        <f t="shared" si="66"/>
        <v>29.756953058320534</v>
      </c>
      <c r="M344" s="79">
        <f t="shared" si="67"/>
        <v>1.8225488201475797E-222</v>
      </c>
      <c r="N344" s="79">
        <f t="shared" si="68"/>
        <v>1.7613009895455831E-222</v>
      </c>
      <c r="O344" s="78">
        <f t="shared" si="76"/>
        <v>0.96639440879447214</v>
      </c>
    </row>
    <row r="345" spans="2:15" x14ac:dyDescent="0.25">
      <c r="B345" s="15">
        <v>342</v>
      </c>
      <c r="C345" s="15">
        <v>1</v>
      </c>
      <c r="D345" s="80">
        <f t="shared" si="69"/>
        <v>1.0295044559613793E+85</v>
      </c>
      <c r="E345" s="80" t="e">
        <f t="shared" si="70"/>
        <v>#NUM!</v>
      </c>
      <c r="F345" s="15">
        <f t="shared" si="71"/>
        <v>1</v>
      </c>
      <c r="G345" s="4" t="e">
        <f t="shared" si="72"/>
        <v>#NUM!</v>
      </c>
      <c r="H345" s="76">
        <v>0.01</v>
      </c>
      <c r="I345" s="15">
        <f t="shared" si="73"/>
        <v>1.01</v>
      </c>
      <c r="J345" s="4">
        <f t="shared" si="74"/>
        <v>1.0295044559613793E+85</v>
      </c>
      <c r="K345" s="24" t="e">
        <f t="shared" si="75"/>
        <v>#NUM!</v>
      </c>
      <c r="L345" s="75">
        <f t="shared" ref="L345:L405" si="77">I345^B345</f>
        <v>30.054522588903748</v>
      </c>
      <c r="M345" s="4" t="e">
        <f t="shared" ref="M345:M405" si="78">J345*L345/K345</f>
        <v>#NUM!</v>
      </c>
      <c r="N345" s="4" t="e">
        <f t="shared" ref="N345:N405" si="79">M345-G345</f>
        <v>#NUM!</v>
      </c>
      <c r="O345" s="78" t="e">
        <f t="shared" si="76"/>
        <v>#NUM!</v>
      </c>
    </row>
    <row r="346" spans="2:15" x14ac:dyDescent="0.25">
      <c r="B346" s="15">
        <v>343</v>
      </c>
      <c r="C346" s="15">
        <v>1</v>
      </c>
      <c r="D346" s="80">
        <f t="shared" si="69"/>
        <v>1.8247491374931282E+85</v>
      </c>
      <c r="E346" s="80" t="e">
        <f t="shared" si="70"/>
        <v>#NUM!</v>
      </c>
      <c r="F346" s="15">
        <f t="shared" si="71"/>
        <v>1</v>
      </c>
      <c r="G346" s="4" t="e">
        <f t="shared" si="72"/>
        <v>#NUM!</v>
      </c>
      <c r="H346" s="76">
        <v>0.01</v>
      </c>
      <c r="I346" s="15">
        <f t="shared" si="73"/>
        <v>1.01</v>
      </c>
      <c r="J346" s="4">
        <f t="shared" si="74"/>
        <v>1.8247491374931282E+85</v>
      </c>
      <c r="K346" s="24" t="e">
        <f t="shared" si="75"/>
        <v>#NUM!</v>
      </c>
      <c r="L346" s="75">
        <f t="shared" si="77"/>
        <v>30.355067814792775</v>
      </c>
      <c r="M346" s="4" t="e">
        <f t="shared" si="78"/>
        <v>#NUM!</v>
      </c>
      <c r="N346" s="4" t="e">
        <f t="shared" si="79"/>
        <v>#NUM!</v>
      </c>
      <c r="O346" s="78" t="e">
        <f t="shared" si="76"/>
        <v>#NUM!</v>
      </c>
    </row>
    <row r="347" spans="2:15" x14ac:dyDescent="0.25">
      <c r="B347" s="15">
        <v>344</v>
      </c>
      <c r="C347" s="15">
        <v>1</v>
      </c>
      <c r="D347" s="80">
        <f t="shared" si="69"/>
        <v>3.2342836356862256E+85</v>
      </c>
      <c r="E347" s="80" t="e">
        <f t="shared" si="70"/>
        <v>#NUM!</v>
      </c>
      <c r="F347" s="15">
        <f t="shared" si="71"/>
        <v>1</v>
      </c>
      <c r="G347" s="4" t="e">
        <f t="shared" si="72"/>
        <v>#NUM!</v>
      </c>
      <c r="H347" s="76">
        <v>0.01</v>
      </c>
      <c r="I347" s="15">
        <f t="shared" si="73"/>
        <v>1.01</v>
      </c>
      <c r="J347" s="4">
        <f t="shared" si="74"/>
        <v>3.2342836356862256E+85</v>
      </c>
      <c r="K347" s="24" t="e">
        <f t="shared" si="75"/>
        <v>#NUM!</v>
      </c>
      <c r="L347" s="75">
        <f t="shared" si="77"/>
        <v>30.658618492940711</v>
      </c>
      <c r="M347" s="4" t="e">
        <f t="shared" si="78"/>
        <v>#NUM!</v>
      </c>
      <c r="N347" s="4" t="e">
        <f t="shared" si="79"/>
        <v>#NUM!</v>
      </c>
      <c r="O347" s="78" t="e">
        <f t="shared" si="76"/>
        <v>#NUM!</v>
      </c>
    </row>
    <row r="348" spans="2:15" x14ac:dyDescent="0.25">
      <c r="B348" s="15">
        <v>345</v>
      </c>
      <c r="C348" s="15">
        <v>1</v>
      </c>
      <c r="D348" s="80">
        <f t="shared" si="69"/>
        <v>5.7326184849928088E+85</v>
      </c>
      <c r="E348" s="80" t="e">
        <f t="shared" si="70"/>
        <v>#NUM!</v>
      </c>
      <c r="F348" s="15">
        <f t="shared" si="71"/>
        <v>1</v>
      </c>
      <c r="G348" s="4" t="e">
        <f t="shared" si="72"/>
        <v>#NUM!</v>
      </c>
      <c r="H348" s="76">
        <v>0.01</v>
      </c>
      <c r="I348" s="15">
        <f t="shared" si="73"/>
        <v>1.01</v>
      </c>
      <c r="J348" s="4">
        <f t="shared" si="74"/>
        <v>5.7326184849928088E+85</v>
      </c>
      <c r="K348" s="24" t="e">
        <f t="shared" si="75"/>
        <v>#NUM!</v>
      </c>
      <c r="L348" s="75">
        <f t="shared" si="77"/>
        <v>30.965204677870126</v>
      </c>
      <c r="M348" s="4" t="e">
        <f t="shared" si="78"/>
        <v>#NUM!</v>
      </c>
      <c r="N348" s="4" t="e">
        <f t="shared" si="79"/>
        <v>#NUM!</v>
      </c>
      <c r="O348" s="78" t="e">
        <f t="shared" si="76"/>
        <v>#NUM!</v>
      </c>
    </row>
    <row r="349" spans="2:15" x14ac:dyDescent="0.25">
      <c r="B349" s="15">
        <v>346</v>
      </c>
      <c r="C349" s="15">
        <v>1</v>
      </c>
      <c r="D349" s="80">
        <f t="shared" si="69"/>
        <v>1.0160801709497533E+86</v>
      </c>
      <c r="E349" s="80" t="e">
        <f t="shared" si="70"/>
        <v>#NUM!</v>
      </c>
      <c r="F349" s="15">
        <f t="shared" si="71"/>
        <v>1</v>
      </c>
      <c r="G349" s="4" t="e">
        <f t="shared" si="72"/>
        <v>#NUM!</v>
      </c>
      <c r="H349" s="76">
        <v>0.01</v>
      </c>
      <c r="I349" s="15">
        <f t="shared" si="73"/>
        <v>1.01</v>
      </c>
      <c r="J349" s="4">
        <f t="shared" si="74"/>
        <v>1.0160801709497533E+86</v>
      </c>
      <c r="K349" s="24" t="e">
        <f t="shared" si="75"/>
        <v>#NUM!</v>
      </c>
      <c r="L349" s="75">
        <f t="shared" si="77"/>
        <v>31.274856724648828</v>
      </c>
      <c r="M349" s="4" t="e">
        <f t="shared" si="78"/>
        <v>#NUM!</v>
      </c>
      <c r="N349" s="4" t="e">
        <f t="shared" si="79"/>
        <v>#NUM!</v>
      </c>
      <c r="O349" s="78" t="e">
        <f t="shared" si="76"/>
        <v>#NUM!</v>
      </c>
    </row>
    <row r="350" spans="2:15" x14ac:dyDescent="0.25">
      <c r="B350" s="15">
        <v>347</v>
      </c>
      <c r="C350" s="15">
        <v>1</v>
      </c>
      <c r="D350" s="80">
        <f t="shared" si="69"/>
        <v>1.8009552118286215E+86</v>
      </c>
      <c r="E350" s="80" t="e">
        <f t="shared" si="70"/>
        <v>#NUM!</v>
      </c>
      <c r="F350" s="15">
        <f t="shared" si="71"/>
        <v>1</v>
      </c>
      <c r="G350" s="4" t="e">
        <f t="shared" si="72"/>
        <v>#NUM!</v>
      </c>
      <c r="H350" s="76">
        <v>0.01</v>
      </c>
      <c r="I350" s="15">
        <f t="shared" si="73"/>
        <v>1.01</v>
      </c>
      <c r="J350" s="4">
        <f t="shared" si="74"/>
        <v>1.8009552118286215E+86</v>
      </c>
      <c r="K350" s="24" t="e">
        <f t="shared" si="75"/>
        <v>#NUM!</v>
      </c>
      <c r="L350" s="75">
        <f t="shared" si="77"/>
        <v>31.587605291895304</v>
      </c>
      <c r="M350" s="4" t="e">
        <f t="shared" si="78"/>
        <v>#NUM!</v>
      </c>
      <c r="N350" s="4" t="e">
        <f t="shared" si="79"/>
        <v>#NUM!</v>
      </c>
      <c r="O350" s="78" t="e">
        <f t="shared" si="76"/>
        <v>#NUM!</v>
      </c>
    </row>
    <row r="351" spans="2:15" x14ac:dyDescent="0.25">
      <c r="B351" s="15">
        <v>348</v>
      </c>
      <c r="C351" s="15">
        <v>1</v>
      </c>
      <c r="D351" s="80">
        <f t="shared" si="69"/>
        <v>3.1921100005140054E+86</v>
      </c>
      <c r="E351" s="80" t="e">
        <f t="shared" si="70"/>
        <v>#NUM!</v>
      </c>
      <c r="F351" s="15">
        <f t="shared" si="71"/>
        <v>1</v>
      </c>
      <c r="G351" s="4" t="e">
        <f t="shared" si="72"/>
        <v>#NUM!</v>
      </c>
      <c r="H351" s="76">
        <v>0.01</v>
      </c>
      <c r="I351" s="15">
        <f t="shared" si="73"/>
        <v>1.01</v>
      </c>
      <c r="J351" s="4">
        <f t="shared" si="74"/>
        <v>3.1921100005140054E+86</v>
      </c>
      <c r="K351" s="24" t="e">
        <f t="shared" si="75"/>
        <v>#NUM!</v>
      </c>
      <c r="L351" s="75">
        <f t="shared" si="77"/>
        <v>31.903481344814256</v>
      </c>
      <c r="M351" s="4" t="e">
        <f t="shared" si="78"/>
        <v>#NUM!</v>
      </c>
      <c r="N351" s="4" t="e">
        <f t="shared" si="79"/>
        <v>#NUM!</v>
      </c>
      <c r="O351" s="78" t="e">
        <f t="shared" si="76"/>
        <v>#NUM!</v>
      </c>
    </row>
    <row r="352" spans="2:15" x14ac:dyDescent="0.25">
      <c r="B352" s="15">
        <v>349</v>
      </c>
      <c r="C352" s="15">
        <v>1</v>
      </c>
      <c r="D352" s="80">
        <f t="shared" si="69"/>
        <v>5.6578676629251316E+86</v>
      </c>
      <c r="E352" s="80" t="e">
        <f t="shared" si="70"/>
        <v>#NUM!</v>
      </c>
      <c r="F352" s="15">
        <f t="shared" si="71"/>
        <v>1</v>
      </c>
      <c r="G352" s="4" t="e">
        <f t="shared" si="72"/>
        <v>#NUM!</v>
      </c>
      <c r="H352" s="76">
        <v>0.01</v>
      </c>
      <c r="I352" s="15">
        <f t="shared" si="73"/>
        <v>1.01</v>
      </c>
      <c r="J352" s="4">
        <f t="shared" si="74"/>
        <v>5.6578676629251316E+86</v>
      </c>
      <c r="K352" s="24" t="e">
        <f t="shared" si="75"/>
        <v>#NUM!</v>
      </c>
      <c r="L352" s="75">
        <f t="shared" si="77"/>
        <v>32.222516158262401</v>
      </c>
      <c r="M352" s="4" t="e">
        <f t="shared" si="78"/>
        <v>#NUM!</v>
      </c>
      <c r="N352" s="4" t="e">
        <f t="shared" si="79"/>
        <v>#NUM!</v>
      </c>
      <c r="O352" s="78" t="e">
        <f t="shared" si="76"/>
        <v>#NUM!</v>
      </c>
    </row>
    <row r="353" spans="2:15" x14ac:dyDescent="0.25">
      <c r="B353" s="15">
        <v>350</v>
      </c>
      <c r="C353" s="15">
        <v>1</v>
      </c>
      <c r="D353" s="80">
        <f t="shared" si="69"/>
        <v>1.0028309327065311E+87</v>
      </c>
      <c r="E353" s="80" t="e">
        <f t="shared" si="70"/>
        <v>#NUM!</v>
      </c>
      <c r="F353" s="15">
        <f t="shared" si="71"/>
        <v>1</v>
      </c>
      <c r="G353" s="4" t="e">
        <f t="shared" si="72"/>
        <v>#NUM!</v>
      </c>
      <c r="H353" s="76">
        <v>0.01</v>
      </c>
      <c r="I353" s="15">
        <f t="shared" si="73"/>
        <v>1.01</v>
      </c>
      <c r="J353" s="4">
        <f t="shared" si="74"/>
        <v>1.0028309327065311E+87</v>
      </c>
      <c r="K353" s="24" t="e">
        <f t="shared" si="75"/>
        <v>#NUM!</v>
      </c>
      <c r="L353" s="75">
        <f t="shared" si="77"/>
        <v>32.544741319845038</v>
      </c>
      <c r="M353" s="4" t="e">
        <f t="shared" si="78"/>
        <v>#NUM!</v>
      </c>
      <c r="N353" s="4" t="e">
        <f t="shared" si="79"/>
        <v>#NUM!</v>
      </c>
      <c r="O353" s="78" t="e">
        <f t="shared" si="76"/>
        <v>#NUM!</v>
      </c>
    </row>
    <row r="354" spans="2:15" x14ac:dyDescent="0.25">
      <c r="B354" s="15">
        <v>351</v>
      </c>
      <c r="C354" s="15">
        <v>1</v>
      </c>
      <c r="D354" s="80">
        <f t="shared" si="69"/>
        <v>1.7774715484828603E+87</v>
      </c>
      <c r="E354" s="80" t="e">
        <f t="shared" si="70"/>
        <v>#NUM!</v>
      </c>
      <c r="F354" s="15">
        <f t="shared" si="71"/>
        <v>1</v>
      </c>
      <c r="G354" s="4" t="e">
        <f t="shared" si="72"/>
        <v>#NUM!</v>
      </c>
      <c r="H354" s="76">
        <v>0.01</v>
      </c>
      <c r="I354" s="15">
        <f t="shared" si="73"/>
        <v>1.01</v>
      </c>
      <c r="J354" s="4">
        <f t="shared" si="74"/>
        <v>1.7774715484828603E+87</v>
      </c>
      <c r="K354" s="24" t="e">
        <f t="shared" si="75"/>
        <v>#NUM!</v>
      </c>
      <c r="L354" s="75">
        <f t="shared" si="77"/>
        <v>32.870188733043477</v>
      </c>
      <c r="M354" s="4" t="e">
        <f t="shared" si="78"/>
        <v>#NUM!</v>
      </c>
      <c r="N354" s="4" t="e">
        <f t="shared" si="79"/>
        <v>#NUM!</v>
      </c>
      <c r="O354" s="78" t="e">
        <f t="shared" si="76"/>
        <v>#NUM!</v>
      </c>
    </row>
    <row r="355" spans="2:15" x14ac:dyDescent="0.25">
      <c r="B355" s="15">
        <v>352</v>
      </c>
      <c r="C355" s="15">
        <v>1</v>
      </c>
      <c r="D355" s="80">
        <f t="shared" si="69"/>
        <v>3.1504862909834383E+87</v>
      </c>
      <c r="E355" s="80" t="e">
        <f t="shared" si="70"/>
        <v>#NUM!</v>
      </c>
      <c r="F355" s="15">
        <f t="shared" si="71"/>
        <v>1</v>
      </c>
      <c r="G355" s="4" t="e">
        <f t="shared" si="72"/>
        <v>#NUM!</v>
      </c>
      <c r="H355" s="76">
        <v>0.01</v>
      </c>
      <c r="I355" s="15">
        <f t="shared" si="73"/>
        <v>1.01</v>
      </c>
      <c r="J355" s="4">
        <f t="shared" si="74"/>
        <v>3.1504862909834383E+87</v>
      </c>
      <c r="K355" s="24" t="e">
        <f t="shared" si="75"/>
        <v>#NUM!</v>
      </c>
      <c r="L355" s="75">
        <f t="shared" si="77"/>
        <v>33.198890620373916</v>
      </c>
      <c r="M355" s="4" t="e">
        <f t="shared" si="78"/>
        <v>#NUM!</v>
      </c>
      <c r="N355" s="4" t="e">
        <f t="shared" si="79"/>
        <v>#NUM!</v>
      </c>
      <c r="O355" s="78" t="e">
        <f t="shared" si="76"/>
        <v>#NUM!</v>
      </c>
    </row>
    <row r="356" spans="2:15" x14ac:dyDescent="0.25">
      <c r="B356" s="15">
        <v>353</v>
      </c>
      <c r="C356" s="15">
        <v>1</v>
      </c>
      <c r="D356" s="80">
        <f t="shared" si="69"/>
        <v>5.5840915586787108E+87</v>
      </c>
      <c r="E356" s="80" t="e">
        <f t="shared" si="70"/>
        <v>#NUM!</v>
      </c>
      <c r="F356" s="15">
        <f t="shared" si="71"/>
        <v>1</v>
      </c>
      <c r="G356" s="4" t="e">
        <f t="shared" si="72"/>
        <v>#NUM!</v>
      </c>
      <c r="H356" s="76">
        <v>0.01</v>
      </c>
      <c r="I356" s="15">
        <f t="shared" si="73"/>
        <v>1.01</v>
      </c>
      <c r="J356" s="4">
        <f t="shared" si="74"/>
        <v>5.5840915586787108E+87</v>
      </c>
      <c r="K356" s="24" t="e">
        <f t="shared" si="75"/>
        <v>#NUM!</v>
      </c>
      <c r="L356" s="75">
        <f t="shared" si="77"/>
        <v>33.530879526577657</v>
      </c>
      <c r="M356" s="4" t="e">
        <f t="shared" si="78"/>
        <v>#NUM!</v>
      </c>
      <c r="N356" s="4" t="e">
        <f t="shared" si="79"/>
        <v>#NUM!</v>
      </c>
      <c r="O356" s="78" t="e">
        <f t="shared" si="76"/>
        <v>#NUM!</v>
      </c>
    </row>
    <row r="357" spans="2:15" x14ac:dyDescent="0.25">
      <c r="B357" s="15">
        <v>354</v>
      </c>
      <c r="C357" s="15">
        <v>1</v>
      </c>
      <c r="D357" s="80">
        <f t="shared" si="69"/>
        <v>9.8975445869889244E+87</v>
      </c>
      <c r="E357" s="80" t="e">
        <f t="shared" si="70"/>
        <v>#NUM!</v>
      </c>
      <c r="F357" s="15">
        <f t="shared" si="71"/>
        <v>1</v>
      </c>
      <c r="G357" s="4" t="e">
        <f t="shared" si="72"/>
        <v>#NUM!</v>
      </c>
      <c r="H357" s="76">
        <v>0.01</v>
      </c>
      <c r="I357" s="15">
        <f t="shared" si="73"/>
        <v>1.01</v>
      </c>
      <c r="J357" s="4">
        <f t="shared" si="74"/>
        <v>9.8975445869889244E+87</v>
      </c>
      <c r="K357" s="24" t="e">
        <f t="shared" si="75"/>
        <v>#NUM!</v>
      </c>
      <c r="L357" s="75">
        <f t="shared" si="77"/>
        <v>33.866188321843431</v>
      </c>
      <c r="M357" s="4" t="e">
        <f t="shared" si="78"/>
        <v>#NUM!</v>
      </c>
      <c r="N357" s="4" t="e">
        <f t="shared" si="79"/>
        <v>#NUM!</v>
      </c>
      <c r="O357" s="78" t="e">
        <f t="shared" si="76"/>
        <v>#NUM!</v>
      </c>
    </row>
    <row r="358" spans="2:15" x14ac:dyDescent="0.25">
      <c r="B358" s="15">
        <v>355</v>
      </c>
      <c r="C358" s="15">
        <v>1</v>
      </c>
      <c r="D358" s="80">
        <f t="shared" si="69"/>
        <v>1.7542941017717578E+88</v>
      </c>
      <c r="E358" s="80" t="e">
        <f t="shared" si="70"/>
        <v>#NUM!</v>
      </c>
      <c r="F358" s="15">
        <f t="shared" si="71"/>
        <v>1</v>
      </c>
      <c r="G358" s="4" t="e">
        <f t="shared" si="72"/>
        <v>#NUM!</v>
      </c>
      <c r="H358" s="76">
        <v>0.01</v>
      </c>
      <c r="I358" s="15">
        <f t="shared" si="73"/>
        <v>1.01</v>
      </c>
      <c r="J358" s="4">
        <f t="shared" si="74"/>
        <v>1.7542941017717578E+88</v>
      </c>
      <c r="K358" s="24" t="e">
        <f t="shared" si="75"/>
        <v>#NUM!</v>
      </c>
      <c r="L358" s="75">
        <f t="shared" si="77"/>
        <v>34.204850205061859</v>
      </c>
      <c r="M358" s="4" t="e">
        <f t="shared" si="78"/>
        <v>#NUM!</v>
      </c>
      <c r="N358" s="4" t="e">
        <f t="shared" si="79"/>
        <v>#NUM!</v>
      </c>
      <c r="O358" s="78" t="e">
        <f t="shared" si="76"/>
        <v>#NUM!</v>
      </c>
    </row>
    <row r="359" spans="2:15" x14ac:dyDescent="0.25">
      <c r="B359" s="15">
        <v>356</v>
      </c>
      <c r="C359" s="15">
        <v>1</v>
      </c>
      <c r="D359" s="80">
        <f t="shared" si="69"/>
        <v>3.1094053363061833E+88</v>
      </c>
      <c r="E359" s="80" t="e">
        <f t="shared" si="70"/>
        <v>#NUM!</v>
      </c>
      <c r="F359" s="15">
        <f t="shared" si="71"/>
        <v>1</v>
      </c>
      <c r="G359" s="4" t="e">
        <f t="shared" si="72"/>
        <v>#NUM!</v>
      </c>
      <c r="H359" s="76">
        <v>0.01</v>
      </c>
      <c r="I359" s="15">
        <f t="shared" si="73"/>
        <v>1.01</v>
      </c>
      <c r="J359" s="4">
        <f t="shared" si="74"/>
        <v>3.1094053363061833E+88</v>
      </c>
      <c r="K359" s="24" t="e">
        <f t="shared" si="75"/>
        <v>#NUM!</v>
      </c>
      <c r="L359" s="75">
        <f t="shared" si="77"/>
        <v>34.546898707112483</v>
      </c>
      <c r="M359" s="4" t="e">
        <f t="shared" si="78"/>
        <v>#NUM!</v>
      </c>
      <c r="N359" s="4" t="e">
        <f t="shared" si="79"/>
        <v>#NUM!</v>
      </c>
      <c r="O359" s="78" t="e">
        <f t="shared" si="76"/>
        <v>#NUM!</v>
      </c>
    </row>
    <row r="360" spans="2:15" x14ac:dyDescent="0.25">
      <c r="B360" s="15">
        <v>357</v>
      </c>
      <c r="C360" s="15">
        <v>1</v>
      </c>
      <c r="D360" s="80">
        <f t="shared" si="69"/>
        <v>5.5112774623621412E+88</v>
      </c>
      <c r="E360" s="80" t="e">
        <f t="shared" si="70"/>
        <v>#NUM!</v>
      </c>
      <c r="F360" s="15">
        <f t="shared" si="71"/>
        <v>1</v>
      </c>
      <c r="G360" s="4" t="e">
        <f t="shared" si="72"/>
        <v>#NUM!</v>
      </c>
      <c r="H360" s="76">
        <v>0.01</v>
      </c>
      <c r="I360" s="15">
        <f t="shared" si="73"/>
        <v>1.01</v>
      </c>
      <c r="J360" s="4">
        <f t="shared" si="74"/>
        <v>5.5112774623621412E+88</v>
      </c>
      <c r="K360" s="24" t="e">
        <f t="shared" si="75"/>
        <v>#NUM!</v>
      </c>
      <c r="L360" s="75">
        <f t="shared" si="77"/>
        <v>34.892367694183605</v>
      </c>
      <c r="M360" s="4" t="e">
        <f t="shared" si="78"/>
        <v>#NUM!</v>
      </c>
      <c r="N360" s="4" t="e">
        <f t="shared" si="79"/>
        <v>#NUM!</v>
      </c>
      <c r="O360" s="78" t="e">
        <f t="shared" si="76"/>
        <v>#NUM!</v>
      </c>
    </row>
    <row r="361" spans="2:15" x14ac:dyDescent="0.25">
      <c r="B361" s="15">
        <v>358</v>
      </c>
      <c r="C361" s="15">
        <v>1</v>
      </c>
      <c r="D361" s="80">
        <f t="shared" si="69"/>
        <v>9.7684849615724064E+88</v>
      </c>
      <c r="E361" s="80" t="e">
        <f t="shared" si="70"/>
        <v>#NUM!</v>
      </c>
      <c r="F361" s="15">
        <f t="shared" si="71"/>
        <v>1</v>
      </c>
      <c r="G361" s="4" t="e">
        <f t="shared" si="72"/>
        <v>#NUM!</v>
      </c>
      <c r="H361" s="76">
        <v>0.01</v>
      </c>
      <c r="I361" s="15">
        <f t="shared" si="73"/>
        <v>1.01</v>
      </c>
      <c r="J361" s="4">
        <f t="shared" si="74"/>
        <v>9.7684849615724064E+88</v>
      </c>
      <c r="K361" s="24" t="e">
        <f t="shared" si="75"/>
        <v>#NUM!</v>
      </c>
      <c r="L361" s="75">
        <f t="shared" si="77"/>
        <v>35.241291371125449</v>
      </c>
      <c r="M361" s="4" t="e">
        <f t="shared" si="78"/>
        <v>#NUM!</v>
      </c>
      <c r="N361" s="4" t="e">
        <f t="shared" si="79"/>
        <v>#NUM!</v>
      </c>
      <c r="O361" s="78" t="e">
        <f t="shared" si="76"/>
        <v>#NUM!</v>
      </c>
    </row>
    <row r="362" spans="2:15" x14ac:dyDescent="0.25">
      <c r="B362" s="15">
        <v>359</v>
      </c>
      <c r="C362" s="15">
        <v>1</v>
      </c>
      <c r="D362" s="80">
        <f t="shared" si="69"/>
        <v>1.7314188787651667E+89</v>
      </c>
      <c r="E362" s="80" t="e">
        <f t="shared" si="70"/>
        <v>#NUM!</v>
      </c>
      <c r="F362" s="15">
        <f t="shared" si="71"/>
        <v>1</v>
      </c>
      <c r="G362" s="4" t="e">
        <f t="shared" si="72"/>
        <v>#NUM!</v>
      </c>
      <c r="H362" s="76">
        <v>0.01</v>
      </c>
      <c r="I362" s="15">
        <f t="shared" si="73"/>
        <v>1.01</v>
      </c>
      <c r="J362" s="4">
        <f t="shared" si="74"/>
        <v>1.7314188787651667E+89</v>
      </c>
      <c r="K362" s="24" t="e">
        <f t="shared" si="75"/>
        <v>#NUM!</v>
      </c>
      <c r="L362" s="75">
        <f t="shared" si="77"/>
        <v>35.59370428483669</v>
      </c>
      <c r="M362" s="4" t="e">
        <f t="shared" si="78"/>
        <v>#NUM!</v>
      </c>
      <c r="N362" s="4" t="e">
        <f t="shared" si="79"/>
        <v>#NUM!</v>
      </c>
      <c r="O362" s="78" t="e">
        <f t="shared" si="76"/>
        <v>#NUM!</v>
      </c>
    </row>
    <row r="363" spans="2:15" x14ac:dyDescent="0.25">
      <c r="B363" s="15">
        <v>360</v>
      </c>
      <c r="C363" s="15">
        <v>1</v>
      </c>
      <c r="D363" s="80">
        <f t="shared" si="69"/>
        <v>3.0688600591978243E+89</v>
      </c>
      <c r="E363" s="80" t="e">
        <f t="shared" si="70"/>
        <v>#NUM!</v>
      </c>
      <c r="F363" s="15">
        <f t="shared" si="71"/>
        <v>1</v>
      </c>
      <c r="G363" s="4" t="e">
        <f t="shared" si="72"/>
        <v>#NUM!</v>
      </c>
      <c r="H363" s="76">
        <v>0.01</v>
      </c>
      <c r="I363" s="15">
        <f t="shared" si="73"/>
        <v>1.01</v>
      </c>
      <c r="J363" s="4">
        <f t="shared" si="74"/>
        <v>3.0688600591978243E+89</v>
      </c>
      <c r="K363" s="24" t="e">
        <f t="shared" si="75"/>
        <v>#NUM!</v>
      </c>
      <c r="L363" s="75">
        <f t="shared" si="77"/>
        <v>35.949641327685065</v>
      </c>
      <c r="M363" s="4" t="e">
        <f t="shared" si="78"/>
        <v>#NUM!</v>
      </c>
      <c r="N363" s="4" t="e">
        <f t="shared" si="79"/>
        <v>#NUM!</v>
      </c>
      <c r="O363" s="78" t="e">
        <f t="shared" si="76"/>
        <v>#NUM!</v>
      </c>
    </row>
    <row r="364" spans="2:15" x14ac:dyDescent="0.25">
      <c r="B364" s="15">
        <v>361</v>
      </c>
      <c r="C364" s="15">
        <v>1</v>
      </c>
      <c r="D364" s="80">
        <f t="shared" si="69"/>
        <v>5.4394128298154052E+89</v>
      </c>
      <c r="E364" s="80" t="e">
        <f t="shared" si="70"/>
        <v>#NUM!</v>
      </c>
      <c r="F364" s="15">
        <f t="shared" si="71"/>
        <v>1</v>
      </c>
      <c r="G364" s="4" t="e">
        <f t="shared" si="72"/>
        <v>#NUM!</v>
      </c>
      <c r="H364" s="76">
        <v>0.01</v>
      </c>
      <c r="I364" s="15">
        <f t="shared" si="73"/>
        <v>1.01</v>
      </c>
      <c r="J364" s="4">
        <f t="shared" si="74"/>
        <v>5.4394128298154052E+89</v>
      </c>
      <c r="K364" s="24" t="e">
        <f t="shared" si="75"/>
        <v>#NUM!</v>
      </c>
      <c r="L364" s="75">
        <f t="shared" si="77"/>
        <v>36.309137740961923</v>
      </c>
      <c r="M364" s="4" t="e">
        <f t="shared" si="78"/>
        <v>#NUM!</v>
      </c>
      <c r="N364" s="4" t="e">
        <f t="shared" si="79"/>
        <v>#NUM!</v>
      </c>
      <c r="O364" s="78" t="e">
        <f t="shared" si="76"/>
        <v>#NUM!</v>
      </c>
    </row>
    <row r="365" spans="2:15" x14ac:dyDescent="0.25">
      <c r="B365" s="15">
        <v>362</v>
      </c>
      <c r="C365" s="15">
        <v>1</v>
      </c>
      <c r="D365" s="80">
        <f t="shared" si="69"/>
        <v>9.6411082168710218E+89</v>
      </c>
      <c r="E365" s="80" t="e">
        <f t="shared" si="70"/>
        <v>#NUM!</v>
      </c>
      <c r="F365" s="15">
        <f t="shared" si="71"/>
        <v>1</v>
      </c>
      <c r="G365" s="4" t="e">
        <f t="shared" si="72"/>
        <v>#NUM!</v>
      </c>
      <c r="H365" s="76">
        <v>0.01</v>
      </c>
      <c r="I365" s="15">
        <f t="shared" si="73"/>
        <v>1.01</v>
      </c>
      <c r="J365" s="4">
        <f t="shared" si="74"/>
        <v>9.6411082168710218E+89</v>
      </c>
      <c r="K365" s="24" t="e">
        <f t="shared" si="75"/>
        <v>#NUM!</v>
      </c>
      <c r="L365" s="75">
        <f t="shared" si="77"/>
        <v>36.672229118371547</v>
      </c>
      <c r="M365" s="4" t="e">
        <f t="shared" si="78"/>
        <v>#NUM!</v>
      </c>
      <c r="N365" s="4" t="e">
        <f t="shared" si="79"/>
        <v>#NUM!</v>
      </c>
      <c r="O365" s="78" t="e">
        <f t="shared" si="76"/>
        <v>#NUM!</v>
      </c>
    </row>
    <row r="366" spans="2:15" x14ac:dyDescent="0.25">
      <c r="B366" s="15">
        <v>363</v>
      </c>
      <c r="C366" s="15">
        <v>1</v>
      </c>
      <c r="D366" s="80">
        <f t="shared" si="69"/>
        <v>1.7088419385989915E+90</v>
      </c>
      <c r="E366" s="80" t="e">
        <f t="shared" si="70"/>
        <v>#NUM!</v>
      </c>
      <c r="F366" s="15">
        <f t="shared" si="71"/>
        <v>1</v>
      </c>
      <c r="G366" s="4" t="e">
        <f t="shared" si="72"/>
        <v>#NUM!</v>
      </c>
      <c r="H366" s="76">
        <v>0.01</v>
      </c>
      <c r="I366" s="15">
        <f t="shared" si="73"/>
        <v>1.01</v>
      </c>
      <c r="J366" s="4">
        <f t="shared" si="74"/>
        <v>1.7088419385989915E+90</v>
      </c>
      <c r="K366" s="24" t="e">
        <f t="shared" si="75"/>
        <v>#NUM!</v>
      </c>
      <c r="L366" s="75">
        <f t="shared" si="77"/>
        <v>37.038951409555253</v>
      </c>
      <c r="M366" s="4" t="e">
        <f t="shared" si="78"/>
        <v>#NUM!</v>
      </c>
      <c r="N366" s="4" t="e">
        <f t="shared" si="79"/>
        <v>#NUM!</v>
      </c>
      <c r="O366" s="78" t="e">
        <f t="shared" si="76"/>
        <v>#NUM!</v>
      </c>
    </row>
    <row r="367" spans="2:15" x14ac:dyDescent="0.25">
      <c r="B367" s="15">
        <v>364</v>
      </c>
      <c r="C367" s="15">
        <v>1</v>
      </c>
      <c r="D367" s="80">
        <f t="shared" si="69"/>
        <v>3.0288434746586193E+90</v>
      </c>
      <c r="E367" s="80" t="e">
        <f t="shared" si="70"/>
        <v>#NUM!</v>
      </c>
      <c r="F367" s="15">
        <f t="shared" si="71"/>
        <v>1</v>
      </c>
      <c r="G367" s="4" t="e">
        <f t="shared" si="72"/>
        <v>#NUM!</v>
      </c>
      <c r="H367" s="76">
        <v>0.01</v>
      </c>
      <c r="I367" s="15">
        <f t="shared" si="73"/>
        <v>1.01</v>
      </c>
      <c r="J367" s="4">
        <f t="shared" si="74"/>
        <v>3.0288434746586193E+90</v>
      </c>
      <c r="K367" s="24" t="e">
        <f t="shared" si="75"/>
        <v>#NUM!</v>
      </c>
      <c r="L367" s="75">
        <f t="shared" si="77"/>
        <v>37.409340923650809</v>
      </c>
      <c r="M367" s="4" t="e">
        <f t="shared" si="78"/>
        <v>#NUM!</v>
      </c>
      <c r="N367" s="4" t="e">
        <f t="shared" si="79"/>
        <v>#NUM!</v>
      </c>
      <c r="O367" s="78" t="e">
        <f t="shared" si="76"/>
        <v>#NUM!</v>
      </c>
    </row>
    <row r="368" spans="2:15" x14ac:dyDescent="0.25">
      <c r="B368" s="15">
        <v>365</v>
      </c>
      <c r="C368" s="15">
        <v>1</v>
      </c>
      <c r="D368" s="80">
        <f t="shared" si="69"/>
        <v>5.3684852804486595E+90</v>
      </c>
      <c r="E368" s="80" t="e">
        <f t="shared" si="70"/>
        <v>#NUM!</v>
      </c>
      <c r="F368" s="15">
        <f t="shared" si="71"/>
        <v>1</v>
      </c>
      <c r="G368" s="4" t="e">
        <f t="shared" si="72"/>
        <v>#NUM!</v>
      </c>
      <c r="H368" s="76">
        <v>0.01</v>
      </c>
      <c r="I368" s="15">
        <f t="shared" si="73"/>
        <v>1.01</v>
      </c>
      <c r="J368" s="4">
        <f t="shared" si="74"/>
        <v>5.3684852804486595E+90</v>
      </c>
      <c r="K368" s="24" t="e">
        <f t="shared" si="75"/>
        <v>#NUM!</v>
      </c>
      <c r="L368" s="75">
        <f t="shared" si="77"/>
        <v>37.783434332887317</v>
      </c>
      <c r="M368" s="4" t="e">
        <f t="shared" si="78"/>
        <v>#NUM!</v>
      </c>
      <c r="N368" s="4" t="e">
        <f t="shared" si="79"/>
        <v>#NUM!</v>
      </c>
      <c r="O368" s="78" t="e">
        <f t="shared" si="76"/>
        <v>#NUM!</v>
      </c>
    </row>
    <row r="369" spans="2:15" x14ac:dyDescent="0.25">
      <c r="B369" s="15">
        <v>366</v>
      </c>
      <c r="C369" s="15">
        <v>1</v>
      </c>
      <c r="D369" s="80">
        <f t="shared" si="69"/>
        <v>9.5153924088609006E+90</v>
      </c>
      <c r="E369" s="80" t="e">
        <f t="shared" si="70"/>
        <v>#NUM!</v>
      </c>
      <c r="F369" s="15">
        <f t="shared" si="71"/>
        <v>1</v>
      </c>
      <c r="G369" s="4" t="e">
        <f t="shared" si="72"/>
        <v>#NUM!</v>
      </c>
      <c r="H369" s="76">
        <v>0.01</v>
      </c>
      <c r="I369" s="15">
        <f t="shared" si="73"/>
        <v>1.01</v>
      </c>
      <c r="J369" s="4">
        <f t="shared" si="74"/>
        <v>9.5153924088609006E+90</v>
      </c>
      <c r="K369" s="24" t="e">
        <f t="shared" si="75"/>
        <v>#NUM!</v>
      </c>
      <c r="L369" s="75">
        <f t="shared" si="77"/>
        <v>38.161268676216196</v>
      </c>
      <c r="M369" s="4" t="e">
        <f t="shared" si="78"/>
        <v>#NUM!</v>
      </c>
      <c r="N369" s="4" t="e">
        <f t="shared" si="79"/>
        <v>#NUM!</v>
      </c>
      <c r="O369" s="78" t="e">
        <f t="shared" si="76"/>
        <v>#NUM!</v>
      </c>
    </row>
    <row r="370" spans="2:15" x14ac:dyDescent="0.25">
      <c r="B370" s="15">
        <v>367</v>
      </c>
      <c r="C370" s="15">
        <v>1</v>
      </c>
      <c r="D370" s="80">
        <f t="shared" si="69"/>
        <v>1.6865593917962701E+91</v>
      </c>
      <c r="E370" s="80" t="e">
        <f t="shared" si="70"/>
        <v>#NUM!</v>
      </c>
      <c r="F370" s="15">
        <f t="shared" si="71"/>
        <v>1</v>
      </c>
      <c r="G370" s="4" t="e">
        <f t="shared" si="72"/>
        <v>#NUM!</v>
      </c>
      <c r="H370" s="76">
        <v>0.01</v>
      </c>
      <c r="I370" s="15">
        <f t="shared" si="73"/>
        <v>1.01</v>
      </c>
      <c r="J370" s="4">
        <f t="shared" si="74"/>
        <v>1.6865593917962701E+91</v>
      </c>
      <c r="K370" s="24" t="e">
        <f t="shared" si="75"/>
        <v>#NUM!</v>
      </c>
      <c r="L370" s="75">
        <f t="shared" si="77"/>
        <v>38.542881362978342</v>
      </c>
      <c r="M370" s="4" t="e">
        <f t="shared" si="78"/>
        <v>#NUM!</v>
      </c>
      <c r="N370" s="4" t="e">
        <f t="shared" si="79"/>
        <v>#NUM!</v>
      </c>
      <c r="O370" s="78" t="e">
        <f t="shared" si="76"/>
        <v>#NUM!</v>
      </c>
    </row>
    <row r="371" spans="2:15" x14ac:dyDescent="0.25">
      <c r="B371" s="15">
        <v>368</v>
      </c>
      <c r="C371" s="15">
        <v>1</v>
      </c>
      <c r="D371" s="80">
        <f t="shared" si="69"/>
        <v>2.9893486887701492E+91</v>
      </c>
      <c r="E371" s="80" t="e">
        <f t="shared" si="70"/>
        <v>#NUM!</v>
      </c>
      <c r="F371" s="15">
        <f t="shared" si="71"/>
        <v>1</v>
      </c>
      <c r="G371" s="4" t="e">
        <f t="shared" si="72"/>
        <v>#NUM!</v>
      </c>
      <c r="H371" s="76">
        <v>0.01</v>
      </c>
      <c r="I371" s="15">
        <f t="shared" si="73"/>
        <v>1.01</v>
      </c>
      <c r="J371" s="4">
        <f t="shared" si="74"/>
        <v>2.9893486887701492E+91</v>
      </c>
      <c r="K371" s="24" t="e">
        <f t="shared" si="75"/>
        <v>#NUM!</v>
      </c>
      <c r="L371" s="75">
        <f t="shared" si="77"/>
        <v>38.928310176608136</v>
      </c>
      <c r="M371" s="4" t="e">
        <f t="shared" si="78"/>
        <v>#NUM!</v>
      </c>
      <c r="N371" s="4" t="e">
        <f t="shared" si="79"/>
        <v>#NUM!</v>
      </c>
      <c r="O371" s="78" t="e">
        <f t="shared" si="76"/>
        <v>#NUM!</v>
      </c>
    </row>
    <row r="372" spans="2:15" x14ac:dyDescent="0.25">
      <c r="B372" s="15">
        <v>369</v>
      </c>
      <c r="C372" s="15">
        <v>1</v>
      </c>
      <c r="D372" s="80">
        <f t="shared" si="69"/>
        <v>5.2984825951099597E+91</v>
      </c>
      <c r="E372" s="80" t="e">
        <f t="shared" si="70"/>
        <v>#NUM!</v>
      </c>
      <c r="F372" s="15">
        <f t="shared" si="71"/>
        <v>1</v>
      </c>
      <c r="G372" s="4" t="e">
        <f t="shared" si="72"/>
        <v>#NUM!</v>
      </c>
      <c r="H372" s="76">
        <v>0.01</v>
      </c>
      <c r="I372" s="15">
        <f t="shared" si="73"/>
        <v>1.01</v>
      </c>
      <c r="J372" s="4">
        <f t="shared" si="74"/>
        <v>5.2984825951099597E+91</v>
      </c>
      <c r="K372" s="24" t="e">
        <f t="shared" si="75"/>
        <v>#NUM!</v>
      </c>
      <c r="L372" s="75">
        <f t="shared" si="77"/>
        <v>39.317593278374225</v>
      </c>
      <c r="M372" s="4" t="e">
        <f t="shared" si="78"/>
        <v>#NUM!</v>
      </c>
      <c r="N372" s="4" t="e">
        <f t="shared" si="79"/>
        <v>#NUM!</v>
      </c>
      <c r="O372" s="78" t="e">
        <f t="shared" si="76"/>
        <v>#NUM!</v>
      </c>
    </row>
    <row r="373" spans="2:15" x14ac:dyDescent="0.25">
      <c r="B373" s="15">
        <v>370</v>
      </c>
      <c r="C373" s="15">
        <v>1</v>
      </c>
      <c r="D373" s="80">
        <f t="shared" si="69"/>
        <v>9.3913158796585812E+91</v>
      </c>
      <c r="E373" s="80" t="e">
        <f t="shared" si="70"/>
        <v>#NUM!</v>
      </c>
      <c r="F373" s="15">
        <f t="shared" si="71"/>
        <v>1</v>
      </c>
      <c r="G373" s="4" t="e">
        <f t="shared" si="72"/>
        <v>#NUM!</v>
      </c>
      <c r="H373" s="76">
        <v>0.01</v>
      </c>
      <c r="I373" s="15">
        <f t="shared" si="73"/>
        <v>1.01</v>
      </c>
      <c r="J373" s="4">
        <f t="shared" si="74"/>
        <v>9.3913158796585812E+91</v>
      </c>
      <c r="K373" s="24" t="e">
        <f t="shared" si="75"/>
        <v>#NUM!</v>
      </c>
      <c r="L373" s="75">
        <f t="shared" si="77"/>
        <v>39.710769211157967</v>
      </c>
      <c r="M373" s="4" t="e">
        <f t="shared" si="78"/>
        <v>#NUM!</v>
      </c>
      <c r="N373" s="4" t="e">
        <f t="shared" si="79"/>
        <v>#NUM!</v>
      </c>
      <c r="O373" s="78" t="e">
        <f t="shared" si="76"/>
        <v>#NUM!</v>
      </c>
    </row>
    <row r="374" spans="2:15" x14ac:dyDescent="0.25">
      <c r="B374" s="15">
        <v>371</v>
      </c>
      <c r="C374" s="15">
        <v>1</v>
      </c>
      <c r="D374" s="80">
        <f t="shared" si="69"/>
        <v>1.6645673995971079E+92</v>
      </c>
      <c r="E374" s="80" t="e">
        <f t="shared" si="70"/>
        <v>#NUM!</v>
      </c>
      <c r="F374" s="15">
        <f t="shared" si="71"/>
        <v>1</v>
      </c>
      <c r="G374" s="4" t="e">
        <f t="shared" si="72"/>
        <v>#NUM!</v>
      </c>
      <c r="H374" s="76">
        <v>0.01</v>
      </c>
      <c r="I374" s="15">
        <f t="shared" si="73"/>
        <v>1.01</v>
      </c>
      <c r="J374" s="4">
        <f t="shared" si="74"/>
        <v>1.6645673995971079E+92</v>
      </c>
      <c r="K374" s="24" t="e">
        <f t="shared" si="75"/>
        <v>#NUM!</v>
      </c>
      <c r="L374" s="75">
        <f t="shared" si="77"/>
        <v>40.107876903269542</v>
      </c>
      <c r="M374" s="4" t="e">
        <f t="shared" si="78"/>
        <v>#NUM!</v>
      </c>
      <c r="N374" s="4" t="e">
        <f t="shared" si="79"/>
        <v>#NUM!</v>
      </c>
      <c r="O374" s="78" t="e">
        <f t="shared" si="76"/>
        <v>#NUM!</v>
      </c>
    </row>
    <row r="375" spans="2:15" x14ac:dyDescent="0.25">
      <c r="B375" s="15">
        <v>372</v>
      </c>
      <c r="C375" s="15">
        <v>1</v>
      </c>
      <c r="D375" s="80">
        <f t="shared" si="69"/>
        <v>2.9503688975076568E+92</v>
      </c>
      <c r="E375" s="80" t="e">
        <f t="shared" si="70"/>
        <v>#NUM!</v>
      </c>
      <c r="F375" s="15">
        <f t="shared" si="71"/>
        <v>1</v>
      </c>
      <c r="G375" s="4" t="e">
        <f t="shared" si="72"/>
        <v>#NUM!</v>
      </c>
      <c r="H375" s="76">
        <v>0.01</v>
      </c>
      <c r="I375" s="15">
        <f t="shared" si="73"/>
        <v>1.01</v>
      </c>
      <c r="J375" s="4">
        <f t="shared" si="74"/>
        <v>2.9503688975076568E+92</v>
      </c>
      <c r="K375" s="24" t="e">
        <f t="shared" si="75"/>
        <v>#NUM!</v>
      </c>
      <c r="L375" s="75">
        <f t="shared" si="77"/>
        <v>40.508955672302235</v>
      </c>
      <c r="M375" s="4" t="e">
        <f t="shared" si="78"/>
        <v>#NUM!</v>
      </c>
      <c r="N375" s="4" t="e">
        <f t="shared" si="79"/>
        <v>#NUM!</v>
      </c>
      <c r="O375" s="78" t="e">
        <f t="shared" si="76"/>
        <v>#NUM!</v>
      </c>
    </row>
    <row r="376" spans="2:15" x14ac:dyDescent="0.25">
      <c r="B376" s="15">
        <v>373</v>
      </c>
      <c r="C376" s="15">
        <v>1</v>
      </c>
      <c r="D376" s="80">
        <f t="shared" si="69"/>
        <v>5.229392713979269E+92</v>
      </c>
      <c r="E376" s="80" t="e">
        <f t="shared" si="70"/>
        <v>#NUM!</v>
      </c>
      <c r="F376" s="15">
        <f t="shared" si="71"/>
        <v>1</v>
      </c>
      <c r="G376" s="4" t="e">
        <f t="shared" si="72"/>
        <v>#NUM!</v>
      </c>
      <c r="H376" s="76">
        <v>0.01</v>
      </c>
      <c r="I376" s="15">
        <f t="shared" si="73"/>
        <v>1.01</v>
      </c>
      <c r="J376" s="4">
        <f t="shared" si="74"/>
        <v>5.229392713979269E+92</v>
      </c>
      <c r="K376" s="24" t="e">
        <f t="shared" si="75"/>
        <v>#NUM!</v>
      </c>
      <c r="L376" s="75">
        <f t="shared" si="77"/>
        <v>40.914045229025255</v>
      </c>
      <c r="M376" s="4" t="e">
        <f t="shared" si="78"/>
        <v>#NUM!</v>
      </c>
      <c r="N376" s="4" t="e">
        <f t="shared" si="79"/>
        <v>#NUM!</v>
      </c>
      <c r="O376" s="78" t="e">
        <f t="shared" si="76"/>
        <v>#NUM!</v>
      </c>
    </row>
    <row r="377" spans="2:15" x14ac:dyDescent="0.25">
      <c r="B377" s="15">
        <v>374</v>
      </c>
      <c r="C377" s="15">
        <v>1</v>
      </c>
      <c r="D377" s="80">
        <f t="shared" si="69"/>
        <v>9.2688572537898719E+92</v>
      </c>
      <c r="E377" s="80" t="e">
        <f t="shared" si="70"/>
        <v>#NUM!</v>
      </c>
      <c r="F377" s="15">
        <f t="shared" si="71"/>
        <v>1</v>
      </c>
      <c r="G377" s="4" t="e">
        <f t="shared" si="72"/>
        <v>#NUM!</v>
      </c>
      <c r="H377" s="76">
        <v>0.01</v>
      </c>
      <c r="I377" s="15">
        <f t="shared" si="73"/>
        <v>1.01</v>
      </c>
      <c r="J377" s="4">
        <f t="shared" si="74"/>
        <v>9.2688572537898719E+92</v>
      </c>
      <c r="K377" s="24" t="e">
        <f t="shared" si="75"/>
        <v>#NUM!</v>
      </c>
      <c r="L377" s="75">
        <f t="shared" si="77"/>
        <v>41.323185681315522</v>
      </c>
      <c r="M377" s="4" t="e">
        <f t="shared" si="78"/>
        <v>#NUM!</v>
      </c>
      <c r="N377" s="4" t="e">
        <f t="shared" si="79"/>
        <v>#NUM!</v>
      </c>
      <c r="O377" s="78" t="e">
        <f t="shared" si="76"/>
        <v>#NUM!</v>
      </c>
    </row>
    <row r="378" spans="2:15" x14ac:dyDescent="0.25">
      <c r="B378" s="15">
        <v>375</v>
      </c>
      <c r="C378" s="15">
        <v>1</v>
      </c>
      <c r="D378" s="80">
        <f t="shared" si="69"/>
        <v>1.6428621732973507E+93</v>
      </c>
      <c r="E378" s="80" t="e">
        <f t="shared" si="70"/>
        <v>#NUM!</v>
      </c>
      <c r="F378" s="15">
        <f t="shared" si="71"/>
        <v>1</v>
      </c>
      <c r="G378" s="4" t="e">
        <f t="shared" si="72"/>
        <v>#NUM!</v>
      </c>
      <c r="H378" s="76">
        <v>0.01</v>
      </c>
      <c r="I378" s="15">
        <f t="shared" si="73"/>
        <v>1.01</v>
      </c>
      <c r="J378" s="4">
        <f t="shared" si="74"/>
        <v>1.6428621732973507E+93</v>
      </c>
      <c r="K378" s="24" t="e">
        <f t="shared" si="75"/>
        <v>#NUM!</v>
      </c>
      <c r="L378" s="75">
        <f t="shared" si="77"/>
        <v>41.736417538128663</v>
      </c>
      <c r="M378" s="4" t="e">
        <f t="shared" si="78"/>
        <v>#NUM!</v>
      </c>
      <c r="N378" s="4" t="e">
        <f t="shared" si="79"/>
        <v>#NUM!</v>
      </c>
      <c r="O378" s="78" t="e">
        <f t="shared" si="76"/>
        <v>#NUM!</v>
      </c>
    </row>
    <row r="379" spans="2:15" x14ac:dyDescent="0.25">
      <c r="B379" s="15">
        <v>376</v>
      </c>
      <c r="C379" s="15">
        <v>1</v>
      </c>
      <c r="D379" s="80">
        <f t="shared" si="69"/>
        <v>2.9118973855678729E+93</v>
      </c>
      <c r="E379" s="80" t="e">
        <f t="shared" si="70"/>
        <v>#NUM!</v>
      </c>
      <c r="F379" s="15">
        <f t="shared" si="71"/>
        <v>1</v>
      </c>
      <c r="G379" s="4" t="e">
        <f t="shared" si="72"/>
        <v>#NUM!</v>
      </c>
      <c r="H379" s="76">
        <v>0.01</v>
      </c>
      <c r="I379" s="15">
        <f t="shared" si="73"/>
        <v>1.01</v>
      </c>
      <c r="J379" s="4">
        <f t="shared" si="74"/>
        <v>2.9118973855678729E+93</v>
      </c>
      <c r="K379" s="24" t="e">
        <f t="shared" si="75"/>
        <v>#NUM!</v>
      </c>
      <c r="L379" s="75">
        <f t="shared" si="77"/>
        <v>42.153781713509957</v>
      </c>
      <c r="M379" s="4" t="e">
        <f t="shared" si="78"/>
        <v>#NUM!</v>
      </c>
      <c r="N379" s="4" t="e">
        <f t="shared" si="79"/>
        <v>#NUM!</v>
      </c>
      <c r="O379" s="78" t="e">
        <f t="shared" si="76"/>
        <v>#NUM!</v>
      </c>
    </row>
    <row r="380" spans="2:15" x14ac:dyDescent="0.25">
      <c r="B380" s="15">
        <v>377</v>
      </c>
      <c r="C380" s="15">
        <v>1</v>
      </c>
      <c r="D380" s="80">
        <f t="shared" si="69"/>
        <v>5.1612037344914494E+93</v>
      </c>
      <c r="E380" s="80" t="e">
        <f t="shared" si="70"/>
        <v>#NUM!</v>
      </c>
      <c r="F380" s="15">
        <f t="shared" si="71"/>
        <v>1</v>
      </c>
      <c r="G380" s="4" t="e">
        <f t="shared" si="72"/>
        <v>#NUM!</v>
      </c>
      <c r="H380" s="76">
        <v>0.01</v>
      </c>
      <c r="I380" s="15">
        <f t="shared" si="73"/>
        <v>1.01</v>
      </c>
      <c r="J380" s="4">
        <f t="shared" si="74"/>
        <v>5.1612037344914494E+93</v>
      </c>
      <c r="K380" s="24" t="e">
        <f t="shared" si="75"/>
        <v>#NUM!</v>
      </c>
      <c r="L380" s="75">
        <f t="shared" si="77"/>
        <v>42.575319530645061</v>
      </c>
      <c r="M380" s="4" t="e">
        <f t="shared" si="78"/>
        <v>#NUM!</v>
      </c>
      <c r="N380" s="4" t="e">
        <f t="shared" si="79"/>
        <v>#NUM!</v>
      </c>
      <c r="O380" s="78" t="e">
        <f t="shared" si="76"/>
        <v>#NUM!</v>
      </c>
    </row>
    <row r="381" spans="2:15" x14ac:dyDescent="0.25">
      <c r="B381" s="15">
        <v>378</v>
      </c>
      <c r="C381" s="15">
        <v>1</v>
      </c>
      <c r="D381" s="80">
        <f t="shared" si="69"/>
        <v>9.1479954345073541E+93</v>
      </c>
      <c r="E381" s="80" t="e">
        <f t="shared" si="70"/>
        <v>#NUM!</v>
      </c>
      <c r="F381" s="15">
        <f t="shared" si="71"/>
        <v>1</v>
      </c>
      <c r="G381" s="4" t="e">
        <f t="shared" si="72"/>
        <v>#NUM!</v>
      </c>
      <c r="H381" s="76">
        <v>0.01</v>
      </c>
      <c r="I381" s="15">
        <f t="shared" si="73"/>
        <v>1.01</v>
      </c>
      <c r="J381" s="4">
        <f t="shared" si="74"/>
        <v>9.1479954345073541E+93</v>
      </c>
      <c r="K381" s="24" t="e">
        <f t="shared" si="75"/>
        <v>#NUM!</v>
      </c>
      <c r="L381" s="75">
        <f t="shared" si="77"/>
        <v>43.001072725951509</v>
      </c>
      <c r="M381" s="4" t="e">
        <f t="shared" si="78"/>
        <v>#NUM!</v>
      </c>
      <c r="N381" s="4" t="e">
        <f t="shared" si="79"/>
        <v>#NUM!</v>
      </c>
      <c r="O381" s="78" t="e">
        <f t="shared" si="76"/>
        <v>#NUM!</v>
      </c>
    </row>
    <row r="382" spans="2:15" x14ac:dyDescent="0.25">
      <c r="B382" s="15">
        <v>379</v>
      </c>
      <c r="C382" s="15">
        <v>1</v>
      </c>
      <c r="D382" s="80">
        <f t="shared" si="69"/>
        <v>1.6214399735958784E+94</v>
      </c>
      <c r="E382" s="80" t="e">
        <f t="shared" si="70"/>
        <v>#NUM!</v>
      </c>
      <c r="F382" s="15">
        <f t="shared" si="71"/>
        <v>1</v>
      </c>
      <c r="G382" s="4" t="e">
        <f t="shared" si="72"/>
        <v>#NUM!</v>
      </c>
      <c r="H382" s="76">
        <v>0.01</v>
      </c>
      <c r="I382" s="15">
        <f t="shared" si="73"/>
        <v>1.01</v>
      </c>
      <c r="J382" s="4">
        <f t="shared" si="74"/>
        <v>1.6214399735958784E+94</v>
      </c>
      <c r="K382" s="24" t="e">
        <f t="shared" si="75"/>
        <v>#NUM!</v>
      </c>
      <c r="L382" s="75">
        <f t="shared" si="77"/>
        <v>43.431083453211016</v>
      </c>
      <c r="M382" s="4" t="e">
        <f t="shared" si="78"/>
        <v>#NUM!</v>
      </c>
      <c r="N382" s="4" t="e">
        <f t="shared" si="79"/>
        <v>#NUM!</v>
      </c>
      <c r="O382" s="78" t="e">
        <f t="shared" si="76"/>
        <v>#NUM!</v>
      </c>
    </row>
    <row r="383" spans="2:15" x14ac:dyDescent="0.25">
      <c r="B383" s="15">
        <v>380</v>
      </c>
      <c r="C383" s="15">
        <v>1</v>
      </c>
      <c r="D383" s="80">
        <f t="shared" si="69"/>
        <v>2.8739275252121265E+94</v>
      </c>
      <c r="E383" s="80" t="e">
        <f t="shared" si="70"/>
        <v>#NUM!</v>
      </c>
      <c r="F383" s="15">
        <f t="shared" si="71"/>
        <v>1</v>
      </c>
      <c r="G383" s="4" t="e">
        <f t="shared" si="72"/>
        <v>#NUM!</v>
      </c>
      <c r="H383" s="76">
        <v>0.01</v>
      </c>
      <c r="I383" s="15">
        <f t="shared" si="73"/>
        <v>1.01</v>
      </c>
      <c r="J383" s="4">
        <f t="shared" si="74"/>
        <v>2.8739275252121265E+94</v>
      </c>
      <c r="K383" s="24" t="e">
        <f t="shared" si="75"/>
        <v>#NUM!</v>
      </c>
      <c r="L383" s="75">
        <f t="shared" si="77"/>
        <v>43.865394287743129</v>
      </c>
      <c r="M383" s="4" t="e">
        <f t="shared" si="78"/>
        <v>#NUM!</v>
      </c>
      <c r="N383" s="4" t="e">
        <f t="shared" si="79"/>
        <v>#NUM!</v>
      </c>
      <c r="O383" s="78" t="e">
        <f t="shared" si="76"/>
        <v>#NUM!</v>
      </c>
    </row>
    <row r="384" spans="2:15" x14ac:dyDescent="0.25">
      <c r="B384" s="15">
        <v>381</v>
      </c>
      <c r="C384" s="15">
        <v>1</v>
      </c>
      <c r="D384" s="80">
        <f t="shared" si="69"/>
        <v>5.0939039092855707E+94</v>
      </c>
      <c r="E384" s="80" t="e">
        <f t="shared" si="70"/>
        <v>#NUM!</v>
      </c>
      <c r="F384" s="15">
        <f t="shared" si="71"/>
        <v>1</v>
      </c>
      <c r="G384" s="4" t="e">
        <f t="shared" si="72"/>
        <v>#NUM!</v>
      </c>
      <c r="H384" s="76">
        <v>0.01</v>
      </c>
      <c r="I384" s="15">
        <f t="shared" si="73"/>
        <v>1.01</v>
      </c>
      <c r="J384" s="4">
        <f t="shared" si="74"/>
        <v>5.0939039092855707E+94</v>
      </c>
      <c r="K384" s="24" t="e">
        <f t="shared" si="75"/>
        <v>#NUM!</v>
      </c>
      <c r="L384" s="75">
        <f t="shared" si="77"/>
        <v>44.304048230620566</v>
      </c>
      <c r="M384" s="4" t="e">
        <f t="shared" si="78"/>
        <v>#NUM!</v>
      </c>
      <c r="N384" s="4" t="e">
        <f t="shared" si="79"/>
        <v>#NUM!</v>
      </c>
      <c r="O384" s="78" t="e">
        <f t="shared" si="76"/>
        <v>#NUM!</v>
      </c>
    </row>
    <row r="385" spans="2:15" x14ac:dyDescent="0.25">
      <c r="B385" s="15">
        <v>382</v>
      </c>
      <c r="C385" s="15">
        <v>1</v>
      </c>
      <c r="D385" s="80">
        <f t="shared" si="69"/>
        <v>9.0287096001559113E+94</v>
      </c>
      <c r="E385" s="80" t="e">
        <f t="shared" si="70"/>
        <v>#NUM!</v>
      </c>
      <c r="F385" s="15">
        <f t="shared" si="71"/>
        <v>1</v>
      </c>
      <c r="G385" s="4" t="e">
        <f t="shared" si="72"/>
        <v>#NUM!</v>
      </c>
      <c r="H385" s="76">
        <v>0.01</v>
      </c>
      <c r="I385" s="15">
        <f t="shared" si="73"/>
        <v>1.01</v>
      </c>
      <c r="J385" s="4">
        <f t="shared" si="74"/>
        <v>9.0287096001559113E+94</v>
      </c>
      <c r="K385" s="24" t="e">
        <f t="shared" si="75"/>
        <v>#NUM!</v>
      </c>
      <c r="L385" s="75">
        <f t="shared" si="77"/>
        <v>44.747088712926775</v>
      </c>
      <c r="M385" s="4" t="e">
        <f t="shared" si="78"/>
        <v>#NUM!</v>
      </c>
      <c r="N385" s="4" t="e">
        <f t="shared" si="79"/>
        <v>#NUM!</v>
      </c>
      <c r="O385" s="78" t="e">
        <f t="shared" si="76"/>
        <v>#NUM!</v>
      </c>
    </row>
    <row r="386" spans="2:15" x14ac:dyDescent="0.25">
      <c r="B386" s="15">
        <v>383</v>
      </c>
      <c r="C386" s="15">
        <v>1</v>
      </c>
      <c r="D386" s="80">
        <f t="shared" si="69"/>
        <v>1.6002971099504115E+95</v>
      </c>
      <c r="E386" s="80" t="e">
        <f t="shared" si="70"/>
        <v>#NUM!</v>
      </c>
      <c r="F386" s="15">
        <f t="shared" si="71"/>
        <v>1</v>
      </c>
      <c r="G386" s="4" t="e">
        <f t="shared" si="72"/>
        <v>#NUM!</v>
      </c>
      <c r="H386" s="76">
        <v>0.01</v>
      </c>
      <c r="I386" s="15">
        <f t="shared" si="73"/>
        <v>1.01</v>
      </c>
      <c r="J386" s="4">
        <f t="shared" si="74"/>
        <v>1.6002971099504115E+95</v>
      </c>
      <c r="K386" s="24" t="e">
        <f t="shared" si="75"/>
        <v>#NUM!</v>
      </c>
      <c r="L386" s="75">
        <f t="shared" si="77"/>
        <v>45.194559600056031</v>
      </c>
      <c r="M386" s="4" t="e">
        <f t="shared" si="78"/>
        <v>#NUM!</v>
      </c>
      <c r="N386" s="4" t="e">
        <f t="shared" si="79"/>
        <v>#NUM!</v>
      </c>
      <c r="O386" s="78" t="e">
        <f t="shared" si="76"/>
        <v>#NUM!</v>
      </c>
    </row>
    <row r="387" spans="2:15" x14ac:dyDescent="0.25">
      <c r="B387" s="15">
        <v>384</v>
      </c>
      <c r="C387" s="15">
        <v>1</v>
      </c>
      <c r="D387" s="80">
        <f t="shared" si="69"/>
        <v>2.8364527751245455E+95</v>
      </c>
      <c r="E387" s="80" t="e">
        <f t="shared" si="70"/>
        <v>#NUM!</v>
      </c>
      <c r="F387" s="15">
        <f t="shared" si="71"/>
        <v>1</v>
      </c>
      <c r="G387" s="4" t="e">
        <f t="shared" si="72"/>
        <v>#NUM!</v>
      </c>
      <c r="H387" s="76">
        <v>0.01</v>
      </c>
      <c r="I387" s="15">
        <f t="shared" si="73"/>
        <v>1.01</v>
      </c>
      <c r="J387" s="4">
        <f t="shared" si="74"/>
        <v>2.8364527751245455E+95</v>
      </c>
      <c r="K387" s="24" t="e">
        <f t="shared" si="75"/>
        <v>#NUM!</v>
      </c>
      <c r="L387" s="75">
        <f t="shared" si="77"/>
        <v>45.646505196056602</v>
      </c>
      <c r="M387" s="4" t="e">
        <f t="shared" si="78"/>
        <v>#NUM!</v>
      </c>
      <c r="N387" s="4" t="e">
        <f t="shared" si="79"/>
        <v>#NUM!</v>
      </c>
      <c r="O387" s="78" t="e">
        <f t="shared" si="76"/>
        <v>#NUM!</v>
      </c>
    </row>
    <row r="388" spans="2:15" x14ac:dyDescent="0.25">
      <c r="B388" s="15">
        <v>385</v>
      </c>
      <c r="C388" s="15">
        <v>1</v>
      </c>
      <c r="D388" s="80">
        <f t="shared" si="69"/>
        <v>5.0274816441811224E+95</v>
      </c>
      <c r="E388" s="80" t="e">
        <f t="shared" si="70"/>
        <v>#NUM!</v>
      </c>
      <c r="F388" s="15">
        <f t="shared" si="71"/>
        <v>1</v>
      </c>
      <c r="G388" s="4" t="e">
        <f t="shared" si="72"/>
        <v>#NUM!</v>
      </c>
      <c r="H388" s="76">
        <v>0.01</v>
      </c>
      <c r="I388" s="15">
        <f t="shared" si="73"/>
        <v>1.01</v>
      </c>
      <c r="J388" s="4">
        <f t="shared" si="74"/>
        <v>5.0274816441811224E+95</v>
      </c>
      <c r="K388" s="24" t="e">
        <f t="shared" si="75"/>
        <v>#NUM!</v>
      </c>
      <c r="L388" s="75">
        <f t="shared" si="77"/>
        <v>46.102970248017165</v>
      </c>
      <c r="M388" s="4" t="e">
        <f t="shared" si="78"/>
        <v>#NUM!</v>
      </c>
      <c r="N388" s="4" t="e">
        <f t="shared" si="79"/>
        <v>#NUM!</v>
      </c>
      <c r="O388" s="78" t="e">
        <f t="shared" si="76"/>
        <v>#NUM!</v>
      </c>
    </row>
    <row r="389" spans="2:15" x14ac:dyDescent="0.25">
      <c r="B389" s="15">
        <v>386</v>
      </c>
      <c r="C389" s="15">
        <v>1</v>
      </c>
      <c r="D389" s="80">
        <f t="shared" si="69"/>
        <v>8.9109792005856537E+95</v>
      </c>
      <c r="E389" s="80" t="e">
        <f t="shared" si="70"/>
        <v>#NUM!</v>
      </c>
      <c r="F389" s="15">
        <f t="shared" si="71"/>
        <v>1</v>
      </c>
      <c r="G389" s="4" t="e">
        <f t="shared" si="72"/>
        <v>#NUM!</v>
      </c>
      <c r="H389" s="76">
        <v>0.01</v>
      </c>
      <c r="I389" s="15">
        <f t="shared" si="73"/>
        <v>1.01</v>
      </c>
      <c r="J389" s="4">
        <f t="shared" si="74"/>
        <v>8.9109792005856537E+95</v>
      </c>
      <c r="K389" s="24" t="e">
        <f t="shared" si="75"/>
        <v>#NUM!</v>
      </c>
      <c r="L389" s="75">
        <f t="shared" si="77"/>
        <v>46.56399995049734</v>
      </c>
      <c r="M389" s="4" t="e">
        <f t="shared" si="78"/>
        <v>#NUM!</v>
      </c>
      <c r="N389" s="4" t="e">
        <f t="shared" si="79"/>
        <v>#NUM!</v>
      </c>
      <c r="O389" s="78" t="e">
        <f t="shared" si="76"/>
        <v>#NUM!</v>
      </c>
    </row>
    <row r="390" spans="2:15" x14ac:dyDescent="0.25">
      <c r="B390" s="15">
        <v>387</v>
      </c>
      <c r="C390" s="15">
        <v>1</v>
      </c>
      <c r="D390" s="80">
        <f t="shared" si="69"/>
        <v>1.5794299399417184E+96</v>
      </c>
      <c r="E390" s="80" t="e">
        <f t="shared" si="70"/>
        <v>#NUM!</v>
      </c>
      <c r="F390" s="15">
        <f t="shared" si="71"/>
        <v>1</v>
      </c>
      <c r="G390" s="4" t="e">
        <f t="shared" si="72"/>
        <v>#NUM!</v>
      </c>
      <c r="H390" s="76">
        <v>0.01</v>
      </c>
      <c r="I390" s="15">
        <f t="shared" si="73"/>
        <v>1.01</v>
      </c>
      <c r="J390" s="4">
        <f t="shared" si="74"/>
        <v>1.5794299399417184E+96</v>
      </c>
      <c r="K390" s="24" t="e">
        <f t="shared" si="75"/>
        <v>#NUM!</v>
      </c>
      <c r="L390" s="75">
        <f t="shared" si="77"/>
        <v>47.029639950002306</v>
      </c>
      <c r="M390" s="4" t="e">
        <f t="shared" si="78"/>
        <v>#NUM!</v>
      </c>
      <c r="N390" s="4" t="e">
        <f t="shared" si="79"/>
        <v>#NUM!</v>
      </c>
      <c r="O390" s="78" t="e">
        <f t="shared" si="76"/>
        <v>#NUM!</v>
      </c>
    </row>
    <row r="391" spans="2:15" x14ac:dyDescent="0.25">
      <c r="B391" s="15">
        <v>388</v>
      </c>
      <c r="C391" s="15">
        <v>1</v>
      </c>
      <c r="D391" s="80">
        <f t="shared" si="69"/>
        <v>2.7994666792851338E+96</v>
      </c>
      <c r="E391" s="80" t="e">
        <f t="shared" si="70"/>
        <v>#NUM!</v>
      </c>
      <c r="F391" s="15">
        <f t="shared" si="71"/>
        <v>1</v>
      </c>
      <c r="G391" s="4" t="e">
        <f t="shared" si="72"/>
        <v>#NUM!</v>
      </c>
      <c r="H391" s="76">
        <v>0.01</v>
      </c>
      <c r="I391" s="15">
        <f t="shared" si="73"/>
        <v>1.01</v>
      </c>
      <c r="J391" s="4">
        <f t="shared" si="74"/>
        <v>2.7994666792851338E+96</v>
      </c>
      <c r="K391" s="24" t="e">
        <f t="shared" si="75"/>
        <v>#NUM!</v>
      </c>
      <c r="L391" s="75">
        <f t="shared" si="77"/>
        <v>47.499936349502335</v>
      </c>
      <c r="M391" s="4" t="e">
        <f t="shared" si="78"/>
        <v>#NUM!</v>
      </c>
      <c r="N391" s="4" t="e">
        <f t="shared" si="79"/>
        <v>#NUM!</v>
      </c>
      <c r="O391" s="78" t="e">
        <f t="shared" si="76"/>
        <v>#NUM!</v>
      </c>
    </row>
    <row r="392" spans="2:15" x14ac:dyDescent="0.25">
      <c r="B392" s="15">
        <v>389</v>
      </c>
      <c r="C392" s="15">
        <v>1</v>
      </c>
      <c r="D392" s="80">
        <f t="shared" si="69"/>
        <v>4.9619254961806033E+96</v>
      </c>
      <c r="E392" s="80" t="e">
        <f t="shared" si="70"/>
        <v>#NUM!</v>
      </c>
      <c r="F392" s="15">
        <f t="shared" si="71"/>
        <v>1</v>
      </c>
      <c r="G392" s="4" t="e">
        <f t="shared" si="72"/>
        <v>#NUM!</v>
      </c>
      <c r="H392" s="76">
        <v>0.01</v>
      </c>
      <c r="I392" s="15">
        <f t="shared" si="73"/>
        <v>1.01</v>
      </c>
      <c r="J392" s="4">
        <f t="shared" si="74"/>
        <v>4.9619254961806033E+96</v>
      </c>
      <c r="K392" s="24" t="e">
        <f t="shared" si="75"/>
        <v>#NUM!</v>
      </c>
      <c r="L392" s="75">
        <f t="shared" si="77"/>
        <v>47.97493571299735</v>
      </c>
      <c r="M392" s="4" t="e">
        <f t="shared" si="78"/>
        <v>#NUM!</v>
      </c>
      <c r="N392" s="4" t="e">
        <f t="shared" si="79"/>
        <v>#NUM!</v>
      </c>
      <c r="O392" s="78" t="e">
        <f t="shared" si="76"/>
        <v>#NUM!</v>
      </c>
    </row>
    <row r="393" spans="2:15" x14ac:dyDescent="0.25">
      <c r="B393" s="15">
        <v>390</v>
      </c>
      <c r="C393" s="15">
        <v>1</v>
      </c>
      <c r="D393" s="80">
        <f t="shared" si="69"/>
        <v>8.7947839536115906E+96</v>
      </c>
      <c r="E393" s="80" t="e">
        <f t="shared" si="70"/>
        <v>#NUM!</v>
      </c>
      <c r="F393" s="15">
        <f t="shared" si="71"/>
        <v>1</v>
      </c>
      <c r="G393" s="4" t="e">
        <f t="shared" si="72"/>
        <v>#NUM!</v>
      </c>
      <c r="H393" s="76">
        <v>0.01</v>
      </c>
      <c r="I393" s="15">
        <f t="shared" si="73"/>
        <v>1.01</v>
      </c>
      <c r="J393" s="4">
        <f t="shared" si="74"/>
        <v>8.7947839536115906E+96</v>
      </c>
      <c r="K393" s="24" t="e">
        <f t="shared" si="75"/>
        <v>#NUM!</v>
      </c>
      <c r="L393" s="75">
        <f t="shared" si="77"/>
        <v>48.454685070127333</v>
      </c>
      <c r="M393" s="4" t="e">
        <f t="shared" si="78"/>
        <v>#NUM!</v>
      </c>
      <c r="N393" s="4" t="e">
        <f t="shared" si="79"/>
        <v>#NUM!</v>
      </c>
      <c r="O393" s="78" t="e">
        <f t="shared" si="76"/>
        <v>#NUM!</v>
      </c>
    </row>
    <row r="394" spans="2:15" x14ac:dyDescent="0.25">
      <c r="B394" s="15">
        <v>391</v>
      </c>
      <c r="C394" s="15">
        <v>1</v>
      </c>
      <c r="D394" s="80">
        <f t="shared" si="69"/>
        <v>1.5588348686461106E+97</v>
      </c>
      <c r="E394" s="80" t="e">
        <f t="shared" si="70"/>
        <v>#NUM!</v>
      </c>
      <c r="F394" s="15">
        <f t="shared" si="71"/>
        <v>1</v>
      </c>
      <c r="G394" s="4" t="e">
        <f t="shared" si="72"/>
        <v>#NUM!</v>
      </c>
      <c r="H394" s="76">
        <v>0.01</v>
      </c>
      <c r="I394" s="15">
        <f t="shared" si="73"/>
        <v>1.01</v>
      </c>
      <c r="J394" s="4">
        <f t="shared" si="74"/>
        <v>1.5588348686461106E+97</v>
      </c>
      <c r="K394" s="24" t="e">
        <f t="shared" si="75"/>
        <v>#NUM!</v>
      </c>
      <c r="L394" s="75">
        <f t="shared" si="77"/>
        <v>48.939231920828597</v>
      </c>
      <c r="M394" s="4" t="e">
        <f t="shared" si="78"/>
        <v>#NUM!</v>
      </c>
      <c r="N394" s="4" t="e">
        <f t="shared" si="79"/>
        <v>#NUM!</v>
      </c>
      <c r="O394" s="78" t="e">
        <f t="shared" si="76"/>
        <v>#NUM!</v>
      </c>
    </row>
    <row r="395" spans="2:15" x14ac:dyDescent="0.25">
      <c r="B395" s="15">
        <v>392</v>
      </c>
      <c r="C395" s="15">
        <v>1</v>
      </c>
      <c r="D395" s="80">
        <f t="shared" si="69"/>
        <v>2.7629628658575572E+97</v>
      </c>
      <c r="E395" s="80" t="e">
        <f t="shared" si="70"/>
        <v>#NUM!</v>
      </c>
      <c r="F395" s="15">
        <f t="shared" si="71"/>
        <v>1</v>
      </c>
      <c r="G395" s="4" t="e">
        <f t="shared" si="72"/>
        <v>#NUM!</v>
      </c>
      <c r="H395" s="76">
        <v>0.01</v>
      </c>
      <c r="I395" s="15">
        <f t="shared" si="73"/>
        <v>1.01</v>
      </c>
      <c r="J395" s="4">
        <f t="shared" si="74"/>
        <v>2.7629628658575572E+97</v>
      </c>
      <c r="K395" s="24" t="e">
        <f t="shared" si="75"/>
        <v>#NUM!</v>
      </c>
      <c r="L395" s="75">
        <f t="shared" si="77"/>
        <v>49.428624240036896</v>
      </c>
      <c r="M395" s="4" t="e">
        <f t="shared" si="78"/>
        <v>#NUM!</v>
      </c>
      <c r="N395" s="4" t="e">
        <f t="shared" si="79"/>
        <v>#NUM!</v>
      </c>
      <c r="O395" s="78" t="e">
        <f t="shared" si="76"/>
        <v>#NUM!</v>
      </c>
    </row>
    <row r="396" spans="2:15" x14ac:dyDescent="0.25">
      <c r="B396" s="15">
        <v>393</v>
      </c>
      <c r="C396" s="15">
        <v>1</v>
      </c>
      <c r="D396" s="80">
        <f t="shared" si="69"/>
        <v>4.8972241714981644E+97</v>
      </c>
      <c r="E396" s="80" t="e">
        <f t="shared" si="70"/>
        <v>#NUM!</v>
      </c>
      <c r="F396" s="15">
        <f t="shared" si="71"/>
        <v>1</v>
      </c>
      <c r="G396" s="4" t="e">
        <f t="shared" si="72"/>
        <v>#NUM!</v>
      </c>
      <c r="H396" s="76">
        <v>0.01</v>
      </c>
      <c r="I396" s="15">
        <f t="shared" si="73"/>
        <v>1.01</v>
      </c>
      <c r="J396" s="4">
        <f t="shared" si="74"/>
        <v>4.8972241714981644E+97</v>
      </c>
      <c r="K396" s="24" t="e">
        <f t="shared" si="75"/>
        <v>#NUM!</v>
      </c>
      <c r="L396" s="75">
        <f t="shared" si="77"/>
        <v>49.922910482437267</v>
      </c>
      <c r="M396" s="4" t="e">
        <f t="shared" si="78"/>
        <v>#NUM!</v>
      </c>
      <c r="N396" s="4" t="e">
        <f t="shared" si="79"/>
        <v>#NUM!</v>
      </c>
      <c r="O396" s="78" t="e">
        <f t="shared" si="76"/>
        <v>#NUM!</v>
      </c>
    </row>
    <row r="397" spans="2:15" x14ac:dyDescent="0.25">
      <c r="B397" s="15">
        <v>394</v>
      </c>
      <c r="C397" s="15">
        <v>1</v>
      </c>
      <c r="D397" s="80">
        <f t="shared" si="69"/>
        <v>8.6801038415195019E+97</v>
      </c>
      <c r="E397" s="80" t="e">
        <f t="shared" si="70"/>
        <v>#NUM!</v>
      </c>
      <c r="F397" s="15">
        <f t="shared" si="71"/>
        <v>1</v>
      </c>
      <c r="G397" s="4" t="e">
        <f t="shared" si="72"/>
        <v>#NUM!</v>
      </c>
      <c r="H397" s="76">
        <v>0.01</v>
      </c>
      <c r="I397" s="15">
        <f t="shared" si="73"/>
        <v>1.01</v>
      </c>
      <c r="J397" s="4">
        <f t="shared" si="74"/>
        <v>8.6801038415195019E+97</v>
      </c>
      <c r="K397" s="24" t="e">
        <f t="shared" si="75"/>
        <v>#NUM!</v>
      </c>
      <c r="L397" s="75">
        <f t="shared" si="77"/>
        <v>50.42213958726164</v>
      </c>
      <c r="M397" s="4" t="e">
        <f t="shared" si="78"/>
        <v>#NUM!</v>
      </c>
      <c r="N397" s="4" t="e">
        <f t="shared" si="79"/>
        <v>#NUM!</v>
      </c>
      <c r="O397" s="78" t="e">
        <f t="shared" si="76"/>
        <v>#NUM!</v>
      </c>
    </row>
    <row r="398" spans="2:15" x14ac:dyDescent="0.25">
      <c r="B398" s="15">
        <v>395</v>
      </c>
      <c r="C398" s="15">
        <v>1</v>
      </c>
      <c r="D398" s="80">
        <f t="shared" si="69"/>
        <v>1.5385083480161225E+98</v>
      </c>
      <c r="E398" s="80" t="e">
        <f t="shared" si="70"/>
        <v>#NUM!</v>
      </c>
      <c r="F398" s="15">
        <f t="shared" si="71"/>
        <v>1</v>
      </c>
      <c r="G398" s="4" t="e">
        <f t="shared" si="72"/>
        <v>#NUM!</v>
      </c>
      <c r="H398" s="76">
        <v>0.01</v>
      </c>
      <c r="I398" s="15">
        <f t="shared" si="73"/>
        <v>1.01</v>
      </c>
      <c r="J398" s="4">
        <f t="shared" si="74"/>
        <v>1.5385083480161225E+98</v>
      </c>
      <c r="K398" s="24" t="e">
        <f t="shared" si="75"/>
        <v>#NUM!</v>
      </c>
      <c r="L398" s="75">
        <f t="shared" si="77"/>
        <v>50.926360983134252</v>
      </c>
      <c r="M398" s="4" t="e">
        <f t="shared" si="78"/>
        <v>#NUM!</v>
      </c>
      <c r="N398" s="4" t="e">
        <f t="shared" si="79"/>
        <v>#NUM!</v>
      </c>
      <c r="O398" s="78" t="e">
        <f t="shared" si="76"/>
        <v>#NUM!</v>
      </c>
    </row>
    <row r="399" spans="2:15" x14ac:dyDescent="0.25">
      <c r="B399" s="15">
        <v>396</v>
      </c>
      <c r="C399" s="15">
        <v>1</v>
      </c>
      <c r="D399" s="80">
        <f t="shared" si="69"/>
        <v>2.7269350460914211E+98</v>
      </c>
      <c r="E399" s="80" t="e">
        <f t="shared" si="70"/>
        <v>#NUM!</v>
      </c>
      <c r="F399" s="15">
        <f t="shared" si="71"/>
        <v>1</v>
      </c>
      <c r="G399" s="4" t="e">
        <f t="shared" si="72"/>
        <v>#NUM!</v>
      </c>
      <c r="H399" s="76">
        <v>0.01</v>
      </c>
      <c r="I399" s="15">
        <f t="shared" si="73"/>
        <v>1.01</v>
      </c>
      <c r="J399" s="4">
        <f t="shared" si="74"/>
        <v>2.7269350460914211E+98</v>
      </c>
      <c r="K399" s="24" t="e">
        <f t="shared" si="75"/>
        <v>#NUM!</v>
      </c>
      <c r="L399" s="75">
        <f t="shared" si="77"/>
        <v>51.435624592965596</v>
      </c>
      <c r="M399" s="4" t="e">
        <f t="shared" si="78"/>
        <v>#NUM!</v>
      </c>
      <c r="N399" s="4" t="e">
        <f t="shared" si="79"/>
        <v>#NUM!</v>
      </c>
      <c r="O399" s="78" t="e">
        <f t="shared" si="76"/>
        <v>#NUM!</v>
      </c>
    </row>
    <row r="400" spans="2:15" x14ac:dyDescent="0.25">
      <c r="B400" s="15">
        <v>397</v>
      </c>
      <c r="C400" s="15">
        <v>1</v>
      </c>
      <c r="D400" s="80">
        <f t="shared" si="69"/>
        <v>4.8333665236139535E+98</v>
      </c>
      <c r="E400" s="80" t="e">
        <f t="shared" si="70"/>
        <v>#NUM!</v>
      </c>
      <c r="F400" s="15">
        <f t="shared" si="71"/>
        <v>1</v>
      </c>
      <c r="G400" s="4" t="e">
        <f t="shared" si="72"/>
        <v>#NUM!</v>
      </c>
      <c r="H400" s="76">
        <v>0.01</v>
      </c>
      <c r="I400" s="15">
        <f t="shared" si="73"/>
        <v>1.01</v>
      </c>
      <c r="J400" s="4">
        <f t="shared" si="74"/>
        <v>4.8333665236139535E+98</v>
      </c>
      <c r="K400" s="24" t="e">
        <f t="shared" si="75"/>
        <v>#NUM!</v>
      </c>
      <c r="L400" s="75">
        <f t="shared" si="77"/>
        <v>51.949980838895257</v>
      </c>
      <c r="M400" s="4" t="e">
        <f t="shared" si="78"/>
        <v>#NUM!</v>
      </c>
      <c r="N400" s="4" t="e">
        <f t="shared" si="79"/>
        <v>#NUM!</v>
      </c>
      <c r="O400" s="78" t="e">
        <f t="shared" si="76"/>
        <v>#NUM!</v>
      </c>
    </row>
    <row r="401" spans="2:15" x14ac:dyDescent="0.25">
      <c r="B401" s="15">
        <v>398</v>
      </c>
      <c r="C401" s="15">
        <v>1</v>
      </c>
      <c r="D401" s="80">
        <f t="shared" si="69"/>
        <v>8.5669191076173522E+98</v>
      </c>
      <c r="E401" s="80" t="e">
        <f t="shared" si="70"/>
        <v>#NUM!</v>
      </c>
      <c r="F401" s="15">
        <f t="shared" si="71"/>
        <v>1</v>
      </c>
      <c r="G401" s="4" t="e">
        <f t="shared" si="72"/>
        <v>#NUM!</v>
      </c>
      <c r="H401" s="76">
        <v>0.01</v>
      </c>
      <c r="I401" s="15">
        <f t="shared" si="73"/>
        <v>1.01</v>
      </c>
      <c r="J401" s="4">
        <f t="shared" si="74"/>
        <v>8.5669191076173522E+98</v>
      </c>
      <c r="K401" s="24" t="e">
        <f t="shared" si="75"/>
        <v>#NUM!</v>
      </c>
      <c r="L401" s="75">
        <f t="shared" si="77"/>
        <v>52.469480647284207</v>
      </c>
      <c r="M401" s="4" t="e">
        <f t="shared" si="78"/>
        <v>#NUM!</v>
      </c>
      <c r="N401" s="4" t="e">
        <f t="shared" si="79"/>
        <v>#NUM!</v>
      </c>
      <c r="O401" s="78" t="e">
        <f t="shared" si="76"/>
        <v>#NUM!</v>
      </c>
    </row>
    <row r="402" spans="2:15" x14ac:dyDescent="0.25">
      <c r="B402" s="15">
        <v>399</v>
      </c>
      <c r="C402" s="15">
        <v>1</v>
      </c>
      <c r="D402" s="80">
        <f t="shared" si="69"/>
        <v>1.518446876269266E+99</v>
      </c>
      <c r="E402" s="80" t="e">
        <f t="shared" si="70"/>
        <v>#NUM!</v>
      </c>
      <c r="F402" s="15">
        <f t="shared" si="71"/>
        <v>1</v>
      </c>
      <c r="G402" s="4" t="e">
        <f t="shared" si="72"/>
        <v>#NUM!</v>
      </c>
      <c r="H402" s="76">
        <v>0.01</v>
      </c>
      <c r="I402" s="15">
        <f t="shared" si="73"/>
        <v>1.01</v>
      </c>
      <c r="J402" s="4">
        <f t="shared" si="74"/>
        <v>1.518446876269266E+99</v>
      </c>
      <c r="K402" s="24" t="e">
        <f t="shared" si="75"/>
        <v>#NUM!</v>
      </c>
      <c r="L402" s="75">
        <f t="shared" si="77"/>
        <v>52.994175453757038</v>
      </c>
      <c r="M402" s="4" t="e">
        <f t="shared" si="78"/>
        <v>#NUM!</v>
      </c>
      <c r="N402" s="4" t="e">
        <f t="shared" si="79"/>
        <v>#NUM!</v>
      </c>
      <c r="O402" s="78" t="e">
        <f t="shared" si="76"/>
        <v>#NUM!</v>
      </c>
    </row>
    <row r="403" spans="2:15" x14ac:dyDescent="0.25">
      <c r="B403" s="15">
        <v>400</v>
      </c>
      <c r="C403" s="15">
        <v>1</v>
      </c>
      <c r="D403" s="80">
        <f t="shared" si="69"/>
        <v>2.6913770132388698E+99</v>
      </c>
      <c r="E403" s="80" t="e">
        <f t="shared" si="70"/>
        <v>#NUM!</v>
      </c>
      <c r="F403" s="15">
        <f t="shared" si="71"/>
        <v>1</v>
      </c>
      <c r="G403" s="4" t="e">
        <f t="shared" si="72"/>
        <v>#NUM!</v>
      </c>
      <c r="H403" s="76">
        <v>0.01</v>
      </c>
      <c r="I403" s="15">
        <f t="shared" si="73"/>
        <v>1.01</v>
      </c>
      <c r="J403" s="4">
        <f t="shared" si="74"/>
        <v>2.6913770132388698E+99</v>
      </c>
      <c r="K403" s="24" t="e">
        <f t="shared" si="75"/>
        <v>#NUM!</v>
      </c>
      <c r="L403" s="75">
        <f t="shared" si="77"/>
        <v>53.524117208294626</v>
      </c>
      <c r="M403" s="4" t="e">
        <f t="shared" si="78"/>
        <v>#NUM!</v>
      </c>
      <c r="N403" s="4" t="e">
        <f t="shared" si="79"/>
        <v>#NUM!</v>
      </c>
      <c r="O403" s="78" t="e">
        <f t="shared" si="76"/>
        <v>#NUM!</v>
      </c>
    </row>
    <row r="404" spans="2:15" x14ac:dyDescent="0.25">
      <c r="B404" s="15">
        <v>401</v>
      </c>
      <c r="C404" s="15">
        <v>1</v>
      </c>
      <c r="D404" s="80">
        <f t="shared" si="69"/>
        <v>4.7703415513538312E+99</v>
      </c>
      <c r="E404" s="80" t="e">
        <f t="shared" si="70"/>
        <v>#NUM!</v>
      </c>
      <c r="F404" s="15">
        <f t="shared" si="71"/>
        <v>1</v>
      </c>
      <c r="G404" s="4" t="e">
        <f t="shared" si="72"/>
        <v>#NUM!</v>
      </c>
      <c r="H404" s="76">
        <v>0.01</v>
      </c>
      <c r="I404" s="15">
        <f t="shared" si="73"/>
        <v>1.01</v>
      </c>
      <c r="J404" s="4">
        <f t="shared" si="74"/>
        <v>4.7703415513538312E+99</v>
      </c>
      <c r="K404" s="24" t="e">
        <f t="shared" si="75"/>
        <v>#NUM!</v>
      </c>
      <c r="L404" s="75">
        <f t="shared" si="77"/>
        <v>54.059358380377574</v>
      </c>
      <c r="M404" s="4" t="e">
        <f t="shared" si="78"/>
        <v>#NUM!</v>
      </c>
      <c r="N404" s="4" t="e">
        <f t="shared" si="79"/>
        <v>#NUM!</v>
      </c>
      <c r="O404" s="78" t="e">
        <f t="shared" si="76"/>
        <v>#NUM!</v>
      </c>
    </row>
    <row r="405" spans="2:15" x14ac:dyDescent="0.25">
      <c r="B405" s="15">
        <v>402</v>
      </c>
      <c r="C405" s="15">
        <v>1</v>
      </c>
      <c r="D405" s="80">
        <f t="shared" si="69"/>
        <v>8.455210252831672E+99</v>
      </c>
      <c r="E405" s="80" t="e">
        <f t="shared" si="70"/>
        <v>#NUM!</v>
      </c>
      <c r="F405" s="15">
        <f t="shared" si="71"/>
        <v>1</v>
      </c>
      <c r="G405" s="4" t="e">
        <f t="shared" si="72"/>
        <v>#NUM!</v>
      </c>
      <c r="H405" s="76">
        <v>0.01</v>
      </c>
      <c r="I405" s="15">
        <f t="shared" si="73"/>
        <v>1.01</v>
      </c>
      <c r="J405" s="4">
        <f t="shared" si="74"/>
        <v>8.455210252831672E+99</v>
      </c>
      <c r="K405" s="24" t="e">
        <f t="shared" si="75"/>
        <v>#NUM!</v>
      </c>
      <c r="L405" s="75">
        <f t="shared" si="77"/>
        <v>54.599951964181351</v>
      </c>
      <c r="M405" s="4" t="e">
        <f t="shared" si="78"/>
        <v>#NUM!</v>
      </c>
      <c r="N405" s="4" t="e">
        <f t="shared" si="79"/>
        <v>#NUM!</v>
      </c>
      <c r="O405" s="78" t="e">
        <f t="shared" si="76"/>
        <v>#NUM!</v>
      </c>
    </row>
    <row r="406" spans="2:15" x14ac:dyDescent="0.25">
      <c r="B406" s="15">
        <v>403</v>
      </c>
      <c r="C406" s="15">
        <v>1</v>
      </c>
      <c r="D406" s="80">
        <f t="shared" ref="D406:D469" si="80">PI()^(B406/2)</f>
        <v>1.4986469972847558E+100</v>
      </c>
      <c r="E406" s="80" t="e">
        <f t="shared" ref="E406:E469" si="81">EXP(_xlfn.GAMMALN.PRECISE((B406/2)+1))</f>
        <v>#NUM!</v>
      </c>
      <c r="F406" s="15">
        <f t="shared" ref="F406:F469" si="82">C406^B406</f>
        <v>1</v>
      </c>
      <c r="G406" s="4" t="e">
        <f t="shared" ref="G406:G469" si="83">D406*F406/E406</f>
        <v>#NUM!</v>
      </c>
      <c r="H406" s="76">
        <v>0.01</v>
      </c>
      <c r="I406" s="15">
        <f t="shared" ref="I406:I469" si="84">C406+(H406*C406)</f>
        <v>1.01</v>
      </c>
      <c r="J406" s="4">
        <f t="shared" ref="J406:J469" si="85">PI()^(B406/2)</f>
        <v>1.4986469972847558E+100</v>
      </c>
      <c r="K406" s="24" t="e">
        <f t="shared" ref="K406:K469" si="86">EXP(_xlfn.GAMMALN.PRECISE((B406/2)+1))</f>
        <v>#NUM!</v>
      </c>
      <c r="L406" s="75">
        <f t="shared" ref="L406:L469" si="87">I406^B406</f>
        <v>55.145951483823147</v>
      </c>
      <c r="M406" s="4" t="e">
        <f t="shared" ref="M406:M469" si="88">J406*L406/K406</f>
        <v>#NUM!</v>
      </c>
      <c r="N406" s="4" t="e">
        <f t="shared" ref="N406:N469" si="89">M406-G406</f>
        <v>#NUM!</v>
      </c>
      <c r="O406" s="78" t="e">
        <f t="shared" ref="O406:O469" si="90">N406/M406</f>
        <v>#NUM!</v>
      </c>
    </row>
    <row r="407" spans="2:15" x14ac:dyDescent="0.25">
      <c r="B407" s="15">
        <v>404</v>
      </c>
      <c r="C407" s="15">
        <v>1</v>
      </c>
      <c r="D407" s="80">
        <f t="shared" si="80"/>
        <v>2.6562826414853079E+100</v>
      </c>
      <c r="E407" s="80" t="e">
        <f t="shared" si="81"/>
        <v>#NUM!</v>
      </c>
      <c r="F407" s="15">
        <f t="shared" si="82"/>
        <v>1</v>
      </c>
      <c r="G407" s="4" t="e">
        <f t="shared" si="83"/>
        <v>#NUM!</v>
      </c>
      <c r="H407" s="76">
        <v>0.01</v>
      </c>
      <c r="I407" s="15">
        <f t="shared" si="84"/>
        <v>1.01</v>
      </c>
      <c r="J407" s="4">
        <f t="shared" si="85"/>
        <v>2.6562826414853079E+100</v>
      </c>
      <c r="K407" s="24" t="e">
        <f t="shared" si="86"/>
        <v>#NUM!</v>
      </c>
      <c r="L407" s="75">
        <f t="shared" si="87"/>
        <v>55.69741099866139</v>
      </c>
      <c r="M407" s="4" t="e">
        <f t="shared" si="88"/>
        <v>#NUM!</v>
      </c>
      <c r="N407" s="4" t="e">
        <f t="shared" si="89"/>
        <v>#NUM!</v>
      </c>
      <c r="O407" s="78" t="e">
        <f t="shared" si="90"/>
        <v>#NUM!</v>
      </c>
    </row>
    <row r="408" spans="2:15" x14ac:dyDescent="0.25">
      <c r="B408" s="15">
        <v>405</v>
      </c>
      <c r="C408" s="15">
        <v>1</v>
      </c>
      <c r="D408" s="80">
        <f t="shared" si="80"/>
        <v>4.7081383969941274E+100</v>
      </c>
      <c r="E408" s="80" t="e">
        <f t="shared" si="81"/>
        <v>#NUM!</v>
      </c>
      <c r="F408" s="15">
        <f t="shared" si="82"/>
        <v>1</v>
      </c>
      <c r="G408" s="4" t="e">
        <f t="shared" si="83"/>
        <v>#NUM!</v>
      </c>
      <c r="H408" s="76">
        <v>0.01</v>
      </c>
      <c r="I408" s="15">
        <f t="shared" si="84"/>
        <v>1.01</v>
      </c>
      <c r="J408" s="4">
        <f t="shared" si="85"/>
        <v>4.7081383969941274E+100</v>
      </c>
      <c r="K408" s="24" t="e">
        <f t="shared" si="86"/>
        <v>#NUM!</v>
      </c>
      <c r="L408" s="75">
        <f t="shared" si="87"/>
        <v>56.254385108647995</v>
      </c>
      <c r="M408" s="4" t="e">
        <f t="shared" si="88"/>
        <v>#NUM!</v>
      </c>
      <c r="N408" s="4" t="e">
        <f t="shared" si="89"/>
        <v>#NUM!</v>
      </c>
      <c r="O408" s="78" t="e">
        <f t="shared" si="90"/>
        <v>#NUM!</v>
      </c>
    </row>
    <row r="409" spans="2:15" x14ac:dyDescent="0.25">
      <c r="B409" s="15">
        <v>406</v>
      </c>
      <c r="C409" s="15">
        <v>1</v>
      </c>
      <c r="D409" s="80">
        <f t="shared" si="80"/>
        <v>8.3449580323483356E+100</v>
      </c>
      <c r="E409" s="80" t="e">
        <f t="shared" si="81"/>
        <v>#NUM!</v>
      </c>
      <c r="F409" s="15">
        <f t="shared" si="82"/>
        <v>1</v>
      </c>
      <c r="G409" s="4" t="e">
        <f t="shared" si="83"/>
        <v>#NUM!</v>
      </c>
      <c r="H409" s="76">
        <v>0.01</v>
      </c>
      <c r="I409" s="15">
        <f t="shared" si="84"/>
        <v>1.01</v>
      </c>
      <c r="J409" s="4">
        <f t="shared" si="85"/>
        <v>8.3449580323483356E+100</v>
      </c>
      <c r="K409" s="24" t="e">
        <f t="shared" si="86"/>
        <v>#NUM!</v>
      </c>
      <c r="L409" s="75">
        <f t="shared" si="87"/>
        <v>56.81692895973449</v>
      </c>
      <c r="M409" s="4" t="e">
        <f t="shared" si="88"/>
        <v>#NUM!</v>
      </c>
      <c r="N409" s="4" t="e">
        <f t="shared" si="89"/>
        <v>#NUM!</v>
      </c>
      <c r="O409" s="78" t="e">
        <f t="shared" si="90"/>
        <v>#NUM!</v>
      </c>
    </row>
    <row r="410" spans="2:15" x14ac:dyDescent="0.25">
      <c r="B410" s="15">
        <v>407</v>
      </c>
      <c r="C410" s="15">
        <v>1</v>
      </c>
      <c r="D410" s="80">
        <f t="shared" si="80"/>
        <v>1.4791053000080575E+101</v>
      </c>
      <c r="E410" s="80" t="e">
        <f t="shared" si="81"/>
        <v>#NUM!</v>
      </c>
      <c r="F410" s="15">
        <f t="shared" si="82"/>
        <v>1</v>
      </c>
      <c r="G410" s="4" t="e">
        <f t="shared" si="83"/>
        <v>#NUM!</v>
      </c>
      <c r="H410" s="76">
        <v>0.01</v>
      </c>
      <c r="I410" s="15">
        <f t="shared" si="84"/>
        <v>1.01</v>
      </c>
      <c r="J410" s="4">
        <f t="shared" si="85"/>
        <v>1.4791053000080575E+101</v>
      </c>
      <c r="K410" s="24" t="e">
        <f t="shared" si="86"/>
        <v>#NUM!</v>
      </c>
      <c r="L410" s="75">
        <f t="shared" si="87"/>
        <v>57.385098249331826</v>
      </c>
      <c r="M410" s="4" t="e">
        <f t="shared" si="88"/>
        <v>#NUM!</v>
      </c>
      <c r="N410" s="4" t="e">
        <f t="shared" si="89"/>
        <v>#NUM!</v>
      </c>
      <c r="O410" s="78" t="e">
        <f t="shared" si="90"/>
        <v>#NUM!</v>
      </c>
    </row>
    <row r="411" spans="2:15" x14ac:dyDescent="0.25">
      <c r="B411" s="15">
        <v>408</v>
      </c>
      <c r="C411" s="15">
        <v>1</v>
      </c>
      <c r="D411" s="80">
        <f t="shared" si="80"/>
        <v>2.6216458848940662E+101</v>
      </c>
      <c r="E411" s="80" t="e">
        <f t="shared" si="81"/>
        <v>#NUM!</v>
      </c>
      <c r="F411" s="15">
        <f t="shared" si="82"/>
        <v>1</v>
      </c>
      <c r="G411" s="4" t="e">
        <f t="shared" si="83"/>
        <v>#NUM!</v>
      </c>
      <c r="H411" s="76">
        <v>0.01</v>
      </c>
      <c r="I411" s="15">
        <f t="shared" si="84"/>
        <v>1.01</v>
      </c>
      <c r="J411" s="4">
        <f t="shared" si="85"/>
        <v>2.6216458848940662E+101</v>
      </c>
      <c r="K411" s="24" t="e">
        <f t="shared" si="86"/>
        <v>#NUM!</v>
      </c>
      <c r="L411" s="75">
        <f t="shared" si="87"/>
        <v>57.958949231825159</v>
      </c>
      <c r="M411" s="4" t="e">
        <f t="shared" si="88"/>
        <v>#NUM!</v>
      </c>
      <c r="N411" s="4" t="e">
        <f t="shared" si="89"/>
        <v>#NUM!</v>
      </c>
      <c r="O411" s="78" t="e">
        <f t="shared" si="90"/>
        <v>#NUM!</v>
      </c>
    </row>
    <row r="412" spans="2:15" x14ac:dyDescent="0.25">
      <c r="B412" s="15">
        <v>409</v>
      </c>
      <c r="C412" s="15">
        <v>1</v>
      </c>
      <c r="D412" s="80">
        <f t="shared" si="80"/>
        <v>4.6467463443911099E+101</v>
      </c>
      <c r="E412" s="80" t="e">
        <f t="shared" si="81"/>
        <v>#NUM!</v>
      </c>
      <c r="F412" s="15">
        <f t="shared" si="82"/>
        <v>1</v>
      </c>
      <c r="G412" s="4" t="e">
        <f t="shared" si="83"/>
        <v>#NUM!</v>
      </c>
      <c r="H412" s="76">
        <v>0.01</v>
      </c>
      <c r="I412" s="15">
        <f t="shared" si="84"/>
        <v>1.01</v>
      </c>
      <c r="J412" s="4">
        <f t="shared" si="85"/>
        <v>4.6467463443911099E+101</v>
      </c>
      <c r="K412" s="24" t="e">
        <f t="shared" si="86"/>
        <v>#NUM!</v>
      </c>
      <c r="L412" s="75">
        <f t="shared" si="87"/>
        <v>58.538538724143422</v>
      </c>
      <c r="M412" s="4" t="e">
        <f t="shared" si="88"/>
        <v>#NUM!</v>
      </c>
      <c r="N412" s="4" t="e">
        <f t="shared" si="89"/>
        <v>#NUM!</v>
      </c>
      <c r="O412" s="78" t="e">
        <f t="shared" si="90"/>
        <v>#NUM!</v>
      </c>
    </row>
    <row r="413" spans="2:15" x14ac:dyDescent="0.25">
      <c r="B413" s="15">
        <v>410</v>
      </c>
      <c r="C413" s="15">
        <v>1</v>
      </c>
      <c r="D413" s="80">
        <f t="shared" si="80"/>
        <v>8.2361434522971119E+101</v>
      </c>
      <c r="E413" s="80" t="e">
        <f t="shared" si="81"/>
        <v>#NUM!</v>
      </c>
      <c r="F413" s="15">
        <f t="shared" si="82"/>
        <v>1</v>
      </c>
      <c r="G413" s="4" t="e">
        <f t="shared" si="83"/>
        <v>#NUM!</v>
      </c>
      <c r="H413" s="76">
        <v>0.01</v>
      </c>
      <c r="I413" s="15">
        <f t="shared" si="84"/>
        <v>1.01</v>
      </c>
      <c r="J413" s="4">
        <f t="shared" si="85"/>
        <v>8.2361434522971119E+101</v>
      </c>
      <c r="K413" s="24" t="e">
        <f t="shared" si="86"/>
        <v>#NUM!</v>
      </c>
      <c r="L413" s="75">
        <f t="shared" si="87"/>
        <v>59.123924111384845</v>
      </c>
      <c r="M413" s="4" t="e">
        <f t="shared" si="88"/>
        <v>#NUM!</v>
      </c>
      <c r="N413" s="4" t="e">
        <f t="shared" si="89"/>
        <v>#NUM!</v>
      </c>
      <c r="O413" s="78" t="e">
        <f t="shared" si="90"/>
        <v>#NUM!</v>
      </c>
    </row>
    <row r="414" spans="2:15" x14ac:dyDescent="0.25">
      <c r="B414" s="15">
        <v>411</v>
      </c>
      <c r="C414" s="15">
        <v>1</v>
      </c>
      <c r="D414" s="80">
        <f t="shared" si="80"/>
        <v>1.4598184178634141E+102</v>
      </c>
      <c r="E414" s="80" t="e">
        <f t="shared" si="81"/>
        <v>#NUM!</v>
      </c>
      <c r="F414" s="15">
        <f t="shared" si="82"/>
        <v>1</v>
      </c>
      <c r="G414" s="4" t="e">
        <f t="shared" si="83"/>
        <v>#NUM!</v>
      </c>
      <c r="H414" s="76">
        <v>0.01</v>
      </c>
      <c r="I414" s="15">
        <f t="shared" si="84"/>
        <v>1.01</v>
      </c>
      <c r="J414" s="4">
        <f t="shared" si="85"/>
        <v>1.4598184178634141E+102</v>
      </c>
      <c r="K414" s="24" t="e">
        <f t="shared" si="86"/>
        <v>#NUM!</v>
      </c>
      <c r="L414" s="75">
        <f t="shared" si="87"/>
        <v>59.715163352498678</v>
      </c>
      <c r="M414" s="4" t="e">
        <f t="shared" si="88"/>
        <v>#NUM!</v>
      </c>
      <c r="N414" s="4" t="e">
        <f t="shared" si="89"/>
        <v>#NUM!</v>
      </c>
      <c r="O414" s="78" t="e">
        <f t="shared" si="90"/>
        <v>#NUM!</v>
      </c>
    </row>
    <row r="415" spans="2:15" x14ac:dyDescent="0.25">
      <c r="B415" s="15">
        <v>412</v>
      </c>
      <c r="C415" s="15">
        <v>1</v>
      </c>
      <c r="D415" s="80">
        <f t="shared" si="80"/>
        <v>2.5874607763648277E+102</v>
      </c>
      <c r="E415" s="80" t="e">
        <f t="shared" si="81"/>
        <v>#NUM!</v>
      </c>
      <c r="F415" s="15">
        <f t="shared" si="82"/>
        <v>1</v>
      </c>
      <c r="G415" s="4" t="e">
        <f t="shared" si="83"/>
        <v>#NUM!</v>
      </c>
      <c r="H415" s="76">
        <v>0.01</v>
      </c>
      <c r="I415" s="15">
        <f t="shared" si="84"/>
        <v>1.01</v>
      </c>
      <c r="J415" s="4">
        <f t="shared" si="85"/>
        <v>2.5874607763648277E+102</v>
      </c>
      <c r="K415" s="24" t="e">
        <f t="shared" si="86"/>
        <v>#NUM!</v>
      </c>
      <c r="L415" s="75">
        <f t="shared" si="87"/>
        <v>60.312314986023658</v>
      </c>
      <c r="M415" s="4" t="e">
        <f t="shared" si="88"/>
        <v>#NUM!</v>
      </c>
      <c r="N415" s="4" t="e">
        <f t="shared" si="89"/>
        <v>#NUM!</v>
      </c>
      <c r="O415" s="78" t="e">
        <f t="shared" si="90"/>
        <v>#NUM!</v>
      </c>
    </row>
    <row r="416" spans="2:15" x14ac:dyDescent="0.25">
      <c r="B416" s="15">
        <v>413</v>
      </c>
      <c r="C416" s="15">
        <v>1</v>
      </c>
      <c r="D416" s="80">
        <f t="shared" si="80"/>
        <v>4.5861548171348447E+102</v>
      </c>
      <c r="E416" s="80" t="e">
        <f t="shared" si="81"/>
        <v>#NUM!</v>
      </c>
      <c r="F416" s="15">
        <f t="shared" si="82"/>
        <v>1</v>
      </c>
      <c r="G416" s="4" t="e">
        <f t="shared" si="83"/>
        <v>#NUM!</v>
      </c>
      <c r="H416" s="76">
        <v>0.01</v>
      </c>
      <c r="I416" s="15">
        <f t="shared" si="84"/>
        <v>1.01</v>
      </c>
      <c r="J416" s="4">
        <f t="shared" si="85"/>
        <v>4.5861548171348447E+102</v>
      </c>
      <c r="K416" s="24" t="e">
        <f t="shared" si="86"/>
        <v>#NUM!</v>
      </c>
      <c r="L416" s="75">
        <f t="shared" si="87"/>
        <v>60.91543813588391</v>
      </c>
      <c r="M416" s="4" t="e">
        <f t="shared" si="88"/>
        <v>#NUM!</v>
      </c>
      <c r="N416" s="4" t="e">
        <f t="shared" si="89"/>
        <v>#NUM!</v>
      </c>
      <c r="O416" s="78" t="e">
        <f t="shared" si="90"/>
        <v>#NUM!</v>
      </c>
    </row>
    <row r="417" spans="2:15" x14ac:dyDescent="0.25">
      <c r="B417" s="15">
        <v>414</v>
      </c>
      <c r="C417" s="15">
        <v>1</v>
      </c>
      <c r="D417" s="80">
        <f t="shared" si="80"/>
        <v>8.1287477664794869E+102</v>
      </c>
      <c r="E417" s="80" t="e">
        <f t="shared" si="81"/>
        <v>#NUM!</v>
      </c>
      <c r="F417" s="15">
        <f t="shared" si="82"/>
        <v>1</v>
      </c>
      <c r="G417" s="4" t="e">
        <f t="shared" si="83"/>
        <v>#NUM!</v>
      </c>
      <c r="H417" s="76">
        <v>0.01</v>
      </c>
      <c r="I417" s="15">
        <f t="shared" si="84"/>
        <v>1.01</v>
      </c>
      <c r="J417" s="4">
        <f t="shared" si="85"/>
        <v>8.1287477664794869E+102</v>
      </c>
      <c r="K417" s="24" t="e">
        <f t="shared" si="86"/>
        <v>#NUM!</v>
      </c>
      <c r="L417" s="75">
        <f t="shared" si="87"/>
        <v>61.524592517242759</v>
      </c>
      <c r="M417" s="4" t="e">
        <f t="shared" si="88"/>
        <v>#NUM!</v>
      </c>
      <c r="N417" s="4" t="e">
        <f t="shared" si="89"/>
        <v>#NUM!</v>
      </c>
      <c r="O417" s="78" t="e">
        <f t="shared" si="90"/>
        <v>#NUM!</v>
      </c>
    </row>
    <row r="418" spans="2:15" x14ac:dyDescent="0.25">
      <c r="B418" s="15">
        <v>415</v>
      </c>
      <c r="C418" s="15">
        <v>1</v>
      </c>
      <c r="D418" s="80">
        <f t="shared" si="80"/>
        <v>1.4407830281736075E+103</v>
      </c>
      <c r="E418" s="80" t="e">
        <f t="shared" si="81"/>
        <v>#NUM!</v>
      </c>
      <c r="F418" s="15">
        <f t="shared" si="82"/>
        <v>1</v>
      </c>
      <c r="G418" s="4" t="e">
        <f t="shared" si="83"/>
        <v>#NUM!</v>
      </c>
      <c r="H418" s="76">
        <v>0.01</v>
      </c>
      <c r="I418" s="15">
        <f t="shared" si="84"/>
        <v>1.01</v>
      </c>
      <c r="J418" s="4">
        <f t="shared" si="85"/>
        <v>1.4407830281736075E+103</v>
      </c>
      <c r="K418" s="24" t="e">
        <f t="shared" si="86"/>
        <v>#NUM!</v>
      </c>
      <c r="L418" s="75">
        <f t="shared" si="87"/>
        <v>62.139838442415162</v>
      </c>
      <c r="M418" s="4" t="e">
        <f t="shared" si="88"/>
        <v>#NUM!</v>
      </c>
      <c r="N418" s="4" t="e">
        <f t="shared" si="89"/>
        <v>#NUM!</v>
      </c>
      <c r="O418" s="78" t="e">
        <f t="shared" si="90"/>
        <v>#NUM!</v>
      </c>
    </row>
    <row r="419" spans="2:15" x14ac:dyDescent="0.25">
      <c r="B419" s="15">
        <v>416</v>
      </c>
      <c r="C419" s="15">
        <v>1</v>
      </c>
      <c r="D419" s="80">
        <f t="shared" si="80"/>
        <v>2.5537214266056396E+103</v>
      </c>
      <c r="E419" s="80" t="e">
        <f t="shared" si="81"/>
        <v>#NUM!</v>
      </c>
      <c r="F419" s="15">
        <f t="shared" si="82"/>
        <v>1</v>
      </c>
      <c r="G419" s="4" t="e">
        <f t="shared" si="83"/>
        <v>#NUM!</v>
      </c>
      <c r="H419" s="76">
        <v>0.01</v>
      </c>
      <c r="I419" s="15">
        <f t="shared" si="84"/>
        <v>1.01</v>
      </c>
      <c r="J419" s="4">
        <f t="shared" si="85"/>
        <v>2.5537214266056396E+103</v>
      </c>
      <c r="K419" s="24" t="e">
        <f t="shared" si="86"/>
        <v>#NUM!</v>
      </c>
      <c r="L419" s="75">
        <f t="shared" si="87"/>
        <v>62.761236826839337</v>
      </c>
      <c r="M419" s="4" t="e">
        <f t="shared" si="88"/>
        <v>#NUM!</v>
      </c>
      <c r="N419" s="4" t="e">
        <f t="shared" si="89"/>
        <v>#NUM!</v>
      </c>
      <c r="O419" s="78" t="e">
        <f t="shared" si="90"/>
        <v>#NUM!</v>
      </c>
    </row>
    <row r="420" spans="2:15" x14ac:dyDescent="0.25">
      <c r="B420" s="15">
        <v>417</v>
      </c>
      <c r="C420" s="15">
        <v>1</v>
      </c>
      <c r="D420" s="80">
        <f t="shared" si="80"/>
        <v>4.5263533767271285E+103</v>
      </c>
      <c r="E420" s="80" t="e">
        <f t="shared" si="81"/>
        <v>#NUM!</v>
      </c>
      <c r="F420" s="15">
        <f t="shared" si="82"/>
        <v>1</v>
      </c>
      <c r="G420" s="4" t="e">
        <f t="shared" si="83"/>
        <v>#NUM!</v>
      </c>
      <c r="H420" s="76">
        <v>0.01</v>
      </c>
      <c r="I420" s="15">
        <f t="shared" si="84"/>
        <v>1.01</v>
      </c>
      <c r="J420" s="4">
        <f t="shared" si="85"/>
        <v>4.5263533767271285E+103</v>
      </c>
      <c r="K420" s="24" t="e">
        <f t="shared" si="86"/>
        <v>#NUM!</v>
      </c>
      <c r="L420" s="75">
        <f t="shared" si="87"/>
        <v>63.388849195107724</v>
      </c>
      <c r="M420" s="4" t="e">
        <f t="shared" si="88"/>
        <v>#NUM!</v>
      </c>
      <c r="N420" s="4" t="e">
        <f t="shared" si="89"/>
        <v>#NUM!</v>
      </c>
      <c r="O420" s="78" t="e">
        <f t="shared" si="90"/>
        <v>#NUM!</v>
      </c>
    </row>
    <row r="421" spans="2:15" x14ac:dyDescent="0.25">
      <c r="B421" s="15">
        <v>418</v>
      </c>
      <c r="C421" s="15">
        <v>1</v>
      </c>
      <c r="D421" s="80">
        <f t="shared" si="80"/>
        <v>8.0227524731391218E+103</v>
      </c>
      <c r="E421" s="80" t="e">
        <f t="shared" si="81"/>
        <v>#NUM!</v>
      </c>
      <c r="F421" s="15">
        <f t="shared" si="82"/>
        <v>1</v>
      </c>
      <c r="G421" s="4" t="e">
        <f t="shared" si="83"/>
        <v>#NUM!</v>
      </c>
      <c r="H421" s="76">
        <v>0.01</v>
      </c>
      <c r="I421" s="15">
        <f t="shared" si="84"/>
        <v>1.01</v>
      </c>
      <c r="J421" s="4">
        <f t="shared" si="85"/>
        <v>8.0227524731391218E+103</v>
      </c>
      <c r="K421" s="24" t="e">
        <f t="shared" si="86"/>
        <v>#NUM!</v>
      </c>
      <c r="L421" s="75">
        <f t="shared" si="87"/>
        <v>64.022737687058807</v>
      </c>
      <c r="M421" s="4" t="e">
        <f t="shared" si="88"/>
        <v>#NUM!</v>
      </c>
      <c r="N421" s="4" t="e">
        <f t="shared" si="89"/>
        <v>#NUM!</v>
      </c>
      <c r="O421" s="78" t="e">
        <f t="shared" si="90"/>
        <v>#NUM!</v>
      </c>
    </row>
    <row r="422" spans="2:15" x14ac:dyDescent="0.25">
      <c r="B422" s="15">
        <v>419</v>
      </c>
      <c r="C422" s="15">
        <v>1</v>
      </c>
      <c r="D422" s="80">
        <f t="shared" si="80"/>
        <v>1.4219958515877108E+104</v>
      </c>
      <c r="E422" s="80" t="e">
        <f t="shared" si="81"/>
        <v>#NUM!</v>
      </c>
      <c r="F422" s="15">
        <f t="shared" si="82"/>
        <v>1</v>
      </c>
      <c r="G422" s="4" t="e">
        <f t="shared" si="83"/>
        <v>#NUM!</v>
      </c>
      <c r="H422" s="76">
        <v>0.01</v>
      </c>
      <c r="I422" s="15">
        <f t="shared" si="84"/>
        <v>1.01</v>
      </c>
      <c r="J422" s="4">
        <f t="shared" si="85"/>
        <v>1.4219958515877108E+104</v>
      </c>
      <c r="K422" s="24" t="e">
        <f t="shared" si="86"/>
        <v>#NUM!</v>
      </c>
      <c r="L422" s="75">
        <f t="shared" si="87"/>
        <v>64.662965063929377</v>
      </c>
      <c r="M422" s="4" t="e">
        <f t="shared" si="88"/>
        <v>#NUM!</v>
      </c>
      <c r="N422" s="4" t="e">
        <f t="shared" si="89"/>
        <v>#NUM!</v>
      </c>
      <c r="O422" s="78" t="e">
        <f t="shared" si="90"/>
        <v>#NUM!</v>
      </c>
    </row>
    <row r="423" spans="2:15" x14ac:dyDescent="0.25">
      <c r="B423" s="15">
        <v>420</v>
      </c>
      <c r="C423" s="15">
        <v>1</v>
      </c>
      <c r="D423" s="80">
        <f t="shared" si="80"/>
        <v>2.5204220231183213E+104</v>
      </c>
      <c r="E423" s="80" t="e">
        <f t="shared" si="81"/>
        <v>#NUM!</v>
      </c>
      <c r="F423" s="15">
        <f t="shared" si="82"/>
        <v>1</v>
      </c>
      <c r="G423" s="4" t="e">
        <f t="shared" si="83"/>
        <v>#NUM!</v>
      </c>
      <c r="H423" s="76">
        <v>0.01</v>
      </c>
      <c r="I423" s="15">
        <f t="shared" si="84"/>
        <v>1.01</v>
      </c>
      <c r="J423" s="4">
        <f t="shared" si="85"/>
        <v>2.5204220231183213E+104</v>
      </c>
      <c r="K423" s="24" t="e">
        <f t="shared" si="86"/>
        <v>#NUM!</v>
      </c>
      <c r="L423" s="75">
        <f t="shared" si="87"/>
        <v>65.309594714568689</v>
      </c>
      <c r="M423" s="4" t="e">
        <f t="shared" si="88"/>
        <v>#NUM!</v>
      </c>
      <c r="N423" s="4" t="e">
        <f t="shared" si="89"/>
        <v>#NUM!</v>
      </c>
      <c r="O423" s="78" t="e">
        <f t="shared" si="90"/>
        <v>#NUM!</v>
      </c>
    </row>
    <row r="424" spans="2:15" x14ac:dyDescent="0.25">
      <c r="B424" s="15">
        <v>421</v>
      </c>
      <c r="C424" s="15">
        <v>1</v>
      </c>
      <c r="D424" s="80">
        <f t="shared" si="80"/>
        <v>4.4673317207831805E+104</v>
      </c>
      <c r="E424" s="80" t="e">
        <f t="shared" si="81"/>
        <v>#NUM!</v>
      </c>
      <c r="F424" s="15">
        <f t="shared" si="82"/>
        <v>1</v>
      </c>
      <c r="G424" s="4" t="e">
        <f t="shared" si="83"/>
        <v>#NUM!</v>
      </c>
      <c r="H424" s="76">
        <v>0.01</v>
      </c>
      <c r="I424" s="15">
        <f t="shared" si="84"/>
        <v>1.01</v>
      </c>
      <c r="J424" s="4">
        <f t="shared" si="85"/>
        <v>4.4673317207831805E+104</v>
      </c>
      <c r="K424" s="24" t="e">
        <f t="shared" si="86"/>
        <v>#NUM!</v>
      </c>
      <c r="L424" s="75">
        <f t="shared" si="87"/>
        <v>65.962690661714376</v>
      </c>
      <c r="M424" s="4" t="e">
        <f t="shared" si="88"/>
        <v>#NUM!</v>
      </c>
      <c r="N424" s="4" t="e">
        <f t="shared" si="89"/>
        <v>#NUM!</v>
      </c>
      <c r="O424" s="78" t="e">
        <f t="shared" si="90"/>
        <v>#NUM!</v>
      </c>
    </row>
    <row r="425" spans="2:15" x14ac:dyDescent="0.25">
      <c r="B425" s="15">
        <v>422</v>
      </c>
      <c r="C425" s="15">
        <v>1</v>
      </c>
      <c r="D425" s="80">
        <f t="shared" si="80"/>
        <v>7.9181393117744418E+104</v>
      </c>
      <c r="E425" s="80" t="e">
        <f t="shared" si="81"/>
        <v>#NUM!</v>
      </c>
      <c r="F425" s="15">
        <f t="shared" si="82"/>
        <v>1</v>
      </c>
      <c r="G425" s="4" t="e">
        <f t="shared" si="83"/>
        <v>#NUM!</v>
      </c>
      <c r="H425" s="76">
        <v>0.01</v>
      </c>
      <c r="I425" s="15">
        <f t="shared" si="84"/>
        <v>1.01</v>
      </c>
      <c r="J425" s="4">
        <f t="shared" si="85"/>
        <v>7.9181393117744418E+104</v>
      </c>
      <c r="K425" s="24" t="e">
        <f t="shared" si="86"/>
        <v>#NUM!</v>
      </c>
      <c r="L425" s="75">
        <f t="shared" si="87"/>
        <v>66.622317568331525</v>
      </c>
      <c r="M425" s="4" t="e">
        <f t="shared" si="88"/>
        <v>#NUM!</v>
      </c>
      <c r="N425" s="4" t="e">
        <f t="shared" si="89"/>
        <v>#NUM!</v>
      </c>
      <c r="O425" s="78" t="e">
        <f t="shared" si="90"/>
        <v>#NUM!</v>
      </c>
    </row>
    <row r="426" spans="2:15" x14ac:dyDescent="0.25">
      <c r="B426" s="15">
        <v>423</v>
      </c>
      <c r="C426" s="15">
        <v>1</v>
      </c>
      <c r="D426" s="80">
        <f t="shared" si="80"/>
        <v>1.40345365151609E+105</v>
      </c>
      <c r="E426" s="80" t="e">
        <f t="shared" si="81"/>
        <v>#NUM!</v>
      </c>
      <c r="F426" s="15">
        <f t="shared" si="82"/>
        <v>1</v>
      </c>
      <c r="G426" s="4" t="e">
        <f t="shared" si="83"/>
        <v>#NUM!</v>
      </c>
      <c r="H426" s="76">
        <v>0.01</v>
      </c>
      <c r="I426" s="15">
        <f t="shared" si="84"/>
        <v>1.01</v>
      </c>
      <c r="J426" s="4">
        <f t="shared" si="85"/>
        <v>1.40345365151609E+105</v>
      </c>
      <c r="K426" s="24" t="e">
        <f t="shared" si="86"/>
        <v>#NUM!</v>
      </c>
      <c r="L426" s="75">
        <f t="shared" si="87"/>
        <v>67.288540744014824</v>
      </c>
      <c r="M426" s="4" t="e">
        <f t="shared" si="88"/>
        <v>#NUM!</v>
      </c>
      <c r="N426" s="4" t="e">
        <f t="shared" si="89"/>
        <v>#NUM!</v>
      </c>
      <c r="O426" s="78" t="e">
        <f t="shared" si="90"/>
        <v>#NUM!</v>
      </c>
    </row>
    <row r="427" spans="2:15" x14ac:dyDescent="0.25">
      <c r="B427" s="15">
        <v>424</v>
      </c>
      <c r="C427" s="15">
        <v>1</v>
      </c>
      <c r="D427" s="80">
        <f t="shared" si="80"/>
        <v>2.4875568291971129E+105</v>
      </c>
      <c r="E427" s="80" t="e">
        <f t="shared" si="81"/>
        <v>#NUM!</v>
      </c>
      <c r="F427" s="15">
        <f t="shared" si="82"/>
        <v>1</v>
      </c>
      <c r="G427" s="4" t="e">
        <f t="shared" si="83"/>
        <v>#NUM!</v>
      </c>
      <c r="H427" s="76">
        <v>0.01</v>
      </c>
      <c r="I427" s="15">
        <f t="shared" si="84"/>
        <v>1.01</v>
      </c>
      <c r="J427" s="4">
        <f t="shared" si="85"/>
        <v>2.4875568291971129E+105</v>
      </c>
      <c r="K427" s="24" t="e">
        <f t="shared" si="86"/>
        <v>#NUM!</v>
      </c>
      <c r="L427" s="75">
        <f t="shared" si="87"/>
        <v>67.961426151454987</v>
      </c>
      <c r="M427" s="4" t="e">
        <f t="shared" si="88"/>
        <v>#NUM!</v>
      </c>
      <c r="N427" s="4" t="e">
        <f t="shared" si="89"/>
        <v>#NUM!</v>
      </c>
      <c r="O427" s="78" t="e">
        <f t="shared" si="90"/>
        <v>#NUM!</v>
      </c>
    </row>
    <row r="428" spans="2:15" x14ac:dyDescent="0.25">
      <c r="B428" s="15">
        <v>425</v>
      </c>
      <c r="C428" s="15">
        <v>1</v>
      </c>
      <c r="D428" s="80">
        <f t="shared" si="80"/>
        <v>4.4090796812567837E+105</v>
      </c>
      <c r="E428" s="80" t="e">
        <f t="shared" si="81"/>
        <v>#NUM!</v>
      </c>
      <c r="F428" s="15">
        <f t="shared" si="82"/>
        <v>1</v>
      </c>
      <c r="G428" s="4" t="e">
        <f t="shared" si="83"/>
        <v>#NUM!</v>
      </c>
      <c r="H428" s="76">
        <v>0.01</v>
      </c>
      <c r="I428" s="15">
        <f t="shared" si="84"/>
        <v>1.01</v>
      </c>
      <c r="J428" s="4">
        <f t="shared" si="85"/>
        <v>4.4090796812567837E+105</v>
      </c>
      <c r="K428" s="24" t="e">
        <f t="shared" si="86"/>
        <v>#NUM!</v>
      </c>
      <c r="L428" s="75">
        <f t="shared" si="87"/>
        <v>68.641040412969545</v>
      </c>
      <c r="M428" s="4" t="e">
        <f t="shared" si="88"/>
        <v>#NUM!</v>
      </c>
      <c r="N428" s="4" t="e">
        <f t="shared" si="89"/>
        <v>#NUM!</v>
      </c>
      <c r="O428" s="78" t="e">
        <f t="shared" si="90"/>
        <v>#NUM!</v>
      </c>
    </row>
    <row r="429" spans="2:15" x14ac:dyDescent="0.25">
      <c r="B429" s="15">
        <v>426</v>
      </c>
      <c r="C429" s="15">
        <v>1</v>
      </c>
      <c r="D429" s="80">
        <f t="shared" si="80"/>
        <v>7.8148902599927693E+105</v>
      </c>
      <c r="E429" s="80" t="e">
        <f t="shared" si="81"/>
        <v>#NUM!</v>
      </c>
      <c r="F429" s="15">
        <f t="shared" si="82"/>
        <v>1</v>
      </c>
      <c r="G429" s="4" t="e">
        <f t="shared" si="83"/>
        <v>#NUM!</v>
      </c>
      <c r="H429" s="76">
        <v>0.01</v>
      </c>
      <c r="I429" s="15">
        <f t="shared" si="84"/>
        <v>1.01</v>
      </c>
      <c r="J429" s="4">
        <f t="shared" si="85"/>
        <v>7.8148902599927693E+105</v>
      </c>
      <c r="K429" s="24" t="e">
        <f t="shared" si="86"/>
        <v>#NUM!</v>
      </c>
      <c r="L429" s="75">
        <f t="shared" si="87"/>
        <v>69.327450817099248</v>
      </c>
      <c r="M429" s="4" t="e">
        <f t="shared" si="88"/>
        <v>#NUM!</v>
      </c>
      <c r="N429" s="4" t="e">
        <f t="shared" si="89"/>
        <v>#NUM!</v>
      </c>
      <c r="O429" s="78" t="e">
        <f t="shared" si="90"/>
        <v>#NUM!</v>
      </c>
    </row>
    <row r="430" spans="2:15" x14ac:dyDescent="0.25">
      <c r="B430" s="15">
        <v>427</v>
      </c>
      <c r="C430" s="15">
        <v>1</v>
      </c>
      <c r="D430" s="80">
        <f t="shared" si="80"/>
        <v>1.3851532335728151E+106</v>
      </c>
      <c r="E430" s="80" t="e">
        <f t="shared" si="81"/>
        <v>#NUM!</v>
      </c>
      <c r="F430" s="15">
        <f t="shared" si="82"/>
        <v>1</v>
      </c>
      <c r="G430" s="4" t="e">
        <f t="shared" si="83"/>
        <v>#NUM!</v>
      </c>
      <c r="H430" s="76">
        <v>0.01</v>
      </c>
      <c r="I430" s="15">
        <f t="shared" si="84"/>
        <v>1.01</v>
      </c>
      <c r="J430" s="4">
        <f t="shared" si="85"/>
        <v>1.3851532335728151E+106</v>
      </c>
      <c r="K430" s="24" t="e">
        <f t="shared" si="86"/>
        <v>#NUM!</v>
      </c>
      <c r="L430" s="75">
        <f t="shared" si="87"/>
        <v>70.02072532527022</v>
      </c>
      <c r="M430" s="4" t="e">
        <f t="shared" si="88"/>
        <v>#NUM!</v>
      </c>
      <c r="N430" s="4" t="e">
        <f t="shared" si="89"/>
        <v>#NUM!</v>
      </c>
      <c r="O430" s="78" t="e">
        <f t="shared" si="90"/>
        <v>#NUM!</v>
      </c>
    </row>
    <row r="431" spans="2:15" x14ac:dyDescent="0.25">
      <c r="B431" s="15">
        <v>428</v>
      </c>
      <c r="C431" s="15">
        <v>1</v>
      </c>
      <c r="D431" s="80">
        <f t="shared" si="80"/>
        <v>2.4551201829403714E+106</v>
      </c>
      <c r="E431" s="80" t="e">
        <f t="shared" si="81"/>
        <v>#NUM!</v>
      </c>
      <c r="F431" s="15">
        <f t="shared" si="82"/>
        <v>1</v>
      </c>
      <c r="G431" s="4" t="e">
        <f t="shared" si="83"/>
        <v>#NUM!</v>
      </c>
      <c r="H431" s="76">
        <v>0.01</v>
      </c>
      <c r="I431" s="15">
        <f t="shared" si="84"/>
        <v>1.01</v>
      </c>
      <c r="J431" s="4">
        <f t="shared" si="85"/>
        <v>2.4551201829403714E+106</v>
      </c>
      <c r="K431" s="24" t="e">
        <f t="shared" si="86"/>
        <v>#NUM!</v>
      </c>
      <c r="L431" s="75">
        <f t="shared" si="87"/>
        <v>70.72093257852292</v>
      </c>
      <c r="M431" s="4" t="e">
        <f t="shared" si="88"/>
        <v>#NUM!</v>
      </c>
      <c r="N431" s="4" t="e">
        <f t="shared" si="89"/>
        <v>#NUM!</v>
      </c>
      <c r="O431" s="78" t="e">
        <f t="shared" si="90"/>
        <v>#NUM!</v>
      </c>
    </row>
    <row r="432" spans="2:15" x14ac:dyDescent="0.25">
      <c r="B432" s="15">
        <v>429</v>
      </c>
      <c r="C432" s="15">
        <v>1</v>
      </c>
      <c r="D432" s="80">
        <f t="shared" si="80"/>
        <v>4.3515872226885672E+106</v>
      </c>
      <c r="E432" s="80" t="e">
        <f t="shared" si="81"/>
        <v>#NUM!</v>
      </c>
      <c r="F432" s="15">
        <f t="shared" si="82"/>
        <v>1</v>
      </c>
      <c r="G432" s="4" t="e">
        <f t="shared" si="83"/>
        <v>#NUM!</v>
      </c>
      <c r="H432" s="76">
        <v>0.01</v>
      </c>
      <c r="I432" s="15">
        <f t="shared" si="84"/>
        <v>1.01</v>
      </c>
      <c r="J432" s="4">
        <f t="shared" si="85"/>
        <v>4.3515872226885672E+106</v>
      </c>
      <c r="K432" s="24" t="e">
        <f t="shared" si="86"/>
        <v>#NUM!</v>
      </c>
      <c r="L432" s="75">
        <f t="shared" si="87"/>
        <v>71.428141904308148</v>
      </c>
      <c r="M432" s="4" t="e">
        <f t="shared" si="88"/>
        <v>#NUM!</v>
      </c>
      <c r="N432" s="4" t="e">
        <f t="shared" si="89"/>
        <v>#NUM!</v>
      </c>
      <c r="O432" s="78" t="e">
        <f t="shared" si="90"/>
        <v>#NUM!</v>
      </c>
    </row>
    <row r="433" spans="2:15" x14ac:dyDescent="0.25">
      <c r="B433" s="15">
        <v>430</v>
      </c>
      <c r="C433" s="15">
        <v>1</v>
      </c>
      <c r="D433" s="80">
        <f t="shared" si="80"/>
        <v>7.7129875304054996E+106</v>
      </c>
      <c r="E433" s="80" t="e">
        <f t="shared" si="81"/>
        <v>#NUM!</v>
      </c>
      <c r="F433" s="15">
        <f t="shared" si="82"/>
        <v>1</v>
      </c>
      <c r="G433" s="4" t="e">
        <f t="shared" si="83"/>
        <v>#NUM!</v>
      </c>
      <c r="H433" s="76">
        <v>0.01</v>
      </c>
      <c r="I433" s="15">
        <f t="shared" si="84"/>
        <v>1.01</v>
      </c>
      <c r="J433" s="4">
        <f t="shared" si="85"/>
        <v>7.7129875304054996E+106</v>
      </c>
      <c r="K433" s="24" t="e">
        <f t="shared" si="86"/>
        <v>#NUM!</v>
      </c>
      <c r="L433" s="75">
        <f t="shared" si="87"/>
        <v>72.142423323351252</v>
      </c>
      <c r="M433" s="4" t="e">
        <f t="shared" si="88"/>
        <v>#NUM!</v>
      </c>
      <c r="N433" s="4" t="e">
        <f t="shared" si="89"/>
        <v>#NUM!</v>
      </c>
      <c r="O433" s="78" t="e">
        <f t="shared" si="90"/>
        <v>#NUM!</v>
      </c>
    </row>
    <row r="434" spans="2:15" x14ac:dyDescent="0.25">
      <c r="B434" s="15">
        <v>431</v>
      </c>
      <c r="C434" s="15">
        <v>1</v>
      </c>
      <c r="D434" s="80">
        <f t="shared" si="80"/>
        <v>1.367091445025343E+107</v>
      </c>
      <c r="E434" s="80" t="e">
        <f t="shared" si="81"/>
        <v>#NUM!</v>
      </c>
      <c r="F434" s="15">
        <f t="shared" si="82"/>
        <v>1</v>
      </c>
      <c r="G434" s="4" t="e">
        <f t="shared" si="83"/>
        <v>#NUM!</v>
      </c>
      <c r="H434" s="76">
        <v>0.01</v>
      </c>
      <c r="I434" s="15">
        <f t="shared" si="84"/>
        <v>1.01</v>
      </c>
      <c r="J434" s="4">
        <f t="shared" si="85"/>
        <v>1.367091445025343E+107</v>
      </c>
      <c r="K434" s="24" t="e">
        <f t="shared" si="86"/>
        <v>#NUM!</v>
      </c>
      <c r="L434" s="75">
        <f t="shared" si="87"/>
        <v>72.86384755658473</v>
      </c>
      <c r="M434" s="4" t="e">
        <f t="shared" si="88"/>
        <v>#NUM!</v>
      </c>
      <c r="N434" s="4" t="e">
        <f t="shared" si="89"/>
        <v>#NUM!</v>
      </c>
      <c r="O434" s="78" t="e">
        <f t="shared" si="90"/>
        <v>#NUM!</v>
      </c>
    </row>
    <row r="435" spans="2:15" x14ac:dyDescent="0.25">
      <c r="B435" s="15">
        <v>432</v>
      </c>
      <c r="C435" s="15">
        <v>1</v>
      </c>
      <c r="D435" s="80">
        <f t="shared" si="80"/>
        <v>2.4231064962751599E+107</v>
      </c>
      <c r="E435" s="80" t="e">
        <f t="shared" si="81"/>
        <v>#NUM!</v>
      </c>
      <c r="F435" s="15">
        <f t="shared" si="82"/>
        <v>1</v>
      </c>
      <c r="G435" s="4" t="e">
        <f t="shared" si="83"/>
        <v>#NUM!</v>
      </c>
      <c r="H435" s="76">
        <v>0.01</v>
      </c>
      <c r="I435" s="15">
        <f t="shared" si="84"/>
        <v>1.01</v>
      </c>
      <c r="J435" s="4">
        <f t="shared" si="85"/>
        <v>2.4231064962751599E+107</v>
      </c>
      <c r="K435" s="24" t="e">
        <f t="shared" si="86"/>
        <v>#NUM!</v>
      </c>
      <c r="L435" s="75">
        <f t="shared" si="87"/>
        <v>73.592486032150603</v>
      </c>
      <c r="M435" s="4" t="e">
        <f t="shared" si="88"/>
        <v>#NUM!</v>
      </c>
      <c r="N435" s="4" t="e">
        <f t="shared" si="89"/>
        <v>#NUM!</v>
      </c>
      <c r="O435" s="78" t="e">
        <f t="shared" si="90"/>
        <v>#NUM!</v>
      </c>
    </row>
    <row r="436" spans="2:15" x14ac:dyDescent="0.25">
      <c r="B436" s="15">
        <v>433</v>
      </c>
      <c r="C436" s="15">
        <v>1</v>
      </c>
      <c r="D436" s="80">
        <f t="shared" si="80"/>
        <v>4.294844440477136E+107</v>
      </c>
      <c r="E436" s="80" t="e">
        <f t="shared" si="81"/>
        <v>#NUM!</v>
      </c>
      <c r="F436" s="15">
        <f t="shared" si="82"/>
        <v>1</v>
      </c>
      <c r="G436" s="4" t="e">
        <f t="shared" si="83"/>
        <v>#NUM!</v>
      </c>
      <c r="H436" s="76">
        <v>0.01</v>
      </c>
      <c r="I436" s="15">
        <f t="shared" si="84"/>
        <v>1.01</v>
      </c>
      <c r="J436" s="4">
        <f t="shared" si="85"/>
        <v>4.294844440477136E+107</v>
      </c>
      <c r="K436" s="24" t="e">
        <f t="shared" si="86"/>
        <v>#NUM!</v>
      </c>
      <c r="L436" s="75">
        <f t="shared" si="87"/>
        <v>74.328410892472107</v>
      </c>
      <c r="M436" s="4" t="e">
        <f t="shared" si="88"/>
        <v>#NUM!</v>
      </c>
      <c r="N436" s="4" t="e">
        <f t="shared" si="89"/>
        <v>#NUM!</v>
      </c>
      <c r="O436" s="78" t="e">
        <f t="shared" si="90"/>
        <v>#NUM!</v>
      </c>
    </row>
    <row r="437" spans="2:15" x14ac:dyDescent="0.25">
      <c r="B437" s="15">
        <v>434</v>
      </c>
      <c r="C437" s="15">
        <v>1</v>
      </c>
      <c r="D437" s="80">
        <f t="shared" si="80"/>
        <v>7.6124135675637457E+107</v>
      </c>
      <c r="E437" s="80" t="e">
        <f t="shared" si="81"/>
        <v>#NUM!</v>
      </c>
      <c r="F437" s="15">
        <f t="shared" si="82"/>
        <v>1</v>
      </c>
      <c r="G437" s="4" t="e">
        <f t="shared" si="83"/>
        <v>#NUM!</v>
      </c>
      <c r="H437" s="76">
        <v>0.01</v>
      </c>
      <c r="I437" s="15">
        <f t="shared" si="84"/>
        <v>1.01</v>
      </c>
      <c r="J437" s="4">
        <f t="shared" si="85"/>
        <v>7.6124135675637457E+107</v>
      </c>
      <c r="K437" s="24" t="e">
        <f t="shared" si="86"/>
        <v>#NUM!</v>
      </c>
      <c r="L437" s="75">
        <f t="shared" si="87"/>
        <v>75.071695001396847</v>
      </c>
      <c r="M437" s="4" t="e">
        <f t="shared" si="88"/>
        <v>#NUM!</v>
      </c>
      <c r="N437" s="4" t="e">
        <f t="shared" si="89"/>
        <v>#NUM!</v>
      </c>
      <c r="O437" s="78" t="e">
        <f t="shared" si="90"/>
        <v>#NUM!</v>
      </c>
    </row>
    <row r="438" spans="2:15" x14ac:dyDescent="0.25">
      <c r="B438" s="15">
        <v>435</v>
      </c>
      <c r="C438" s="15">
        <v>1</v>
      </c>
      <c r="D438" s="80">
        <f t="shared" si="80"/>
        <v>1.3492651742513755E+108</v>
      </c>
      <c r="E438" s="80" t="e">
        <f t="shared" si="81"/>
        <v>#NUM!</v>
      </c>
      <c r="F438" s="15">
        <f t="shared" si="82"/>
        <v>1</v>
      </c>
      <c r="G438" s="4" t="e">
        <f t="shared" si="83"/>
        <v>#NUM!</v>
      </c>
      <c r="H438" s="76">
        <v>0.01</v>
      </c>
      <c r="I438" s="15">
        <f t="shared" si="84"/>
        <v>1.01</v>
      </c>
      <c r="J438" s="4">
        <f t="shared" si="85"/>
        <v>1.3492651742513755E+108</v>
      </c>
      <c r="K438" s="24" t="e">
        <f t="shared" si="86"/>
        <v>#NUM!</v>
      </c>
      <c r="L438" s="75">
        <f t="shared" si="87"/>
        <v>75.8224119514108</v>
      </c>
      <c r="M438" s="4" t="e">
        <f t="shared" si="88"/>
        <v>#NUM!</v>
      </c>
      <c r="N438" s="4" t="e">
        <f t="shared" si="89"/>
        <v>#NUM!</v>
      </c>
      <c r="O438" s="78" t="e">
        <f t="shared" si="90"/>
        <v>#NUM!</v>
      </c>
    </row>
    <row r="439" spans="2:15" x14ac:dyDescent="0.25">
      <c r="B439" s="15">
        <v>436</v>
      </c>
      <c r="C439" s="15">
        <v>1</v>
      </c>
      <c r="D439" s="80">
        <f t="shared" si="80"/>
        <v>2.3915102539945535E+108</v>
      </c>
      <c r="E439" s="80" t="e">
        <f t="shared" si="81"/>
        <v>#NUM!</v>
      </c>
      <c r="F439" s="15">
        <f t="shared" si="82"/>
        <v>1</v>
      </c>
      <c r="G439" s="4" t="e">
        <f t="shared" si="83"/>
        <v>#NUM!</v>
      </c>
      <c r="H439" s="76">
        <v>0.01</v>
      </c>
      <c r="I439" s="15">
        <f t="shared" si="84"/>
        <v>1.01</v>
      </c>
      <c r="J439" s="4">
        <f t="shared" si="85"/>
        <v>2.3915102539945535E+108</v>
      </c>
      <c r="K439" s="24" t="e">
        <f t="shared" si="86"/>
        <v>#NUM!</v>
      </c>
      <c r="L439" s="75">
        <f t="shared" si="87"/>
        <v>76.580636070924911</v>
      </c>
      <c r="M439" s="4" t="e">
        <f t="shared" si="88"/>
        <v>#NUM!</v>
      </c>
      <c r="N439" s="4" t="e">
        <f t="shared" si="89"/>
        <v>#NUM!</v>
      </c>
      <c r="O439" s="78" t="e">
        <f t="shared" si="90"/>
        <v>#NUM!</v>
      </c>
    </row>
    <row r="440" spans="2:15" x14ac:dyDescent="0.25">
      <c r="B440" s="15">
        <v>437</v>
      </c>
      <c r="C440" s="15">
        <v>1</v>
      </c>
      <c r="D440" s="80">
        <f t="shared" si="80"/>
        <v>4.2388415591727363E+108</v>
      </c>
      <c r="E440" s="80" t="e">
        <f t="shared" si="81"/>
        <v>#NUM!</v>
      </c>
      <c r="F440" s="15">
        <f t="shared" si="82"/>
        <v>1</v>
      </c>
      <c r="G440" s="4" t="e">
        <f t="shared" si="83"/>
        <v>#NUM!</v>
      </c>
      <c r="H440" s="76">
        <v>0.01</v>
      </c>
      <c r="I440" s="15">
        <f t="shared" si="84"/>
        <v>1.01</v>
      </c>
      <c r="J440" s="4">
        <f t="shared" si="85"/>
        <v>4.2388415591727363E+108</v>
      </c>
      <c r="K440" s="24" t="e">
        <f t="shared" si="86"/>
        <v>#NUM!</v>
      </c>
      <c r="L440" s="75">
        <f t="shared" si="87"/>
        <v>77.346442431634145</v>
      </c>
      <c r="M440" s="4" t="e">
        <f t="shared" si="88"/>
        <v>#NUM!</v>
      </c>
      <c r="N440" s="4" t="e">
        <f t="shared" si="89"/>
        <v>#NUM!</v>
      </c>
      <c r="O440" s="78" t="e">
        <f t="shared" si="90"/>
        <v>#NUM!</v>
      </c>
    </row>
    <row r="441" spans="2:15" x14ac:dyDescent="0.25">
      <c r="B441" s="15">
        <v>438</v>
      </c>
      <c r="C441" s="15">
        <v>1</v>
      </c>
      <c r="D441" s="80">
        <f t="shared" si="80"/>
        <v>7.5131510449339492E+108</v>
      </c>
      <c r="E441" s="80" t="e">
        <f t="shared" si="81"/>
        <v>#NUM!</v>
      </c>
      <c r="F441" s="15">
        <f t="shared" si="82"/>
        <v>1</v>
      </c>
      <c r="G441" s="4" t="e">
        <f t="shared" si="83"/>
        <v>#NUM!</v>
      </c>
      <c r="H441" s="76">
        <v>0.01</v>
      </c>
      <c r="I441" s="15">
        <f t="shared" si="84"/>
        <v>1.01</v>
      </c>
      <c r="J441" s="4">
        <f t="shared" si="85"/>
        <v>7.5131510449339492E+108</v>
      </c>
      <c r="K441" s="24" t="e">
        <f t="shared" si="86"/>
        <v>#NUM!</v>
      </c>
      <c r="L441" s="75">
        <f t="shared" si="87"/>
        <v>78.119906855950504</v>
      </c>
      <c r="M441" s="4" t="e">
        <f t="shared" si="88"/>
        <v>#NUM!</v>
      </c>
      <c r="N441" s="4" t="e">
        <f t="shared" si="89"/>
        <v>#NUM!</v>
      </c>
      <c r="O441" s="78" t="e">
        <f t="shared" si="90"/>
        <v>#NUM!</v>
      </c>
    </row>
    <row r="442" spans="2:15" x14ac:dyDescent="0.25">
      <c r="B442" s="15">
        <v>439</v>
      </c>
      <c r="C442" s="15">
        <v>1</v>
      </c>
      <c r="D442" s="80">
        <f t="shared" si="80"/>
        <v>1.3316713502027991E+109</v>
      </c>
      <c r="E442" s="80" t="e">
        <f t="shared" si="81"/>
        <v>#NUM!</v>
      </c>
      <c r="F442" s="15">
        <f t="shared" si="82"/>
        <v>1</v>
      </c>
      <c r="G442" s="4" t="e">
        <f t="shared" si="83"/>
        <v>#NUM!</v>
      </c>
      <c r="H442" s="76">
        <v>0.01</v>
      </c>
      <c r="I442" s="15">
        <f t="shared" si="84"/>
        <v>1.01</v>
      </c>
      <c r="J442" s="4">
        <f t="shared" si="85"/>
        <v>1.3316713502027991E+109</v>
      </c>
      <c r="K442" s="24" t="e">
        <f t="shared" si="86"/>
        <v>#NUM!</v>
      </c>
      <c r="L442" s="75">
        <f t="shared" si="87"/>
        <v>78.901105924509991</v>
      </c>
      <c r="M442" s="4" t="e">
        <f t="shared" si="88"/>
        <v>#NUM!</v>
      </c>
      <c r="N442" s="4" t="e">
        <f t="shared" si="89"/>
        <v>#NUM!</v>
      </c>
      <c r="O442" s="78" t="e">
        <f t="shared" si="90"/>
        <v>#NUM!</v>
      </c>
    </row>
    <row r="443" spans="2:15" x14ac:dyDescent="0.25">
      <c r="B443" s="15">
        <v>440</v>
      </c>
      <c r="C443" s="15">
        <v>1</v>
      </c>
      <c r="D443" s="80">
        <f t="shared" si="80"/>
        <v>2.360326012807497E+109</v>
      </c>
      <c r="E443" s="80" t="e">
        <f t="shared" si="81"/>
        <v>#NUM!</v>
      </c>
      <c r="F443" s="15">
        <f t="shared" si="82"/>
        <v>1</v>
      </c>
      <c r="G443" s="4" t="e">
        <f t="shared" si="83"/>
        <v>#NUM!</v>
      </c>
      <c r="H443" s="76">
        <v>0.01</v>
      </c>
      <c r="I443" s="15">
        <f t="shared" si="84"/>
        <v>1.01</v>
      </c>
      <c r="J443" s="4">
        <f t="shared" si="85"/>
        <v>2.360326012807497E+109</v>
      </c>
      <c r="K443" s="24" t="e">
        <f t="shared" si="86"/>
        <v>#NUM!</v>
      </c>
      <c r="L443" s="75">
        <f t="shared" si="87"/>
        <v>79.690116983755118</v>
      </c>
      <c r="M443" s="4" t="e">
        <f t="shared" si="88"/>
        <v>#NUM!</v>
      </c>
      <c r="N443" s="4" t="e">
        <f t="shared" si="89"/>
        <v>#NUM!</v>
      </c>
      <c r="O443" s="78" t="e">
        <f t="shared" si="90"/>
        <v>#NUM!</v>
      </c>
    </row>
    <row r="444" spans="2:15" x14ac:dyDescent="0.25">
      <c r="B444" s="15">
        <v>441</v>
      </c>
      <c r="C444" s="15">
        <v>1</v>
      </c>
      <c r="D444" s="80">
        <f t="shared" si="80"/>
        <v>4.1835689307931773E+109</v>
      </c>
      <c r="E444" s="80" t="e">
        <f t="shared" si="81"/>
        <v>#NUM!</v>
      </c>
      <c r="F444" s="15">
        <f t="shared" si="82"/>
        <v>1</v>
      </c>
      <c r="G444" s="4" t="e">
        <f t="shared" si="83"/>
        <v>#NUM!</v>
      </c>
      <c r="H444" s="76">
        <v>0.01</v>
      </c>
      <c r="I444" s="15">
        <f t="shared" si="84"/>
        <v>1.01</v>
      </c>
      <c r="J444" s="4">
        <f t="shared" si="85"/>
        <v>4.1835689307931773E+109</v>
      </c>
      <c r="K444" s="24" t="e">
        <f t="shared" si="86"/>
        <v>#NUM!</v>
      </c>
      <c r="L444" s="75">
        <f t="shared" si="87"/>
        <v>80.487018153592686</v>
      </c>
      <c r="M444" s="4" t="e">
        <f t="shared" si="88"/>
        <v>#NUM!</v>
      </c>
      <c r="N444" s="4" t="e">
        <f t="shared" si="89"/>
        <v>#NUM!</v>
      </c>
      <c r="O444" s="78" t="e">
        <f t="shared" si="90"/>
        <v>#NUM!</v>
      </c>
    </row>
    <row r="445" spans="2:15" x14ac:dyDescent="0.25">
      <c r="B445" s="15">
        <v>442</v>
      </c>
      <c r="C445" s="15">
        <v>1</v>
      </c>
      <c r="D445" s="80">
        <f t="shared" si="80"/>
        <v>7.4151828619129202E+109</v>
      </c>
      <c r="E445" s="80" t="e">
        <f t="shared" si="81"/>
        <v>#NUM!</v>
      </c>
      <c r="F445" s="15">
        <f t="shared" si="82"/>
        <v>1</v>
      </c>
      <c r="G445" s="4" t="e">
        <f t="shared" si="83"/>
        <v>#NUM!</v>
      </c>
      <c r="H445" s="76">
        <v>0.01</v>
      </c>
      <c r="I445" s="15">
        <f t="shared" si="84"/>
        <v>1.01</v>
      </c>
      <c r="J445" s="4">
        <f t="shared" si="85"/>
        <v>7.4151828619129202E+109</v>
      </c>
      <c r="K445" s="24" t="e">
        <f t="shared" si="86"/>
        <v>#NUM!</v>
      </c>
      <c r="L445" s="75">
        <f t="shared" si="87"/>
        <v>81.291888335128604</v>
      </c>
      <c r="M445" s="4" t="e">
        <f t="shared" si="88"/>
        <v>#NUM!</v>
      </c>
      <c r="N445" s="4" t="e">
        <f t="shared" si="89"/>
        <v>#NUM!</v>
      </c>
      <c r="O445" s="78" t="e">
        <f t="shared" si="90"/>
        <v>#NUM!</v>
      </c>
    </row>
    <row r="446" spans="2:15" x14ac:dyDescent="0.25">
      <c r="B446" s="15">
        <v>443</v>
      </c>
      <c r="C446" s="15">
        <v>1</v>
      </c>
      <c r="D446" s="80">
        <f t="shared" si="80"/>
        <v>1.3143069418766173E+110</v>
      </c>
      <c r="E446" s="80" t="e">
        <f t="shared" si="81"/>
        <v>#NUM!</v>
      </c>
      <c r="F446" s="15">
        <f t="shared" si="82"/>
        <v>1</v>
      </c>
      <c r="G446" s="4" t="e">
        <f t="shared" si="83"/>
        <v>#NUM!</v>
      </c>
      <c r="H446" s="76">
        <v>0.01</v>
      </c>
      <c r="I446" s="15">
        <f t="shared" si="84"/>
        <v>1.01</v>
      </c>
      <c r="J446" s="4">
        <f t="shared" si="85"/>
        <v>1.3143069418766173E+110</v>
      </c>
      <c r="K446" s="24" t="e">
        <f t="shared" si="86"/>
        <v>#NUM!</v>
      </c>
      <c r="L446" s="75">
        <f t="shared" si="87"/>
        <v>82.104807218479863</v>
      </c>
      <c r="M446" s="4" t="e">
        <f t="shared" si="88"/>
        <v>#NUM!</v>
      </c>
      <c r="N446" s="4" t="e">
        <f t="shared" si="89"/>
        <v>#NUM!</v>
      </c>
      <c r="O446" s="78" t="e">
        <f t="shared" si="90"/>
        <v>#NUM!</v>
      </c>
    </row>
    <row r="447" spans="2:15" x14ac:dyDescent="0.25">
      <c r="B447" s="15">
        <v>444</v>
      </c>
      <c r="C447" s="15">
        <v>1</v>
      </c>
      <c r="D447" s="80">
        <f t="shared" si="80"/>
        <v>2.3295484004010564E+110</v>
      </c>
      <c r="E447" s="80" t="e">
        <f t="shared" si="81"/>
        <v>#NUM!</v>
      </c>
      <c r="F447" s="15">
        <f t="shared" si="82"/>
        <v>1</v>
      </c>
      <c r="G447" s="4" t="e">
        <f t="shared" si="83"/>
        <v>#NUM!</v>
      </c>
      <c r="H447" s="76">
        <v>0.01</v>
      </c>
      <c r="I447" s="15">
        <f t="shared" si="84"/>
        <v>1.01</v>
      </c>
      <c r="J447" s="4">
        <f t="shared" si="85"/>
        <v>2.3295484004010564E+110</v>
      </c>
      <c r="K447" s="24" t="e">
        <f t="shared" si="86"/>
        <v>#NUM!</v>
      </c>
      <c r="L447" s="75">
        <f t="shared" si="87"/>
        <v>82.925855290664671</v>
      </c>
      <c r="M447" s="4" t="e">
        <f t="shared" si="88"/>
        <v>#NUM!</v>
      </c>
      <c r="N447" s="4" t="e">
        <f t="shared" si="89"/>
        <v>#NUM!</v>
      </c>
      <c r="O447" s="78" t="e">
        <f t="shared" si="90"/>
        <v>#NUM!</v>
      </c>
    </row>
    <row r="448" spans="2:15" x14ac:dyDescent="0.25">
      <c r="B448" s="15">
        <v>445</v>
      </c>
      <c r="C448" s="15">
        <v>1</v>
      </c>
      <c r="D448" s="80">
        <f t="shared" si="80"/>
        <v>4.1290170331617098E+110</v>
      </c>
      <c r="E448" s="80" t="e">
        <f t="shared" si="81"/>
        <v>#NUM!</v>
      </c>
      <c r="F448" s="15">
        <f t="shared" si="82"/>
        <v>1</v>
      </c>
      <c r="G448" s="4" t="e">
        <f t="shared" si="83"/>
        <v>#NUM!</v>
      </c>
      <c r="H448" s="76">
        <v>0.01</v>
      </c>
      <c r="I448" s="15">
        <f t="shared" si="84"/>
        <v>1.01</v>
      </c>
      <c r="J448" s="4">
        <f t="shared" si="85"/>
        <v>4.1290170331617098E+110</v>
      </c>
      <c r="K448" s="24" t="e">
        <f t="shared" si="86"/>
        <v>#NUM!</v>
      </c>
      <c r="L448" s="75">
        <f t="shared" si="87"/>
        <v>83.755113843571309</v>
      </c>
      <c r="M448" s="4" t="e">
        <f t="shared" si="88"/>
        <v>#NUM!</v>
      </c>
      <c r="N448" s="4" t="e">
        <f t="shared" si="89"/>
        <v>#NUM!</v>
      </c>
      <c r="O448" s="78" t="e">
        <f t="shared" si="90"/>
        <v>#NUM!</v>
      </c>
    </row>
    <row r="449" spans="2:15" x14ac:dyDescent="0.25">
      <c r="B449" s="15">
        <v>446</v>
      </c>
      <c r="C449" s="15">
        <v>1</v>
      </c>
      <c r="D449" s="80">
        <f t="shared" si="80"/>
        <v>7.3184921408818144E+110</v>
      </c>
      <c r="E449" s="80" t="e">
        <f t="shared" si="81"/>
        <v>#NUM!</v>
      </c>
      <c r="F449" s="15">
        <f t="shared" si="82"/>
        <v>1</v>
      </c>
      <c r="G449" s="4" t="e">
        <f t="shared" si="83"/>
        <v>#NUM!</v>
      </c>
      <c r="H449" s="76">
        <v>0.01</v>
      </c>
      <c r="I449" s="15">
        <f t="shared" si="84"/>
        <v>1.01</v>
      </c>
      <c r="J449" s="4">
        <f t="shared" si="85"/>
        <v>7.3184921408818144E+110</v>
      </c>
      <c r="K449" s="24" t="e">
        <f t="shared" si="86"/>
        <v>#NUM!</v>
      </c>
      <c r="L449" s="75">
        <f t="shared" si="87"/>
        <v>84.592664982007037</v>
      </c>
      <c r="M449" s="4" t="e">
        <f t="shared" si="88"/>
        <v>#NUM!</v>
      </c>
      <c r="N449" s="4" t="e">
        <f t="shared" si="89"/>
        <v>#NUM!</v>
      </c>
      <c r="O449" s="78" t="e">
        <f t="shared" si="90"/>
        <v>#NUM!</v>
      </c>
    </row>
    <row r="450" spans="2:15" x14ac:dyDescent="0.25">
      <c r="B450" s="15">
        <v>447</v>
      </c>
      <c r="C450" s="15">
        <v>1</v>
      </c>
      <c r="D450" s="80">
        <f t="shared" si="80"/>
        <v>1.2971689577927775E+111</v>
      </c>
      <c r="E450" s="80" t="e">
        <f t="shared" si="81"/>
        <v>#NUM!</v>
      </c>
      <c r="F450" s="15">
        <f t="shared" si="82"/>
        <v>1</v>
      </c>
      <c r="G450" s="4" t="e">
        <f t="shared" si="83"/>
        <v>#NUM!</v>
      </c>
      <c r="H450" s="76">
        <v>0.01</v>
      </c>
      <c r="I450" s="15">
        <f t="shared" si="84"/>
        <v>1.01</v>
      </c>
      <c r="J450" s="4">
        <f t="shared" si="85"/>
        <v>1.2971689577927775E+111</v>
      </c>
      <c r="K450" s="24" t="e">
        <f t="shared" si="86"/>
        <v>#NUM!</v>
      </c>
      <c r="L450" s="75">
        <f t="shared" si="87"/>
        <v>85.438591631827094</v>
      </c>
      <c r="M450" s="4" t="e">
        <f t="shared" si="88"/>
        <v>#NUM!</v>
      </c>
      <c r="N450" s="4" t="e">
        <f t="shared" si="89"/>
        <v>#NUM!</v>
      </c>
      <c r="O450" s="78" t="e">
        <f t="shared" si="90"/>
        <v>#NUM!</v>
      </c>
    </row>
    <row r="451" spans="2:15" x14ac:dyDescent="0.25">
      <c r="B451" s="15">
        <v>448</v>
      </c>
      <c r="C451" s="15">
        <v>1</v>
      </c>
      <c r="D451" s="80">
        <f t="shared" si="80"/>
        <v>2.2991721145148945E+111</v>
      </c>
      <c r="E451" s="80" t="e">
        <f t="shared" si="81"/>
        <v>#NUM!</v>
      </c>
      <c r="F451" s="15">
        <f t="shared" si="82"/>
        <v>1</v>
      </c>
      <c r="G451" s="4" t="e">
        <f t="shared" si="83"/>
        <v>#NUM!</v>
      </c>
      <c r="H451" s="76">
        <v>0.01</v>
      </c>
      <c r="I451" s="15">
        <f t="shared" si="84"/>
        <v>1.01</v>
      </c>
      <c r="J451" s="4">
        <f t="shared" si="85"/>
        <v>2.2991721145148945E+111</v>
      </c>
      <c r="K451" s="24" t="e">
        <f t="shared" si="86"/>
        <v>#NUM!</v>
      </c>
      <c r="L451" s="75">
        <f t="shared" si="87"/>
        <v>86.292977548145373</v>
      </c>
      <c r="M451" s="4" t="e">
        <f t="shared" si="88"/>
        <v>#NUM!</v>
      </c>
      <c r="N451" s="4" t="e">
        <f t="shared" si="89"/>
        <v>#NUM!</v>
      </c>
      <c r="O451" s="78" t="e">
        <f t="shared" si="90"/>
        <v>#NUM!</v>
      </c>
    </row>
    <row r="452" spans="2:15" x14ac:dyDescent="0.25">
      <c r="B452" s="15">
        <v>449</v>
      </c>
      <c r="C452" s="15">
        <v>1</v>
      </c>
      <c r="D452" s="80">
        <f t="shared" si="80"/>
        <v>4.0751764682664632E+111</v>
      </c>
      <c r="E452" s="80" t="e">
        <f t="shared" si="81"/>
        <v>#NUM!</v>
      </c>
      <c r="F452" s="15">
        <f t="shared" si="82"/>
        <v>1</v>
      </c>
      <c r="G452" s="4" t="e">
        <f t="shared" si="83"/>
        <v>#NUM!</v>
      </c>
      <c r="H452" s="76">
        <v>0.01</v>
      </c>
      <c r="I452" s="15">
        <f t="shared" si="84"/>
        <v>1.01</v>
      </c>
      <c r="J452" s="4">
        <f t="shared" si="85"/>
        <v>4.0751764682664632E+111</v>
      </c>
      <c r="K452" s="24" t="e">
        <f t="shared" si="86"/>
        <v>#NUM!</v>
      </c>
      <c r="L452" s="75">
        <f t="shared" si="87"/>
        <v>87.155907323626835</v>
      </c>
      <c r="M452" s="4" t="e">
        <f t="shared" si="88"/>
        <v>#NUM!</v>
      </c>
      <c r="N452" s="4" t="e">
        <f t="shared" si="89"/>
        <v>#NUM!</v>
      </c>
      <c r="O452" s="78" t="e">
        <f t="shared" si="90"/>
        <v>#NUM!</v>
      </c>
    </row>
    <row r="453" spans="2:15" x14ac:dyDescent="0.25">
      <c r="B453" s="15">
        <v>450</v>
      </c>
      <c r="C453" s="15">
        <v>1</v>
      </c>
      <c r="D453" s="80">
        <f t="shared" si="80"/>
        <v>7.2230622242985036E+111</v>
      </c>
      <c r="E453" s="80" t="e">
        <f t="shared" si="81"/>
        <v>#NUM!</v>
      </c>
      <c r="F453" s="15">
        <f t="shared" si="82"/>
        <v>1</v>
      </c>
      <c r="G453" s="4" t="e">
        <f t="shared" si="83"/>
        <v>#NUM!</v>
      </c>
      <c r="H453" s="76">
        <v>0.01</v>
      </c>
      <c r="I453" s="15">
        <f t="shared" si="84"/>
        <v>1.01</v>
      </c>
      <c r="J453" s="4">
        <f t="shared" si="85"/>
        <v>7.2230622242985036E+111</v>
      </c>
      <c r="K453" s="24" t="e">
        <f t="shared" si="86"/>
        <v>#NUM!</v>
      </c>
      <c r="L453" s="75">
        <f t="shared" si="87"/>
        <v>88.027466396863105</v>
      </c>
      <c r="M453" s="4" t="e">
        <f t="shared" si="88"/>
        <v>#NUM!</v>
      </c>
      <c r="N453" s="4" t="e">
        <f t="shared" si="89"/>
        <v>#NUM!</v>
      </c>
      <c r="O453" s="78" t="e">
        <f t="shared" si="90"/>
        <v>#NUM!</v>
      </c>
    </row>
    <row r="454" spans="2:15" x14ac:dyDescent="0.25">
      <c r="B454" s="15">
        <v>451</v>
      </c>
      <c r="C454" s="15">
        <v>1</v>
      </c>
      <c r="D454" s="80">
        <f t="shared" si="80"/>
        <v>1.2802544454788111E+112</v>
      </c>
      <c r="E454" s="80" t="e">
        <f t="shared" si="81"/>
        <v>#NUM!</v>
      </c>
      <c r="F454" s="15">
        <f t="shared" si="82"/>
        <v>1</v>
      </c>
      <c r="G454" s="4" t="e">
        <f t="shared" si="83"/>
        <v>#NUM!</v>
      </c>
      <c r="H454" s="76">
        <v>0.01</v>
      </c>
      <c r="I454" s="15">
        <f t="shared" si="84"/>
        <v>1.01</v>
      </c>
      <c r="J454" s="4">
        <f t="shared" si="85"/>
        <v>1.2802544454788111E+112</v>
      </c>
      <c r="K454" s="24" t="e">
        <f t="shared" si="86"/>
        <v>#NUM!</v>
      </c>
      <c r="L454" s="75">
        <f t="shared" si="87"/>
        <v>88.907741060831725</v>
      </c>
      <c r="M454" s="4" t="e">
        <f t="shared" si="88"/>
        <v>#NUM!</v>
      </c>
      <c r="N454" s="4" t="e">
        <f t="shared" si="89"/>
        <v>#NUM!</v>
      </c>
      <c r="O454" s="78" t="e">
        <f t="shared" si="90"/>
        <v>#NUM!</v>
      </c>
    </row>
    <row r="455" spans="2:15" x14ac:dyDescent="0.25">
      <c r="B455" s="15">
        <v>452</v>
      </c>
      <c r="C455" s="15">
        <v>1</v>
      </c>
      <c r="D455" s="80">
        <f t="shared" si="80"/>
        <v>2.2691919220278128E+112</v>
      </c>
      <c r="E455" s="80" t="e">
        <f t="shared" si="81"/>
        <v>#NUM!</v>
      </c>
      <c r="F455" s="15">
        <f t="shared" si="82"/>
        <v>1</v>
      </c>
      <c r="G455" s="4" t="e">
        <f t="shared" si="83"/>
        <v>#NUM!</v>
      </c>
      <c r="H455" s="76">
        <v>0.01</v>
      </c>
      <c r="I455" s="15">
        <f t="shared" si="84"/>
        <v>1.01</v>
      </c>
      <c r="J455" s="4">
        <f t="shared" si="85"/>
        <v>2.2691919220278128E+112</v>
      </c>
      <c r="K455" s="24" t="e">
        <f t="shared" si="86"/>
        <v>#NUM!</v>
      </c>
      <c r="L455" s="75">
        <f t="shared" si="87"/>
        <v>89.796818471440048</v>
      </c>
      <c r="M455" s="4" t="e">
        <f t="shared" si="88"/>
        <v>#NUM!</v>
      </c>
      <c r="N455" s="4" t="e">
        <f t="shared" si="89"/>
        <v>#NUM!</v>
      </c>
      <c r="O455" s="78" t="e">
        <f t="shared" si="90"/>
        <v>#NUM!</v>
      </c>
    </row>
    <row r="456" spans="2:15" x14ac:dyDescent="0.25">
      <c r="B456" s="15">
        <v>453</v>
      </c>
      <c r="C456" s="15">
        <v>1</v>
      </c>
      <c r="D456" s="80">
        <f t="shared" si="80"/>
        <v>4.0220379606419671E+112</v>
      </c>
      <c r="E456" s="80" t="e">
        <f t="shared" si="81"/>
        <v>#NUM!</v>
      </c>
      <c r="F456" s="15">
        <f t="shared" si="82"/>
        <v>1</v>
      </c>
      <c r="G456" s="4" t="e">
        <f t="shared" si="83"/>
        <v>#NUM!</v>
      </c>
      <c r="H456" s="76">
        <v>0.01</v>
      </c>
      <c r="I456" s="15">
        <f t="shared" si="84"/>
        <v>1.01</v>
      </c>
      <c r="J456" s="4">
        <f t="shared" si="85"/>
        <v>4.0220379606419671E+112</v>
      </c>
      <c r="K456" s="24" t="e">
        <f t="shared" si="86"/>
        <v>#NUM!</v>
      </c>
      <c r="L456" s="75">
        <f t="shared" si="87"/>
        <v>90.694786656154449</v>
      </c>
      <c r="M456" s="4" t="e">
        <f t="shared" si="88"/>
        <v>#NUM!</v>
      </c>
      <c r="N456" s="4" t="e">
        <f t="shared" si="89"/>
        <v>#NUM!</v>
      </c>
      <c r="O456" s="78" t="e">
        <f t="shared" si="90"/>
        <v>#NUM!</v>
      </c>
    </row>
    <row r="457" spans="2:15" x14ac:dyDescent="0.25">
      <c r="B457" s="15">
        <v>454</v>
      </c>
      <c r="C457" s="15">
        <v>1</v>
      </c>
      <c r="D457" s="80">
        <f t="shared" si="80"/>
        <v>7.1288766718278791E+112</v>
      </c>
      <c r="E457" s="80" t="e">
        <f t="shared" si="81"/>
        <v>#NUM!</v>
      </c>
      <c r="F457" s="15">
        <f t="shared" si="82"/>
        <v>1</v>
      </c>
      <c r="G457" s="4" t="e">
        <f t="shared" si="83"/>
        <v>#NUM!</v>
      </c>
      <c r="H457" s="76">
        <v>0.01</v>
      </c>
      <c r="I457" s="15">
        <f t="shared" si="84"/>
        <v>1.01</v>
      </c>
      <c r="J457" s="4">
        <f t="shared" si="85"/>
        <v>7.1288766718278791E+112</v>
      </c>
      <c r="K457" s="24" t="e">
        <f t="shared" si="86"/>
        <v>#NUM!</v>
      </c>
      <c r="L457" s="75">
        <f t="shared" si="87"/>
        <v>91.601734522716015</v>
      </c>
      <c r="M457" s="4" t="e">
        <f t="shared" si="88"/>
        <v>#NUM!</v>
      </c>
      <c r="N457" s="4" t="e">
        <f t="shared" si="89"/>
        <v>#NUM!</v>
      </c>
      <c r="O457" s="78" t="e">
        <f t="shared" si="90"/>
        <v>#NUM!</v>
      </c>
    </row>
    <row r="458" spans="2:15" x14ac:dyDescent="0.25">
      <c r="B458" s="15">
        <v>455</v>
      </c>
      <c r="C458" s="15">
        <v>1</v>
      </c>
      <c r="D458" s="80">
        <f t="shared" si="80"/>
        <v>1.2635604909611547E+113</v>
      </c>
      <c r="E458" s="80" t="e">
        <f t="shared" si="81"/>
        <v>#NUM!</v>
      </c>
      <c r="F458" s="15">
        <f t="shared" si="82"/>
        <v>1</v>
      </c>
      <c r="G458" s="4" t="e">
        <f t="shared" si="83"/>
        <v>#NUM!</v>
      </c>
      <c r="H458" s="76">
        <v>0.01</v>
      </c>
      <c r="I458" s="15">
        <f t="shared" si="84"/>
        <v>1.01</v>
      </c>
      <c r="J458" s="4">
        <f t="shared" si="85"/>
        <v>1.2635604909611547E+113</v>
      </c>
      <c r="K458" s="24" t="e">
        <f t="shared" si="86"/>
        <v>#NUM!</v>
      </c>
      <c r="L458" s="75">
        <f t="shared" si="87"/>
        <v>92.517751867943133</v>
      </c>
      <c r="M458" s="4" t="e">
        <f t="shared" si="88"/>
        <v>#NUM!</v>
      </c>
      <c r="N458" s="4" t="e">
        <f t="shared" si="89"/>
        <v>#NUM!</v>
      </c>
      <c r="O458" s="78" t="e">
        <f t="shared" si="90"/>
        <v>#NUM!</v>
      </c>
    </row>
    <row r="459" spans="2:15" x14ac:dyDescent="0.25">
      <c r="B459" s="15">
        <v>456</v>
      </c>
      <c r="C459" s="15">
        <v>1</v>
      </c>
      <c r="D459" s="80">
        <f t="shared" si="80"/>
        <v>2.2396026580562124E+113</v>
      </c>
      <c r="E459" s="80" t="e">
        <f t="shared" si="81"/>
        <v>#NUM!</v>
      </c>
      <c r="F459" s="15">
        <f t="shared" si="82"/>
        <v>1</v>
      </c>
      <c r="G459" s="4" t="e">
        <f t="shared" si="83"/>
        <v>#NUM!</v>
      </c>
      <c r="H459" s="76">
        <v>0.01</v>
      </c>
      <c r="I459" s="15">
        <f t="shared" si="84"/>
        <v>1.01</v>
      </c>
      <c r="J459" s="4">
        <f t="shared" si="85"/>
        <v>2.2396026580562124E+113</v>
      </c>
      <c r="K459" s="24" t="e">
        <f t="shared" si="86"/>
        <v>#NUM!</v>
      </c>
      <c r="L459" s="75">
        <f t="shared" si="87"/>
        <v>93.442929386622595</v>
      </c>
      <c r="M459" s="4" t="e">
        <f t="shared" si="88"/>
        <v>#NUM!</v>
      </c>
      <c r="N459" s="4" t="e">
        <f t="shared" si="89"/>
        <v>#NUM!</v>
      </c>
      <c r="O459" s="78" t="e">
        <f t="shared" si="90"/>
        <v>#NUM!</v>
      </c>
    </row>
    <row r="460" spans="2:15" x14ac:dyDescent="0.25">
      <c r="B460" s="15">
        <v>457</v>
      </c>
      <c r="C460" s="15">
        <v>1</v>
      </c>
      <c r="D460" s="80">
        <f t="shared" si="80"/>
        <v>3.9695923557699349E+113</v>
      </c>
      <c r="E460" s="80" t="e">
        <f t="shared" si="81"/>
        <v>#NUM!</v>
      </c>
      <c r="F460" s="15">
        <f t="shared" si="82"/>
        <v>1</v>
      </c>
      <c r="G460" s="4" t="e">
        <f t="shared" si="83"/>
        <v>#NUM!</v>
      </c>
      <c r="H460" s="76">
        <v>0.01</v>
      </c>
      <c r="I460" s="15">
        <f t="shared" si="84"/>
        <v>1.01</v>
      </c>
      <c r="J460" s="4">
        <f t="shared" si="85"/>
        <v>3.9695923557699349E+113</v>
      </c>
      <c r="K460" s="24" t="e">
        <f t="shared" si="86"/>
        <v>#NUM!</v>
      </c>
      <c r="L460" s="75">
        <f t="shared" si="87"/>
        <v>94.377358680488825</v>
      </c>
      <c r="M460" s="4" t="e">
        <f t="shared" si="88"/>
        <v>#NUM!</v>
      </c>
      <c r="N460" s="4" t="e">
        <f t="shared" si="89"/>
        <v>#NUM!</v>
      </c>
      <c r="O460" s="78" t="e">
        <f t="shared" si="90"/>
        <v>#NUM!</v>
      </c>
    </row>
    <row r="461" spans="2:15" x14ac:dyDescent="0.25">
      <c r="B461" s="15">
        <v>458</v>
      </c>
      <c r="C461" s="15">
        <v>1</v>
      </c>
      <c r="D461" s="80">
        <f t="shared" si="80"/>
        <v>7.0359192575095698E+113</v>
      </c>
      <c r="E461" s="80" t="e">
        <f t="shared" si="81"/>
        <v>#NUM!</v>
      </c>
      <c r="F461" s="15">
        <f t="shared" si="82"/>
        <v>1</v>
      </c>
      <c r="G461" s="4" t="e">
        <f t="shared" si="83"/>
        <v>#NUM!</v>
      </c>
      <c r="H461" s="76">
        <v>0.01</v>
      </c>
      <c r="I461" s="15">
        <f t="shared" si="84"/>
        <v>1.01</v>
      </c>
      <c r="J461" s="4">
        <f t="shared" si="85"/>
        <v>7.0359192575095698E+113</v>
      </c>
      <c r="K461" s="24" t="e">
        <f t="shared" si="86"/>
        <v>#NUM!</v>
      </c>
      <c r="L461" s="75">
        <f t="shared" si="87"/>
        <v>95.321132267293706</v>
      </c>
      <c r="M461" s="4" t="e">
        <f t="shared" si="88"/>
        <v>#NUM!</v>
      </c>
      <c r="N461" s="4" t="e">
        <f t="shared" si="89"/>
        <v>#NUM!</v>
      </c>
      <c r="O461" s="78" t="e">
        <f t="shared" si="90"/>
        <v>#NUM!</v>
      </c>
    </row>
    <row r="462" spans="2:15" x14ac:dyDescent="0.25">
      <c r="B462" s="15">
        <v>459</v>
      </c>
      <c r="C462" s="15">
        <v>1</v>
      </c>
      <c r="D462" s="80">
        <f t="shared" si="80"/>
        <v>1.2470842182633215E+114</v>
      </c>
      <c r="E462" s="80" t="e">
        <f t="shared" si="81"/>
        <v>#NUM!</v>
      </c>
      <c r="F462" s="15">
        <f t="shared" si="82"/>
        <v>1</v>
      </c>
      <c r="G462" s="4" t="e">
        <f t="shared" si="83"/>
        <v>#NUM!</v>
      </c>
      <c r="H462" s="76">
        <v>0.01</v>
      </c>
      <c r="I462" s="15">
        <f t="shared" si="84"/>
        <v>1.01</v>
      </c>
      <c r="J462" s="4">
        <f t="shared" si="85"/>
        <v>1.2470842182633215E+114</v>
      </c>
      <c r="K462" s="24" t="e">
        <f t="shared" si="86"/>
        <v>#NUM!</v>
      </c>
      <c r="L462" s="75">
        <f t="shared" si="87"/>
        <v>96.274343589966634</v>
      </c>
      <c r="M462" s="4" t="e">
        <f t="shared" si="88"/>
        <v>#NUM!</v>
      </c>
      <c r="N462" s="4" t="e">
        <f t="shared" si="89"/>
        <v>#NUM!</v>
      </c>
      <c r="O462" s="78" t="e">
        <f t="shared" si="90"/>
        <v>#NUM!</v>
      </c>
    </row>
    <row r="463" spans="2:15" x14ac:dyDescent="0.25">
      <c r="B463" s="15">
        <v>460</v>
      </c>
      <c r="C463" s="15">
        <v>1</v>
      </c>
      <c r="D463" s="80">
        <f t="shared" si="80"/>
        <v>2.2103992250643015E+114</v>
      </c>
      <c r="E463" s="80" t="e">
        <f t="shared" si="81"/>
        <v>#NUM!</v>
      </c>
      <c r="F463" s="15">
        <f t="shared" si="82"/>
        <v>1</v>
      </c>
      <c r="G463" s="4" t="e">
        <f t="shared" si="83"/>
        <v>#NUM!</v>
      </c>
      <c r="H463" s="76">
        <v>0.01</v>
      </c>
      <c r="I463" s="15">
        <f t="shared" si="84"/>
        <v>1.01</v>
      </c>
      <c r="J463" s="4">
        <f t="shared" si="85"/>
        <v>2.2103992250643015E+114</v>
      </c>
      <c r="K463" s="24" t="e">
        <f t="shared" si="86"/>
        <v>#NUM!</v>
      </c>
      <c r="L463" s="75">
        <f t="shared" si="87"/>
        <v>97.237087025866302</v>
      </c>
      <c r="M463" s="4" t="e">
        <f t="shared" si="88"/>
        <v>#NUM!</v>
      </c>
      <c r="N463" s="4" t="e">
        <f t="shared" si="89"/>
        <v>#NUM!</v>
      </c>
      <c r="O463" s="78" t="e">
        <f t="shared" si="90"/>
        <v>#NUM!</v>
      </c>
    </row>
    <row r="464" spans="2:15" x14ac:dyDescent="0.25">
      <c r="B464" s="15">
        <v>461</v>
      </c>
      <c r="C464" s="15">
        <v>1</v>
      </c>
      <c r="D464" s="80">
        <f t="shared" si="80"/>
        <v>3.9178306185038791E+114</v>
      </c>
      <c r="E464" s="80" t="e">
        <f t="shared" si="81"/>
        <v>#NUM!</v>
      </c>
      <c r="F464" s="15">
        <f t="shared" si="82"/>
        <v>1</v>
      </c>
      <c r="G464" s="4" t="e">
        <f t="shared" si="83"/>
        <v>#NUM!</v>
      </c>
      <c r="H464" s="76">
        <v>0.01</v>
      </c>
      <c r="I464" s="15">
        <f t="shared" si="84"/>
        <v>1.01</v>
      </c>
      <c r="J464" s="4">
        <f t="shared" si="85"/>
        <v>3.9178306185038791E+114</v>
      </c>
      <c r="K464" s="24" t="e">
        <f t="shared" si="86"/>
        <v>#NUM!</v>
      </c>
      <c r="L464" s="75">
        <f t="shared" si="87"/>
        <v>98.20945789612496</v>
      </c>
      <c r="M464" s="4" t="e">
        <f t="shared" si="88"/>
        <v>#NUM!</v>
      </c>
      <c r="N464" s="4" t="e">
        <f t="shared" si="89"/>
        <v>#NUM!</v>
      </c>
      <c r="O464" s="78" t="e">
        <f t="shared" si="90"/>
        <v>#NUM!</v>
      </c>
    </row>
    <row r="465" spans="2:15" x14ac:dyDescent="0.25">
      <c r="B465" s="15">
        <v>462</v>
      </c>
      <c r="C465" s="15">
        <v>1</v>
      </c>
      <c r="D465" s="80">
        <f t="shared" si="80"/>
        <v>6.9441739669625812E+114</v>
      </c>
      <c r="E465" s="80" t="e">
        <f t="shared" si="81"/>
        <v>#NUM!</v>
      </c>
      <c r="F465" s="15">
        <f t="shared" si="82"/>
        <v>1</v>
      </c>
      <c r="G465" s="4" t="e">
        <f t="shared" si="83"/>
        <v>#NUM!</v>
      </c>
      <c r="H465" s="76">
        <v>0.01</v>
      </c>
      <c r="I465" s="15">
        <f t="shared" si="84"/>
        <v>1.01</v>
      </c>
      <c r="J465" s="4">
        <f t="shared" si="85"/>
        <v>6.9441739669625812E+114</v>
      </c>
      <c r="K465" s="24" t="e">
        <f t="shared" si="86"/>
        <v>#NUM!</v>
      </c>
      <c r="L465" s="75">
        <f t="shared" si="87"/>
        <v>99.191552475086226</v>
      </c>
      <c r="M465" s="4" t="e">
        <f t="shared" si="88"/>
        <v>#NUM!</v>
      </c>
      <c r="N465" s="4" t="e">
        <f t="shared" si="89"/>
        <v>#NUM!</v>
      </c>
      <c r="O465" s="78" t="e">
        <f t="shared" si="90"/>
        <v>#NUM!</v>
      </c>
    </row>
    <row r="466" spans="2:15" x14ac:dyDescent="0.25">
      <c r="B466" s="15">
        <v>463</v>
      </c>
      <c r="C466" s="15">
        <v>1</v>
      </c>
      <c r="D466" s="80">
        <f t="shared" si="80"/>
        <v>1.2308227889100426E+115</v>
      </c>
      <c r="E466" s="80" t="e">
        <f t="shared" si="81"/>
        <v>#NUM!</v>
      </c>
      <c r="F466" s="15">
        <f t="shared" si="82"/>
        <v>1</v>
      </c>
      <c r="G466" s="4" t="e">
        <f t="shared" si="83"/>
        <v>#NUM!</v>
      </c>
      <c r="H466" s="76">
        <v>0.01</v>
      </c>
      <c r="I466" s="15">
        <f t="shared" si="84"/>
        <v>1.01</v>
      </c>
      <c r="J466" s="4">
        <f t="shared" si="85"/>
        <v>1.2308227889100426E+115</v>
      </c>
      <c r="K466" s="24" t="e">
        <f t="shared" si="86"/>
        <v>#NUM!</v>
      </c>
      <c r="L466" s="75">
        <f t="shared" si="87"/>
        <v>100.18346799983706</v>
      </c>
      <c r="M466" s="4" t="e">
        <f t="shared" si="88"/>
        <v>#NUM!</v>
      </c>
      <c r="N466" s="4" t="e">
        <f t="shared" si="89"/>
        <v>#NUM!</v>
      </c>
      <c r="O466" s="78" t="e">
        <f t="shared" si="90"/>
        <v>#NUM!</v>
      </c>
    </row>
    <row r="467" spans="2:15" x14ac:dyDescent="0.25">
      <c r="B467" s="15">
        <v>464</v>
      </c>
      <c r="C467" s="15">
        <v>1</v>
      </c>
      <c r="D467" s="80">
        <f t="shared" si="80"/>
        <v>2.1815765919859137E+115</v>
      </c>
      <c r="E467" s="80" t="e">
        <f t="shared" si="81"/>
        <v>#NUM!</v>
      </c>
      <c r="F467" s="15">
        <f t="shared" si="82"/>
        <v>1</v>
      </c>
      <c r="G467" s="4" t="e">
        <f t="shared" si="83"/>
        <v>#NUM!</v>
      </c>
      <c r="H467" s="76">
        <v>0.01</v>
      </c>
      <c r="I467" s="15">
        <f t="shared" si="84"/>
        <v>1.01</v>
      </c>
      <c r="J467" s="4">
        <f t="shared" si="85"/>
        <v>2.1815765919859137E+115</v>
      </c>
      <c r="K467" s="24" t="e">
        <f t="shared" si="86"/>
        <v>#NUM!</v>
      </c>
      <c r="L467" s="75">
        <f t="shared" si="87"/>
        <v>101.18530267983547</v>
      </c>
      <c r="M467" s="4" t="e">
        <f t="shared" si="88"/>
        <v>#NUM!</v>
      </c>
      <c r="N467" s="4" t="e">
        <f t="shared" si="89"/>
        <v>#NUM!</v>
      </c>
      <c r="O467" s="78" t="e">
        <f t="shared" si="90"/>
        <v>#NUM!</v>
      </c>
    </row>
    <row r="468" spans="2:15" x14ac:dyDescent="0.25">
      <c r="B468" s="15">
        <v>465</v>
      </c>
      <c r="C468" s="15">
        <v>1</v>
      </c>
      <c r="D468" s="80">
        <f t="shared" si="80"/>
        <v>3.866743831510748E+115</v>
      </c>
      <c r="E468" s="80" t="e">
        <f t="shared" si="81"/>
        <v>#NUM!</v>
      </c>
      <c r="F468" s="15">
        <f t="shared" si="82"/>
        <v>1</v>
      </c>
      <c r="G468" s="4" t="e">
        <f t="shared" si="83"/>
        <v>#NUM!</v>
      </c>
      <c r="H468" s="76">
        <v>0.01</v>
      </c>
      <c r="I468" s="15">
        <f t="shared" si="84"/>
        <v>1.01</v>
      </c>
      <c r="J468" s="4">
        <f t="shared" si="85"/>
        <v>3.866743831510748E+115</v>
      </c>
      <c r="K468" s="24" t="e">
        <f t="shared" si="86"/>
        <v>#NUM!</v>
      </c>
      <c r="L468" s="75">
        <f t="shared" si="87"/>
        <v>102.19715570663382</v>
      </c>
      <c r="M468" s="4" t="e">
        <f t="shared" si="88"/>
        <v>#NUM!</v>
      </c>
      <c r="N468" s="4" t="e">
        <f t="shared" si="89"/>
        <v>#NUM!</v>
      </c>
      <c r="O468" s="78" t="e">
        <f t="shared" si="90"/>
        <v>#NUM!</v>
      </c>
    </row>
    <row r="469" spans="2:15" x14ac:dyDescent="0.25">
      <c r="B469" s="15">
        <v>466</v>
      </c>
      <c r="C469" s="15">
        <v>1</v>
      </c>
      <c r="D469" s="80">
        <f t="shared" si="80"/>
        <v>6.8536249946264045E+115</v>
      </c>
      <c r="E469" s="80" t="e">
        <f t="shared" si="81"/>
        <v>#NUM!</v>
      </c>
      <c r="F469" s="15">
        <f t="shared" si="82"/>
        <v>1</v>
      </c>
      <c r="G469" s="4" t="e">
        <f t="shared" si="83"/>
        <v>#NUM!</v>
      </c>
      <c r="H469" s="76">
        <v>0.01</v>
      </c>
      <c r="I469" s="15">
        <f t="shared" si="84"/>
        <v>1.01</v>
      </c>
      <c r="J469" s="4">
        <f t="shared" si="85"/>
        <v>6.8536249946264045E+115</v>
      </c>
      <c r="K469" s="24" t="e">
        <f t="shared" si="86"/>
        <v>#NUM!</v>
      </c>
      <c r="L469" s="75">
        <f t="shared" si="87"/>
        <v>103.21912726370019</v>
      </c>
      <c r="M469" s="4" t="e">
        <f t="shared" si="88"/>
        <v>#NUM!</v>
      </c>
      <c r="N469" s="4" t="e">
        <f t="shared" si="89"/>
        <v>#NUM!</v>
      </c>
      <c r="O469" s="78" t="e">
        <f t="shared" si="90"/>
        <v>#NUM!</v>
      </c>
    </row>
    <row r="470" spans="2:15" x14ac:dyDescent="0.25">
      <c r="B470" s="15">
        <v>467</v>
      </c>
      <c r="C470" s="15">
        <v>1</v>
      </c>
      <c r="D470" s="80">
        <f t="shared" ref="D470:D533" si="91">PI()^(B470/2)</f>
        <v>1.2147734014387995E+116</v>
      </c>
      <c r="E470" s="80" t="e">
        <f t="shared" ref="E470:E533" si="92">EXP(_xlfn.GAMMALN.PRECISE((B470/2)+1))</f>
        <v>#NUM!</v>
      </c>
      <c r="F470" s="15">
        <f t="shared" ref="F470:F533" si="93">C470^B470</f>
        <v>1</v>
      </c>
      <c r="G470" s="4" t="e">
        <f t="shared" ref="G470:G533" si="94">D470*F470/E470</f>
        <v>#NUM!</v>
      </c>
      <c r="H470" s="76">
        <v>0.01</v>
      </c>
      <c r="I470" s="15">
        <f t="shared" ref="I470:I533" si="95">C470+(H470*C470)</f>
        <v>1.01</v>
      </c>
      <c r="J470" s="4">
        <f t="shared" ref="J470:J533" si="96">PI()^(B470/2)</f>
        <v>1.2147734014387995E+116</v>
      </c>
      <c r="K470" s="24" t="e">
        <f t="shared" ref="K470:K533" si="97">EXP(_xlfn.GAMMALN.PRECISE((B470/2)+1))</f>
        <v>#NUM!</v>
      </c>
      <c r="L470" s="75">
        <f t="shared" ref="L470:L533" si="98">I470^B470</f>
        <v>104.25131853633715</v>
      </c>
      <c r="M470" s="4" t="e">
        <f t="shared" ref="M470:M533" si="99">J470*L470/K470</f>
        <v>#NUM!</v>
      </c>
      <c r="N470" s="4" t="e">
        <f t="shared" ref="N470:N533" si="100">M470-G470</f>
        <v>#NUM!</v>
      </c>
      <c r="O470" s="78" t="e">
        <f t="shared" ref="O470:O533" si="101">N470/M470</f>
        <v>#NUM!</v>
      </c>
    </row>
    <row r="471" spans="2:15" x14ac:dyDescent="0.25">
      <c r="B471" s="15">
        <v>468</v>
      </c>
      <c r="C471" s="15">
        <v>1</v>
      </c>
      <c r="D471" s="80">
        <f t="shared" si="91"/>
        <v>2.1531297933577699E+116</v>
      </c>
      <c r="E471" s="80" t="e">
        <f t="shared" si="92"/>
        <v>#NUM!</v>
      </c>
      <c r="F471" s="15">
        <f t="shared" si="93"/>
        <v>1</v>
      </c>
      <c r="G471" s="4" t="e">
        <f t="shared" si="94"/>
        <v>#NUM!</v>
      </c>
      <c r="H471" s="76">
        <v>0.01</v>
      </c>
      <c r="I471" s="15">
        <f t="shared" si="95"/>
        <v>1.01</v>
      </c>
      <c r="J471" s="4">
        <f t="shared" si="96"/>
        <v>2.1531297933577699E+116</v>
      </c>
      <c r="K471" s="24" t="e">
        <f t="shared" si="97"/>
        <v>#NUM!</v>
      </c>
      <c r="L471" s="75">
        <f t="shared" si="98"/>
        <v>105.29383172170056</v>
      </c>
      <c r="M471" s="4" t="e">
        <f t="shared" si="99"/>
        <v>#NUM!</v>
      </c>
      <c r="N471" s="4" t="e">
        <f t="shared" si="100"/>
        <v>#NUM!</v>
      </c>
      <c r="O471" s="78" t="e">
        <f t="shared" si="101"/>
        <v>#NUM!</v>
      </c>
    </row>
    <row r="472" spans="2:15" x14ac:dyDescent="0.25">
      <c r="B472" s="15">
        <v>469</v>
      </c>
      <c r="C472" s="15">
        <v>1</v>
      </c>
      <c r="D472" s="80">
        <f t="shared" si="91"/>
        <v>3.8163231937364742E+116</v>
      </c>
      <c r="E472" s="80" t="e">
        <f t="shared" si="92"/>
        <v>#NUM!</v>
      </c>
      <c r="F472" s="15">
        <f t="shared" si="93"/>
        <v>1</v>
      </c>
      <c r="G472" s="4" t="e">
        <f t="shared" si="94"/>
        <v>#NUM!</v>
      </c>
      <c r="H472" s="76">
        <v>0.01</v>
      </c>
      <c r="I472" s="15">
        <f t="shared" si="95"/>
        <v>1.01</v>
      </c>
      <c r="J472" s="4">
        <f t="shared" si="96"/>
        <v>3.8163231937364742E+116</v>
      </c>
      <c r="K472" s="24" t="e">
        <f t="shared" si="97"/>
        <v>#NUM!</v>
      </c>
      <c r="L472" s="75">
        <f t="shared" si="98"/>
        <v>106.34677003891751</v>
      </c>
      <c r="M472" s="4" t="e">
        <f t="shared" si="99"/>
        <v>#NUM!</v>
      </c>
      <c r="N472" s="4" t="e">
        <f t="shared" si="100"/>
        <v>#NUM!</v>
      </c>
      <c r="O472" s="78" t="e">
        <f t="shared" si="101"/>
        <v>#NUM!</v>
      </c>
    </row>
    <row r="473" spans="2:15" x14ac:dyDescent="0.25">
      <c r="B473" s="15">
        <v>470</v>
      </c>
      <c r="C473" s="15">
        <v>1</v>
      </c>
      <c r="D473" s="80">
        <f t="shared" si="91"/>
        <v>6.7642567410380795E+116</v>
      </c>
      <c r="E473" s="80" t="e">
        <f t="shared" si="92"/>
        <v>#NUM!</v>
      </c>
      <c r="F473" s="15">
        <f t="shared" si="93"/>
        <v>1</v>
      </c>
      <c r="G473" s="4" t="e">
        <f t="shared" si="94"/>
        <v>#NUM!</v>
      </c>
      <c r="H473" s="76">
        <v>0.01</v>
      </c>
      <c r="I473" s="15">
        <f t="shared" si="95"/>
        <v>1.01</v>
      </c>
      <c r="J473" s="4">
        <f t="shared" si="96"/>
        <v>6.7642567410380795E+116</v>
      </c>
      <c r="K473" s="24" t="e">
        <f t="shared" si="97"/>
        <v>#NUM!</v>
      </c>
      <c r="L473" s="75">
        <f t="shared" si="98"/>
        <v>107.41023773930674</v>
      </c>
      <c r="M473" s="4" t="e">
        <f t="shared" si="99"/>
        <v>#NUM!</v>
      </c>
      <c r="N473" s="4" t="e">
        <f t="shared" si="100"/>
        <v>#NUM!</v>
      </c>
      <c r="O473" s="78" t="e">
        <f t="shared" si="101"/>
        <v>#NUM!</v>
      </c>
    </row>
    <row r="474" spans="2:15" x14ac:dyDescent="0.25">
      <c r="B474" s="15">
        <v>471</v>
      </c>
      <c r="C474" s="15">
        <v>1</v>
      </c>
      <c r="D474" s="80">
        <f t="shared" si="91"/>
        <v>1.1989332909166341E+117</v>
      </c>
      <c r="E474" s="80" t="e">
        <f t="shared" si="92"/>
        <v>#NUM!</v>
      </c>
      <c r="F474" s="15">
        <f t="shared" si="93"/>
        <v>1</v>
      </c>
      <c r="G474" s="4" t="e">
        <f t="shared" si="94"/>
        <v>#NUM!</v>
      </c>
      <c r="H474" s="76">
        <v>0.01</v>
      </c>
      <c r="I474" s="15">
        <f t="shared" si="95"/>
        <v>1.01</v>
      </c>
      <c r="J474" s="4">
        <f t="shared" si="96"/>
        <v>1.1989332909166341E+117</v>
      </c>
      <c r="K474" s="24" t="e">
        <f t="shared" si="97"/>
        <v>#NUM!</v>
      </c>
      <c r="L474" s="75">
        <f t="shared" si="98"/>
        <v>108.48434011669977</v>
      </c>
      <c r="M474" s="4" t="e">
        <f t="shared" si="99"/>
        <v>#NUM!</v>
      </c>
      <c r="N474" s="4" t="e">
        <f t="shared" si="100"/>
        <v>#NUM!</v>
      </c>
      <c r="O474" s="78" t="e">
        <f t="shared" si="101"/>
        <v>#NUM!</v>
      </c>
    </row>
    <row r="475" spans="2:15" x14ac:dyDescent="0.25">
      <c r="B475" s="15">
        <v>472</v>
      </c>
      <c r="C475" s="15">
        <v>1</v>
      </c>
      <c r="D475" s="80">
        <f t="shared" si="91"/>
        <v>2.1250539284640465E+117</v>
      </c>
      <c r="E475" s="80" t="e">
        <f t="shared" si="92"/>
        <v>#NUM!</v>
      </c>
      <c r="F475" s="15">
        <f t="shared" si="93"/>
        <v>1</v>
      </c>
      <c r="G475" s="4" t="e">
        <f t="shared" si="94"/>
        <v>#NUM!</v>
      </c>
      <c r="H475" s="76">
        <v>0.01</v>
      </c>
      <c r="I475" s="15">
        <f t="shared" si="95"/>
        <v>1.01</v>
      </c>
      <c r="J475" s="4">
        <f t="shared" si="96"/>
        <v>2.1250539284640465E+117</v>
      </c>
      <c r="K475" s="24" t="e">
        <f t="shared" si="97"/>
        <v>#NUM!</v>
      </c>
      <c r="L475" s="75">
        <f t="shared" si="98"/>
        <v>109.56918351786679</v>
      </c>
      <c r="M475" s="4" t="e">
        <f t="shared" si="99"/>
        <v>#NUM!</v>
      </c>
      <c r="N475" s="4" t="e">
        <f t="shared" si="100"/>
        <v>#NUM!</v>
      </c>
      <c r="O475" s="78" t="e">
        <f t="shared" si="101"/>
        <v>#NUM!</v>
      </c>
    </row>
    <row r="476" spans="2:15" x14ac:dyDescent="0.25">
      <c r="B476" s="15">
        <v>473</v>
      </c>
      <c r="C476" s="15">
        <v>1</v>
      </c>
      <c r="D476" s="80">
        <f t="shared" si="91"/>
        <v>3.7665600188879881E+117</v>
      </c>
      <c r="E476" s="80" t="e">
        <f t="shared" si="92"/>
        <v>#NUM!</v>
      </c>
      <c r="F476" s="15">
        <f t="shared" si="93"/>
        <v>1</v>
      </c>
      <c r="G476" s="4" t="e">
        <f t="shared" si="94"/>
        <v>#NUM!</v>
      </c>
      <c r="H476" s="76">
        <v>0.01</v>
      </c>
      <c r="I476" s="15">
        <f t="shared" si="95"/>
        <v>1.01</v>
      </c>
      <c r="J476" s="4">
        <f t="shared" si="96"/>
        <v>3.7665600188879881E+117</v>
      </c>
      <c r="K476" s="24" t="e">
        <f t="shared" si="97"/>
        <v>#NUM!</v>
      </c>
      <c r="L476" s="75">
        <f t="shared" si="98"/>
        <v>110.66487535304549</v>
      </c>
      <c r="M476" s="4" t="e">
        <f t="shared" si="99"/>
        <v>#NUM!</v>
      </c>
      <c r="N476" s="4" t="e">
        <f t="shared" si="100"/>
        <v>#NUM!</v>
      </c>
      <c r="O476" s="78" t="e">
        <f t="shared" si="101"/>
        <v>#NUM!</v>
      </c>
    </row>
    <row r="477" spans="2:15" x14ac:dyDescent="0.25">
      <c r="B477" s="15">
        <v>474</v>
      </c>
      <c r="C477" s="15">
        <v>1</v>
      </c>
      <c r="D477" s="80">
        <f t="shared" si="91"/>
        <v>6.6760538101447779E+117</v>
      </c>
      <c r="E477" s="80" t="e">
        <f t="shared" si="92"/>
        <v>#NUM!</v>
      </c>
      <c r="F477" s="15">
        <f t="shared" si="93"/>
        <v>1</v>
      </c>
      <c r="G477" s="4" t="e">
        <f t="shared" si="94"/>
        <v>#NUM!</v>
      </c>
      <c r="H477" s="76">
        <v>0.01</v>
      </c>
      <c r="I477" s="15">
        <f t="shared" si="95"/>
        <v>1.01</v>
      </c>
      <c r="J477" s="4">
        <f t="shared" si="96"/>
        <v>6.6760538101447779E+117</v>
      </c>
      <c r="K477" s="24" t="e">
        <f t="shared" si="97"/>
        <v>#NUM!</v>
      </c>
      <c r="L477" s="75">
        <f t="shared" si="98"/>
        <v>111.77152410657595</v>
      </c>
      <c r="M477" s="4" t="e">
        <f t="shared" si="99"/>
        <v>#NUM!</v>
      </c>
      <c r="N477" s="4" t="e">
        <f t="shared" si="100"/>
        <v>#NUM!</v>
      </c>
      <c r="O477" s="78" t="e">
        <f t="shared" si="101"/>
        <v>#NUM!</v>
      </c>
    </row>
    <row r="478" spans="2:15" x14ac:dyDescent="0.25">
      <c r="B478" s="15">
        <v>475</v>
      </c>
      <c r="C478" s="15">
        <v>1</v>
      </c>
      <c r="D478" s="80">
        <f t="shared" si="91"/>
        <v>1.1832997284643712E+118</v>
      </c>
      <c r="E478" s="80" t="e">
        <f t="shared" si="92"/>
        <v>#NUM!</v>
      </c>
      <c r="F478" s="15">
        <f t="shared" si="93"/>
        <v>1</v>
      </c>
      <c r="G478" s="4" t="e">
        <f t="shared" si="94"/>
        <v>#NUM!</v>
      </c>
      <c r="H478" s="76">
        <v>0.01</v>
      </c>
      <c r="I478" s="15">
        <f t="shared" si="95"/>
        <v>1.01</v>
      </c>
      <c r="J478" s="4">
        <f t="shared" si="96"/>
        <v>1.1832997284643712E+118</v>
      </c>
      <c r="K478" s="24" t="e">
        <f t="shared" si="97"/>
        <v>#NUM!</v>
      </c>
      <c r="L478" s="75">
        <f t="shared" si="98"/>
        <v>112.88923934764168</v>
      </c>
      <c r="M478" s="4" t="e">
        <f t="shared" si="99"/>
        <v>#NUM!</v>
      </c>
      <c r="N478" s="4" t="e">
        <f t="shared" si="100"/>
        <v>#NUM!</v>
      </c>
      <c r="O478" s="78" t="e">
        <f t="shared" si="101"/>
        <v>#NUM!</v>
      </c>
    </row>
    <row r="479" spans="2:15" x14ac:dyDescent="0.25">
      <c r="B479" s="15">
        <v>476</v>
      </c>
      <c r="C479" s="15">
        <v>1</v>
      </c>
      <c r="D479" s="80">
        <f t="shared" si="91"/>
        <v>2.0973441604920984E+118</v>
      </c>
      <c r="E479" s="80" t="e">
        <f t="shared" si="92"/>
        <v>#NUM!</v>
      </c>
      <c r="F479" s="15">
        <f t="shared" si="93"/>
        <v>1</v>
      </c>
      <c r="G479" s="4" t="e">
        <f t="shared" si="94"/>
        <v>#NUM!</v>
      </c>
      <c r="H479" s="76">
        <v>0.01</v>
      </c>
      <c r="I479" s="15">
        <f t="shared" si="95"/>
        <v>1.01</v>
      </c>
      <c r="J479" s="4">
        <f t="shared" si="96"/>
        <v>2.0973441604920984E+118</v>
      </c>
      <c r="K479" s="24" t="e">
        <f t="shared" si="97"/>
        <v>#NUM!</v>
      </c>
      <c r="L479" s="75">
        <f t="shared" si="98"/>
        <v>114.01813174111808</v>
      </c>
      <c r="M479" s="4" t="e">
        <f t="shared" si="99"/>
        <v>#NUM!</v>
      </c>
      <c r="N479" s="4" t="e">
        <f t="shared" si="100"/>
        <v>#NUM!</v>
      </c>
      <c r="O479" s="78" t="e">
        <f t="shared" si="101"/>
        <v>#NUM!</v>
      </c>
    </row>
    <row r="480" spans="2:15" x14ac:dyDescent="0.25">
      <c r="B480" s="15">
        <v>477</v>
      </c>
      <c r="C480" s="15">
        <v>1</v>
      </c>
      <c r="D480" s="80">
        <f t="shared" si="91"/>
        <v>3.7174457339385211E+118</v>
      </c>
      <c r="E480" s="80" t="e">
        <f t="shared" si="92"/>
        <v>#NUM!</v>
      </c>
      <c r="F480" s="15">
        <f t="shared" si="93"/>
        <v>1</v>
      </c>
      <c r="G480" s="4" t="e">
        <f t="shared" si="94"/>
        <v>#NUM!</v>
      </c>
      <c r="H480" s="76">
        <v>0.01</v>
      </c>
      <c r="I480" s="15">
        <f t="shared" si="95"/>
        <v>1.01</v>
      </c>
      <c r="J480" s="4">
        <f t="shared" si="96"/>
        <v>3.7174457339385211E+118</v>
      </c>
      <c r="K480" s="24" t="e">
        <f t="shared" si="97"/>
        <v>#NUM!</v>
      </c>
      <c r="L480" s="75">
        <f t="shared" si="98"/>
        <v>115.15831305852926</v>
      </c>
      <c r="M480" s="4" t="e">
        <f t="shared" si="99"/>
        <v>#NUM!</v>
      </c>
      <c r="N480" s="4" t="e">
        <f t="shared" si="100"/>
        <v>#NUM!</v>
      </c>
      <c r="O480" s="78" t="e">
        <f t="shared" si="101"/>
        <v>#NUM!</v>
      </c>
    </row>
    <row r="481" spans="2:15" x14ac:dyDescent="0.25">
      <c r="B481" s="15">
        <v>478</v>
      </c>
      <c r="C481" s="15">
        <v>1</v>
      </c>
      <c r="D481" s="80">
        <f t="shared" si="91"/>
        <v>6.589001006651428E+118</v>
      </c>
      <c r="E481" s="80" t="e">
        <f t="shared" si="92"/>
        <v>#NUM!</v>
      </c>
      <c r="F481" s="15">
        <f t="shared" si="93"/>
        <v>1</v>
      </c>
      <c r="G481" s="4" t="e">
        <f t="shared" si="94"/>
        <v>#NUM!</v>
      </c>
      <c r="H481" s="76">
        <v>0.01</v>
      </c>
      <c r="I481" s="15">
        <f t="shared" si="95"/>
        <v>1.01</v>
      </c>
      <c r="J481" s="4">
        <f t="shared" si="96"/>
        <v>6.589001006651428E+118</v>
      </c>
      <c r="K481" s="24" t="e">
        <f t="shared" si="97"/>
        <v>#NUM!</v>
      </c>
      <c r="L481" s="75">
        <f t="shared" si="98"/>
        <v>116.30989618911458</v>
      </c>
      <c r="M481" s="4" t="e">
        <f t="shared" si="99"/>
        <v>#NUM!</v>
      </c>
      <c r="N481" s="4" t="e">
        <f t="shared" si="100"/>
        <v>#NUM!</v>
      </c>
      <c r="O481" s="78" t="e">
        <f t="shared" si="101"/>
        <v>#NUM!</v>
      </c>
    </row>
    <row r="482" spans="2:15" x14ac:dyDescent="0.25">
      <c r="B482" s="15">
        <v>479</v>
      </c>
      <c r="C482" s="15">
        <v>1</v>
      </c>
      <c r="D482" s="80">
        <f t="shared" si="91"/>
        <v>1.1678700207859486E+119</v>
      </c>
      <c r="E482" s="80" t="e">
        <f t="shared" si="92"/>
        <v>#NUM!</v>
      </c>
      <c r="F482" s="15">
        <f t="shared" si="93"/>
        <v>1</v>
      </c>
      <c r="G482" s="4" t="e">
        <f t="shared" si="94"/>
        <v>#NUM!</v>
      </c>
      <c r="H482" s="76">
        <v>0.01</v>
      </c>
      <c r="I482" s="15">
        <f t="shared" si="95"/>
        <v>1.01</v>
      </c>
      <c r="J482" s="4">
        <f t="shared" si="96"/>
        <v>1.1678700207859486E+119</v>
      </c>
      <c r="K482" s="24" t="e">
        <f t="shared" si="97"/>
        <v>#NUM!</v>
      </c>
      <c r="L482" s="75">
        <f t="shared" si="98"/>
        <v>117.47299515100569</v>
      </c>
      <c r="M482" s="4" t="e">
        <f t="shared" si="99"/>
        <v>#NUM!</v>
      </c>
      <c r="N482" s="4" t="e">
        <f t="shared" si="100"/>
        <v>#NUM!</v>
      </c>
      <c r="O482" s="78" t="e">
        <f t="shared" si="101"/>
        <v>#NUM!</v>
      </c>
    </row>
    <row r="483" spans="2:15" x14ac:dyDescent="0.25">
      <c r="B483" s="15">
        <v>480</v>
      </c>
      <c r="C483" s="15">
        <v>1</v>
      </c>
      <c r="D483" s="80">
        <f t="shared" si="91"/>
        <v>2.0699957156991876E+119</v>
      </c>
      <c r="E483" s="80" t="e">
        <f t="shared" si="92"/>
        <v>#NUM!</v>
      </c>
      <c r="F483" s="15">
        <f t="shared" si="93"/>
        <v>1</v>
      </c>
      <c r="G483" s="4" t="e">
        <f t="shared" si="94"/>
        <v>#NUM!</v>
      </c>
      <c r="H483" s="76">
        <v>0.01</v>
      </c>
      <c r="I483" s="15">
        <f t="shared" si="95"/>
        <v>1.01</v>
      </c>
      <c r="J483" s="4">
        <f t="shared" si="96"/>
        <v>2.0699957156991876E+119</v>
      </c>
      <c r="K483" s="24" t="e">
        <f t="shared" si="97"/>
        <v>#NUM!</v>
      </c>
      <c r="L483" s="75">
        <f t="shared" si="98"/>
        <v>118.64772510251578</v>
      </c>
      <c r="M483" s="4" t="e">
        <f t="shared" si="99"/>
        <v>#NUM!</v>
      </c>
      <c r="N483" s="4" t="e">
        <f t="shared" si="100"/>
        <v>#NUM!</v>
      </c>
      <c r="O483" s="78" t="e">
        <f t="shared" si="101"/>
        <v>#NUM!</v>
      </c>
    </row>
    <row r="484" spans="2:15" x14ac:dyDescent="0.25">
      <c r="B484" s="15">
        <v>481</v>
      </c>
      <c r="C484" s="15">
        <v>1</v>
      </c>
      <c r="D484" s="80">
        <f t="shared" si="91"/>
        <v>3.6689718776489497E+119</v>
      </c>
      <c r="E484" s="80" t="e">
        <f t="shared" si="92"/>
        <v>#NUM!</v>
      </c>
      <c r="F484" s="15">
        <f t="shared" si="93"/>
        <v>1</v>
      </c>
      <c r="G484" s="4" t="e">
        <f t="shared" si="94"/>
        <v>#NUM!</v>
      </c>
      <c r="H484" s="76">
        <v>0.01</v>
      </c>
      <c r="I484" s="15">
        <f t="shared" si="95"/>
        <v>1.01</v>
      </c>
      <c r="J484" s="4">
        <f t="shared" si="96"/>
        <v>3.6689718776489497E+119</v>
      </c>
      <c r="K484" s="24" t="e">
        <f t="shared" si="97"/>
        <v>#NUM!</v>
      </c>
      <c r="L484" s="75">
        <f t="shared" si="98"/>
        <v>119.83420235354095</v>
      </c>
      <c r="M484" s="4" t="e">
        <f t="shared" si="99"/>
        <v>#NUM!</v>
      </c>
      <c r="N484" s="4" t="e">
        <f t="shared" si="100"/>
        <v>#NUM!</v>
      </c>
      <c r="O484" s="78" t="e">
        <f t="shared" si="101"/>
        <v>#NUM!</v>
      </c>
    </row>
    <row r="485" spans="2:15" x14ac:dyDescent="0.25">
      <c r="B485" s="15">
        <v>482</v>
      </c>
      <c r="C485" s="15">
        <v>1</v>
      </c>
      <c r="D485" s="80">
        <f t="shared" si="91"/>
        <v>6.503083333402913E+119</v>
      </c>
      <c r="E485" s="80" t="e">
        <f t="shared" si="92"/>
        <v>#NUM!</v>
      </c>
      <c r="F485" s="15">
        <f t="shared" si="93"/>
        <v>1</v>
      </c>
      <c r="G485" s="4" t="e">
        <f t="shared" si="94"/>
        <v>#NUM!</v>
      </c>
      <c r="H485" s="76">
        <v>0.01</v>
      </c>
      <c r="I485" s="15">
        <f t="shared" si="95"/>
        <v>1.01</v>
      </c>
      <c r="J485" s="4">
        <f t="shared" si="96"/>
        <v>6.503083333402913E+119</v>
      </c>
      <c r="K485" s="24" t="e">
        <f t="shared" si="97"/>
        <v>#NUM!</v>
      </c>
      <c r="L485" s="75">
        <f t="shared" si="98"/>
        <v>121.03254437707633</v>
      </c>
      <c r="M485" s="4" t="e">
        <f t="shared" si="99"/>
        <v>#NUM!</v>
      </c>
      <c r="N485" s="4" t="e">
        <f t="shared" si="100"/>
        <v>#NUM!</v>
      </c>
      <c r="O485" s="78" t="e">
        <f t="shared" si="101"/>
        <v>#NUM!</v>
      </c>
    </row>
    <row r="486" spans="2:15" x14ac:dyDescent="0.25">
      <c r="B486" s="15">
        <v>483</v>
      </c>
      <c r="C486" s="15">
        <v>1</v>
      </c>
      <c r="D486" s="80">
        <f t="shared" si="91"/>
        <v>1.152641509704966E+120</v>
      </c>
      <c r="E486" s="80" t="e">
        <f t="shared" si="92"/>
        <v>#NUM!</v>
      </c>
      <c r="F486" s="15">
        <f t="shared" si="93"/>
        <v>1</v>
      </c>
      <c r="G486" s="4" t="e">
        <f t="shared" si="94"/>
        <v>#NUM!</v>
      </c>
      <c r="H486" s="76">
        <v>0.01</v>
      </c>
      <c r="I486" s="15">
        <f t="shared" si="95"/>
        <v>1.01</v>
      </c>
      <c r="J486" s="4">
        <f t="shared" si="96"/>
        <v>1.152641509704966E+120</v>
      </c>
      <c r="K486" s="24" t="e">
        <f t="shared" si="97"/>
        <v>#NUM!</v>
      </c>
      <c r="L486" s="75">
        <f t="shared" si="98"/>
        <v>122.24286982084709</v>
      </c>
      <c r="M486" s="4" t="e">
        <f t="shared" si="99"/>
        <v>#NUM!</v>
      </c>
      <c r="N486" s="4" t="e">
        <f t="shared" si="100"/>
        <v>#NUM!</v>
      </c>
      <c r="O486" s="78" t="e">
        <f t="shared" si="101"/>
        <v>#NUM!</v>
      </c>
    </row>
    <row r="487" spans="2:15" x14ac:dyDescent="0.25">
      <c r="B487" s="15">
        <v>484</v>
      </c>
      <c r="C487" s="15">
        <v>1</v>
      </c>
      <c r="D487" s="80">
        <f t="shared" si="91"/>
        <v>2.0430038825900821E+120</v>
      </c>
      <c r="E487" s="80" t="e">
        <f t="shared" si="92"/>
        <v>#NUM!</v>
      </c>
      <c r="F487" s="15">
        <f t="shared" si="93"/>
        <v>1</v>
      </c>
      <c r="G487" s="4" t="e">
        <f t="shared" si="94"/>
        <v>#NUM!</v>
      </c>
      <c r="H487" s="76">
        <v>0.01</v>
      </c>
      <c r="I487" s="15">
        <f t="shared" si="95"/>
        <v>1.01</v>
      </c>
      <c r="J487" s="4">
        <f t="shared" si="96"/>
        <v>2.0430038825900821E+120</v>
      </c>
      <c r="K487" s="24" t="e">
        <f t="shared" si="97"/>
        <v>#NUM!</v>
      </c>
      <c r="L487" s="75">
        <f t="shared" si="98"/>
        <v>123.46529851905557</v>
      </c>
      <c r="M487" s="4" t="e">
        <f t="shared" si="99"/>
        <v>#NUM!</v>
      </c>
      <c r="N487" s="4" t="e">
        <f t="shared" si="100"/>
        <v>#NUM!</v>
      </c>
      <c r="O487" s="78" t="e">
        <f t="shared" si="101"/>
        <v>#NUM!</v>
      </c>
    </row>
    <row r="488" spans="2:15" x14ac:dyDescent="0.25">
      <c r="B488" s="15">
        <v>485</v>
      </c>
      <c r="C488" s="15">
        <v>1</v>
      </c>
      <c r="D488" s="80">
        <f t="shared" si="91"/>
        <v>3.6211300991118234E+120</v>
      </c>
      <c r="E488" s="80" t="e">
        <f t="shared" si="92"/>
        <v>#NUM!</v>
      </c>
      <c r="F488" s="15">
        <f t="shared" si="93"/>
        <v>1</v>
      </c>
      <c r="G488" s="4" t="e">
        <f t="shared" si="94"/>
        <v>#NUM!</v>
      </c>
      <c r="H488" s="76">
        <v>0.01</v>
      </c>
      <c r="I488" s="15">
        <f t="shared" si="95"/>
        <v>1.01</v>
      </c>
      <c r="J488" s="4">
        <f t="shared" si="96"/>
        <v>3.6211300991118234E+120</v>
      </c>
      <c r="K488" s="24" t="e">
        <f t="shared" si="97"/>
        <v>#NUM!</v>
      </c>
      <c r="L488" s="75">
        <f t="shared" si="98"/>
        <v>124.69995150424613</v>
      </c>
      <c r="M488" s="4" t="e">
        <f t="shared" si="99"/>
        <v>#NUM!</v>
      </c>
      <c r="N488" s="4" t="e">
        <f t="shared" si="100"/>
        <v>#NUM!</v>
      </c>
      <c r="O488" s="78" t="e">
        <f t="shared" si="101"/>
        <v>#NUM!</v>
      </c>
    </row>
    <row r="489" spans="2:15" x14ac:dyDescent="0.25">
      <c r="B489" s="15">
        <v>486</v>
      </c>
      <c r="C489" s="15">
        <v>1</v>
      </c>
      <c r="D489" s="80">
        <f t="shared" si="91"/>
        <v>6.4182859888004263E+120</v>
      </c>
      <c r="E489" s="80" t="e">
        <f t="shared" si="92"/>
        <v>#NUM!</v>
      </c>
      <c r="F489" s="15">
        <f t="shared" si="93"/>
        <v>1</v>
      </c>
      <c r="G489" s="4" t="e">
        <f t="shared" si="94"/>
        <v>#NUM!</v>
      </c>
      <c r="H489" s="76">
        <v>0.01</v>
      </c>
      <c r="I489" s="15">
        <f t="shared" si="95"/>
        <v>1.01</v>
      </c>
      <c r="J489" s="4">
        <f t="shared" si="96"/>
        <v>6.4182859888004263E+120</v>
      </c>
      <c r="K489" s="24" t="e">
        <f t="shared" si="97"/>
        <v>#NUM!</v>
      </c>
      <c r="L489" s="75">
        <f t="shared" si="98"/>
        <v>125.9469510192886</v>
      </c>
      <c r="M489" s="4" t="e">
        <f t="shared" si="99"/>
        <v>#NUM!</v>
      </c>
      <c r="N489" s="4" t="e">
        <f t="shared" si="100"/>
        <v>#NUM!</v>
      </c>
      <c r="O489" s="78" t="e">
        <f t="shared" si="101"/>
        <v>#NUM!</v>
      </c>
    </row>
    <row r="490" spans="2:15" x14ac:dyDescent="0.25">
      <c r="B490" s="15">
        <v>487</v>
      </c>
      <c r="C490" s="15">
        <v>1</v>
      </c>
      <c r="D490" s="80">
        <f t="shared" si="91"/>
        <v>1.1376115717062107E+121</v>
      </c>
      <c r="E490" s="80" t="e">
        <f t="shared" si="92"/>
        <v>#NUM!</v>
      </c>
      <c r="F490" s="15">
        <f t="shared" si="93"/>
        <v>1</v>
      </c>
      <c r="G490" s="4" t="e">
        <f t="shared" si="94"/>
        <v>#NUM!</v>
      </c>
      <c r="H490" s="76">
        <v>0.01</v>
      </c>
      <c r="I490" s="15">
        <f t="shared" si="95"/>
        <v>1.01</v>
      </c>
      <c r="J490" s="4">
        <f t="shared" si="96"/>
        <v>1.1376115717062107E+121</v>
      </c>
      <c r="K490" s="24" t="e">
        <f t="shared" si="97"/>
        <v>#NUM!</v>
      </c>
      <c r="L490" s="75">
        <f t="shared" si="98"/>
        <v>127.20642052948145</v>
      </c>
      <c r="M490" s="4" t="e">
        <f t="shared" si="99"/>
        <v>#NUM!</v>
      </c>
      <c r="N490" s="4" t="e">
        <f t="shared" si="100"/>
        <v>#NUM!</v>
      </c>
      <c r="O490" s="78" t="e">
        <f t="shared" si="101"/>
        <v>#NUM!</v>
      </c>
    </row>
    <row r="491" spans="2:15" x14ac:dyDescent="0.25">
      <c r="B491" s="15">
        <v>488</v>
      </c>
      <c r="C491" s="15">
        <v>1</v>
      </c>
      <c r="D491" s="80">
        <f t="shared" si="91"/>
        <v>2.0163640111053718E+121</v>
      </c>
      <c r="E491" s="80" t="e">
        <f t="shared" si="92"/>
        <v>#NUM!</v>
      </c>
      <c r="F491" s="15">
        <f t="shared" si="93"/>
        <v>1</v>
      </c>
      <c r="G491" s="4" t="e">
        <f t="shared" si="94"/>
        <v>#NUM!</v>
      </c>
      <c r="H491" s="76">
        <v>0.01</v>
      </c>
      <c r="I491" s="15">
        <f t="shared" si="95"/>
        <v>1.01</v>
      </c>
      <c r="J491" s="4">
        <f t="shared" si="96"/>
        <v>2.0163640111053718E+121</v>
      </c>
      <c r="K491" s="24" t="e">
        <f t="shared" si="97"/>
        <v>#NUM!</v>
      </c>
      <c r="L491" s="75">
        <f t="shared" si="98"/>
        <v>128.47848473477632</v>
      </c>
      <c r="M491" s="4" t="e">
        <f t="shared" si="99"/>
        <v>#NUM!</v>
      </c>
      <c r="N491" s="4" t="e">
        <f t="shared" si="100"/>
        <v>#NUM!</v>
      </c>
      <c r="O491" s="78" t="e">
        <f t="shared" si="101"/>
        <v>#NUM!</v>
      </c>
    </row>
    <row r="492" spans="2:15" x14ac:dyDescent="0.25">
      <c r="B492" s="15">
        <v>489</v>
      </c>
      <c r="C492" s="15">
        <v>1</v>
      </c>
      <c r="D492" s="80">
        <f t="shared" si="91"/>
        <v>3.5739121563110233E+121</v>
      </c>
      <c r="E492" s="80" t="e">
        <f t="shared" si="92"/>
        <v>#NUM!</v>
      </c>
      <c r="F492" s="15">
        <f t="shared" si="93"/>
        <v>1</v>
      </c>
      <c r="G492" s="4" t="e">
        <f t="shared" si="94"/>
        <v>#NUM!</v>
      </c>
      <c r="H492" s="76">
        <v>0.01</v>
      </c>
      <c r="I492" s="15">
        <f t="shared" si="95"/>
        <v>1.01</v>
      </c>
      <c r="J492" s="4">
        <f t="shared" si="96"/>
        <v>3.5739121563110233E+121</v>
      </c>
      <c r="K492" s="24" t="e">
        <f t="shared" si="97"/>
        <v>#NUM!</v>
      </c>
      <c r="L492" s="75">
        <f t="shared" si="98"/>
        <v>129.76326958212405</v>
      </c>
      <c r="M492" s="4" t="e">
        <f t="shared" si="99"/>
        <v>#NUM!</v>
      </c>
      <c r="N492" s="4" t="e">
        <f t="shared" si="100"/>
        <v>#NUM!</v>
      </c>
      <c r="O492" s="78" t="e">
        <f t="shared" si="101"/>
        <v>#NUM!</v>
      </c>
    </row>
    <row r="493" spans="2:15" x14ac:dyDescent="0.25">
      <c r="B493" s="15">
        <v>490</v>
      </c>
      <c r="C493" s="15">
        <v>1</v>
      </c>
      <c r="D493" s="80">
        <f t="shared" si="91"/>
        <v>6.3345943642514838E+121</v>
      </c>
      <c r="E493" s="80" t="e">
        <f t="shared" si="92"/>
        <v>#NUM!</v>
      </c>
      <c r="F493" s="15">
        <f t="shared" si="93"/>
        <v>1</v>
      </c>
      <c r="G493" s="4" t="e">
        <f t="shared" si="94"/>
        <v>#NUM!</v>
      </c>
      <c r="H493" s="76">
        <v>0.01</v>
      </c>
      <c r="I493" s="15">
        <f t="shared" si="95"/>
        <v>1.01</v>
      </c>
      <c r="J493" s="4">
        <f t="shared" si="96"/>
        <v>6.3345943642514838E+121</v>
      </c>
      <c r="K493" s="24" t="e">
        <f t="shared" si="97"/>
        <v>#NUM!</v>
      </c>
      <c r="L493" s="75">
        <f t="shared" si="98"/>
        <v>131.06090227794533</v>
      </c>
      <c r="M493" s="4" t="e">
        <f t="shared" si="99"/>
        <v>#NUM!</v>
      </c>
      <c r="N493" s="4" t="e">
        <f t="shared" si="100"/>
        <v>#NUM!</v>
      </c>
      <c r="O493" s="78" t="e">
        <f t="shared" si="101"/>
        <v>#NUM!</v>
      </c>
    </row>
    <row r="494" spans="2:15" x14ac:dyDescent="0.25">
      <c r="B494" s="15">
        <v>491</v>
      </c>
      <c r="C494" s="15">
        <v>1</v>
      </c>
      <c r="D494" s="80">
        <f t="shared" si="91"/>
        <v>1.1227776174842134E+122</v>
      </c>
      <c r="E494" s="80" t="e">
        <f t="shared" si="92"/>
        <v>#NUM!</v>
      </c>
      <c r="F494" s="15">
        <f t="shared" si="93"/>
        <v>1</v>
      </c>
      <c r="G494" s="4" t="e">
        <f t="shared" si="94"/>
        <v>#NUM!</v>
      </c>
      <c r="H494" s="76">
        <v>0.01</v>
      </c>
      <c r="I494" s="15">
        <f t="shared" si="95"/>
        <v>1.01</v>
      </c>
      <c r="J494" s="4">
        <f t="shared" si="96"/>
        <v>1.1227776174842134E+122</v>
      </c>
      <c r="K494" s="24" t="e">
        <f t="shared" si="97"/>
        <v>#NUM!</v>
      </c>
      <c r="L494" s="75">
        <f t="shared" si="98"/>
        <v>132.37151130072473</v>
      </c>
      <c r="M494" s="4" t="e">
        <f t="shared" si="99"/>
        <v>#NUM!</v>
      </c>
      <c r="N494" s="4" t="e">
        <f t="shared" si="100"/>
        <v>#NUM!</v>
      </c>
      <c r="O494" s="78" t="e">
        <f t="shared" si="101"/>
        <v>#NUM!</v>
      </c>
    </row>
    <row r="495" spans="2:15" x14ac:dyDescent="0.25">
      <c r="B495" s="15">
        <v>492</v>
      </c>
      <c r="C495" s="15">
        <v>1</v>
      </c>
      <c r="D495" s="80">
        <f t="shared" si="91"/>
        <v>1.9900715118203768E+122</v>
      </c>
      <c r="E495" s="80" t="e">
        <f t="shared" si="92"/>
        <v>#NUM!</v>
      </c>
      <c r="F495" s="15">
        <f t="shared" si="93"/>
        <v>1</v>
      </c>
      <c r="G495" s="4" t="e">
        <f t="shared" si="94"/>
        <v>#NUM!</v>
      </c>
      <c r="H495" s="76">
        <v>0.01</v>
      </c>
      <c r="I495" s="15">
        <f t="shared" si="95"/>
        <v>1.01</v>
      </c>
      <c r="J495" s="4">
        <f t="shared" si="96"/>
        <v>1.9900715118203768E+122</v>
      </c>
      <c r="K495" s="24" t="e">
        <f t="shared" si="97"/>
        <v>#NUM!</v>
      </c>
      <c r="L495" s="75">
        <f t="shared" si="98"/>
        <v>133.695226413732</v>
      </c>
      <c r="M495" s="4" t="e">
        <f t="shared" si="99"/>
        <v>#NUM!</v>
      </c>
      <c r="N495" s="4" t="e">
        <f t="shared" si="100"/>
        <v>#NUM!</v>
      </c>
      <c r="O495" s="78" t="e">
        <f t="shared" si="101"/>
        <v>#NUM!</v>
      </c>
    </row>
    <row r="496" spans="2:15" x14ac:dyDescent="0.25">
      <c r="B496" s="15">
        <v>493</v>
      </c>
      <c r="C496" s="15">
        <v>1</v>
      </c>
      <c r="D496" s="80">
        <f t="shared" si="91"/>
        <v>3.5273099147033076E+122</v>
      </c>
      <c r="E496" s="80" t="e">
        <f t="shared" si="92"/>
        <v>#NUM!</v>
      </c>
      <c r="F496" s="15">
        <f t="shared" si="93"/>
        <v>1</v>
      </c>
      <c r="G496" s="4" t="e">
        <f t="shared" si="94"/>
        <v>#NUM!</v>
      </c>
      <c r="H496" s="76">
        <v>0.01</v>
      </c>
      <c r="I496" s="15">
        <f t="shared" si="95"/>
        <v>1.01</v>
      </c>
      <c r="J496" s="4">
        <f t="shared" si="96"/>
        <v>3.5273099147033076E+122</v>
      </c>
      <c r="K496" s="24" t="e">
        <f t="shared" si="97"/>
        <v>#NUM!</v>
      </c>
      <c r="L496" s="75">
        <f t="shared" si="98"/>
        <v>135.03217867786935</v>
      </c>
      <c r="M496" s="4" t="e">
        <f t="shared" si="99"/>
        <v>#NUM!</v>
      </c>
      <c r="N496" s="4" t="e">
        <f t="shared" si="100"/>
        <v>#NUM!</v>
      </c>
      <c r="O496" s="78" t="e">
        <f t="shared" si="101"/>
        <v>#NUM!</v>
      </c>
    </row>
    <row r="497" spans="2:15" x14ac:dyDescent="0.25">
      <c r="B497" s="15">
        <v>494</v>
      </c>
      <c r="C497" s="15">
        <v>1</v>
      </c>
      <c r="D497" s="80">
        <f t="shared" si="91"/>
        <v>6.2519940416532295E+122</v>
      </c>
      <c r="E497" s="80" t="e">
        <f t="shared" si="92"/>
        <v>#NUM!</v>
      </c>
      <c r="F497" s="15">
        <f t="shared" si="93"/>
        <v>1</v>
      </c>
      <c r="G497" s="4" t="e">
        <f t="shared" si="94"/>
        <v>#NUM!</v>
      </c>
      <c r="H497" s="76">
        <v>0.01</v>
      </c>
      <c r="I497" s="15">
        <f t="shared" si="95"/>
        <v>1.01</v>
      </c>
      <c r="J497" s="4">
        <f t="shared" si="96"/>
        <v>6.2519940416532295E+122</v>
      </c>
      <c r="K497" s="24" t="e">
        <f t="shared" si="97"/>
        <v>#NUM!</v>
      </c>
      <c r="L497" s="75">
        <f t="shared" si="98"/>
        <v>136.38250046464805</v>
      </c>
      <c r="M497" s="4" t="e">
        <f t="shared" si="99"/>
        <v>#NUM!</v>
      </c>
      <c r="N497" s="4" t="e">
        <f t="shared" si="100"/>
        <v>#NUM!</v>
      </c>
      <c r="O497" s="78" t="e">
        <f t="shared" si="101"/>
        <v>#NUM!</v>
      </c>
    </row>
    <row r="498" spans="2:15" x14ac:dyDescent="0.25">
      <c r="B498" s="15">
        <v>495</v>
      </c>
      <c r="C498" s="15">
        <v>1</v>
      </c>
      <c r="D498" s="80">
        <f t="shared" si="91"/>
        <v>1.1081370914966516E+123</v>
      </c>
      <c r="E498" s="80" t="e">
        <f t="shared" si="92"/>
        <v>#NUM!</v>
      </c>
      <c r="F498" s="15">
        <f t="shared" si="93"/>
        <v>1</v>
      </c>
      <c r="G498" s="4" t="e">
        <f t="shared" si="94"/>
        <v>#NUM!</v>
      </c>
      <c r="H498" s="76">
        <v>0.01</v>
      </c>
      <c r="I498" s="15">
        <f t="shared" si="95"/>
        <v>1.01</v>
      </c>
      <c r="J498" s="4">
        <f t="shared" si="96"/>
        <v>1.1081370914966516E+123</v>
      </c>
      <c r="K498" s="24" t="e">
        <f t="shared" si="97"/>
        <v>#NUM!</v>
      </c>
      <c r="L498" s="75">
        <f t="shared" si="98"/>
        <v>137.74632546929448</v>
      </c>
      <c r="M498" s="4" t="e">
        <f t="shared" si="99"/>
        <v>#NUM!</v>
      </c>
      <c r="N498" s="4" t="e">
        <f t="shared" si="100"/>
        <v>#NUM!</v>
      </c>
      <c r="O498" s="78" t="e">
        <f t="shared" si="101"/>
        <v>#NUM!</v>
      </c>
    </row>
    <row r="499" spans="2:15" x14ac:dyDescent="0.25">
      <c r="B499" s="15">
        <v>496</v>
      </c>
      <c r="C499" s="15">
        <v>1</v>
      </c>
      <c r="D499" s="80">
        <f t="shared" si="91"/>
        <v>1.9641218551544945E+123</v>
      </c>
      <c r="E499" s="80" t="e">
        <f t="shared" si="92"/>
        <v>#NUM!</v>
      </c>
      <c r="F499" s="15">
        <f t="shared" si="93"/>
        <v>1</v>
      </c>
      <c r="G499" s="4" t="e">
        <f t="shared" si="94"/>
        <v>#NUM!</v>
      </c>
      <c r="H499" s="76">
        <v>0.01</v>
      </c>
      <c r="I499" s="15">
        <f t="shared" si="95"/>
        <v>1.01</v>
      </c>
      <c r="J499" s="4">
        <f t="shared" si="96"/>
        <v>1.9641218551544945E+123</v>
      </c>
      <c r="K499" s="24" t="e">
        <f t="shared" si="97"/>
        <v>#NUM!</v>
      </c>
      <c r="L499" s="75">
        <f t="shared" si="98"/>
        <v>139.12378872398747</v>
      </c>
      <c r="M499" s="4" t="e">
        <f t="shared" si="99"/>
        <v>#NUM!</v>
      </c>
      <c r="N499" s="4" t="e">
        <f t="shared" si="100"/>
        <v>#NUM!</v>
      </c>
      <c r="O499" s="78" t="e">
        <f t="shared" si="101"/>
        <v>#NUM!</v>
      </c>
    </row>
    <row r="500" spans="2:15" x14ac:dyDescent="0.25">
      <c r="B500" s="15">
        <v>497</v>
      </c>
      <c r="C500" s="15">
        <v>1</v>
      </c>
      <c r="D500" s="80">
        <f t="shared" si="91"/>
        <v>3.4813153458162929E+123</v>
      </c>
      <c r="E500" s="80" t="e">
        <f t="shared" si="92"/>
        <v>#NUM!</v>
      </c>
      <c r="F500" s="15">
        <f t="shared" si="93"/>
        <v>1</v>
      </c>
      <c r="G500" s="4" t="e">
        <f t="shared" si="94"/>
        <v>#NUM!</v>
      </c>
      <c r="H500" s="76">
        <v>0.01</v>
      </c>
      <c r="I500" s="15">
        <f t="shared" si="95"/>
        <v>1.01</v>
      </c>
      <c r="J500" s="4">
        <f t="shared" si="96"/>
        <v>3.4813153458162929E+123</v>
      </c>
      <c r="K500" s="24" t="e">
        <f t="shared" si="97"/>
        <v>#NUM!</v>
      </c>
      <c r="L500" s="75">
        <f t="shared" si="98"/>
        <v>140.51502661122737</v>
      </c>
      <c r="M500" s="4" t="e">
        <f t="shared" si="99"/>
        <v>#NUM!</v>
      </c>
      <c r="N500" s="4" t="e">
        <f t="shared" si="100"/>
        <v>#NUM!</v>
      </c>
      <c r="O500" s="78" t="e">
        <f t="shared" si="101"/>
        <v>#NUM!</v>
      </c>
    </row>
    <row r="501" spans="2:15" x14ac:dyDescent="0.25">
      <c r="B501" s="15">
        <v>498</v>
      </c>
      <c r="C501" s="15">
        <v>1</v>
      </c>
      <c r="D501" s="80">
        <f t="shared" si="91"/>
        <v>6.1704707909085155E+123</v>
      </c>
      <c r="E501" s="80" t="e">
        <f t="shared" si="92"/>
        <v>#NUM!</v>
      </c>
      <c r="F501" s="15">
        <f t="shared" si="93"/>
        <v>1</v>
      </c>
      <c r="G501" s="4" t="e">
        <f t="shared" si="94"/>
        <v>#NUM!</v>
      </c>
      <c r="H501" s="76">
        <v>0.01</v>
      </c>
      <c r="I501" s="15">
        <f t="shared" si="95"/>
        <v>1.01</v>
      </c>
      <c r="J501" s="4">
        <f t="shared" si="96"/>
        <v>6.1704707909085155E+123</v>
      </c>
      <c r="K501" s="24" t="e">
        <f t="shared" si="97"/>
        <v>#NUM!</v>
      </c>
      <c r="L501" s="75">
        <f t="shared" si="98"/>
        <v>141.92017687733963</v>
      </c>
      <c r="M501" s="4" t="e">
        <f t="shared" si="99"/>
        <v>#NUM!</v>
      </c>
      <c r="N501" s="4" t="e">
        <f t="shared" si="100"/>
        <v>#NUM!</v>
      </c>
      <c r="O501" s="78" t="e">
        <f t="shared" si="101"/>
        <v>#NUM!</v>
      </c>
    </row>
    <row r="502" spans="2:15" x14ac:dyDescent="0.25">
      <c r="B502" s="15">
        <v>499</v>
      </c>
      <c r="C502" s="15">
        <v>1</v>
      </c>
      <c r="D502" s="80">
        <f t="shared" si="91"/>
        <v>1.0936874715246038E+124</v>
      </c>
      <c r="E502" s="80" t="e">
        <f t="shared" si="92"/>
        <v>#NUM!</v>
      </c>
      <c r="F502" s="15">
        <f t="shared" si="93"/>
        <v>1</v>
      </c>
      <c r="G502" s="4" t="e">
        <f t="shared" si="94"/>
        <v>#NUM!</v>
      </c>
      <c r="H502" s="76">
        <v>0.01</v>
      </c>
      <c r="I502" s="15">
        <f t="shared" si="95"/>
        <v>1.01</v>
      </c>
      <c r="J502" s="4">
        <f t="shared" si="96"/>
        <v>1.0936874715246038E+124</v>
      </c>
      <c r="K502" s="24" t="e">
        <f t="shared" si="97"/>
        <v>#NUM!</v>
      </c>
      <c r="L502" s="75">
        <f t="shared" si="98"/>
        <v>143.339378646113</v>
      </c>
      <c r="M502" s="4" t="e">
        <f t="shared" si="99"/>
        <v>#NUM!</v>
      </c>
      <c r="N502" s="4" t="e">
        <f t="shared" si="100"/>
        <v>#NUM!</v>
      </c>
      <c r="O502" s="78" t="e">
        <f t="shared" si="101"/>
        <v>#NUM!</v>
      </c>
    </row>
    <row r="503" spans="2:15" x14ac:dyDescent="0.25">
      <c r="B503" s="15">
        <v>500</v>
      </c>
      <c r="C503" s="15">
        <v>1</v>
      </c>
      <c r="D503" s="80">
        <f t="shared" si="91"/>
        <v>1.9385105705908595E+124</v>
      </c>
      <c r="E503" s="80" t="e">
        <f t="shared" si="92"/>
        <v>#NUM!</v>
      </c>
      <c r="F503" s="15">
        <f t="shared" si="93"/>
        <v>1</v>
      </c>
      <c r="G503" s="4" t="e">
        <f t="shared" si="94"/>
        <v>#NUM!</v>
      </c>
      <c r="H503" s="76">
        <v>0.01</v>
      </c>
      <c r="I503" s="15">
        <f t="shared" si="95"/>
        <v>1.01</v>
      </c>
      <c r="J503" s="4">
        <f t="shared" si="96"/>
        <v>1.9385105705908595E+124</v>
      </c>
      <c r="K503" s="24" t="e">
        <f t="shared" si="97"/>
        <v>#NUM!</v>
      </c>
      <c r="L503" s="75">
        <f t="shared" si="98"/>
        <v>144.77277243257416</v>
      </c>
      <c r="M503" s="4" t="e">
        <f t="shared" si="99"/>
        <v>#NUM!</v>
      </c>
      <c r="N503" s="4" t="e">
        <f t="shared" si="100"/>
        <v>#NUM!</v>
      </c>
      <c r="O503" s="78" t="e">
        <f t="shared" si="101"/>
        <v>#NUM!</v>
      </c>
    </row>
    <row r="504" spans="2:15" x14ac:dyDescent="0.25">
      <c r="B504" s="15">
        <v>501</v>
      </c>
      <c r="C504" s="15">
        <v>1</v>
      </c>
      <c r="D504" s="80">
        <f t="shared" si="91"/>
        <v>3.4359205258647477E+124</v>
      </c>
      <c r="E504" s="80" t="e">
        <f t="shared" si="92"/>
        <v>#NUM!</v>
      </c>
      <c r="F504" s="15">
        <f t="shared" si="93"/>
        <v>1</v>
      </c>
      <c r="G504" s="4" t="e">
        <f t="shared" si="94"/>
        <v>#NUM!</v>
      </c>
      <c r="H504" s="76">
        <v>0.01</v>
      </c>
      <c r="I504" s="15">
        <f t="shared" si="95"/>
        <v>1.01</v>
      </c>
      <c r="J504" s="4">
        <f t="shared" si="96"/>
        <v>3.4359205258647477E+124</v>
      </c>
      <c r="K504" s="24" t="e">
        <f t="shared" si="97"/>
        <v>#NUM!</v>
      </c>
      <c r="L504" s="75">
        <f t="shared" si="98"/>
        <v>146.22050015689987</v>
      </c>
      <c r="M504" s="4" t="e">
        <f t="shared" si="99"/>
        <v>#NUM!</v>
      </c>
      <c r="N504" s="4" t="e">
        <f t="shared" si="100"/>
        <v>#NUM!</v>
      </c>
      <c r="O504" s="78" t="e">
        <f t="shared" si="101"/>
        <v>#NUM!</v>
      </c>
    </row>
    <row r="505" spans="2:15" x14ac:dyDescent="0.25">
      <c r="B505" s="15">
        <v>502</v>
      </c>
      <c r="C505" s="15">
        <v>1</v>
      </c>
      <c r="D505" s="80">
        <f t="shared" si="91"/>
        <v>6.090010567474403E+124</v>
      </c>
      <c r="E505" s="80" t="e">
        <f t="shared" si="92"/>
        <v>#NUM!</v>
      </c>
      <c r="F505" s="15">
        <f t="shared" si="93"/>
        <v>1</v>
      </c>
      <c r="G505" s="4" t="e">
        <f t="shared" si="94"/>
        <v>#NUM!</v>
      </c>
      <c r="H505" s="76">
        <v>0.01</v>
      </c>
      <c r="I505" s="15">
        <f t="shared" si="95"/>
        <v>1.01</v>
      </c>
      <c r="J505" s="4">
        <f t="shared" si="96"/>
        <v>6.090010567474403E+124</v>
      </c>
      <c r="K505" s="24" t="e">
        <f t="shared" si="97"/>
        <v>#NUM!</v>
      </c>
      <c r="L505" s="75">
        <f t="shared" si="98"/>
        <v>147.68270515846891</v>
      </c>
      <c r="M505" s="4" t="e">
        <f t="shared" si="99"/>
        <v>#NUM!</v>
      </c>
      <c r="N505" s="4" t="e">
        <f t="shared" si="100"/>
        <v>#NUM!</v>
      </c>
      <c r="O505" s="78" t="e">
        <f t="shared" si="101"/>
        <v>#NUM!</v>
      </c>
    </row>
    <row r="506" spans="2:15" x14ac:dyDescent="0.25">
      <c r="B506" s="15">
        <v>503</v>
      </c>
      <c r="C506" s="15">
        <v>1</v>
      </c>
      <c r="D506" s="80">
        <f t="shared" si="91"/>
        <v>1.0794262682375231E+125</v>
      </c>
      <c r="E506" s="80" t="e">
        <f t="shared" si="92"/>
        <v>#NUM!</v>
      </c>
      <c r="F506" s="15">
        <f t="shared" si="93"/>
        <v>1</v>
      </c>
      <c r="G506" s="4" t="e">
        <f t="shared" si="94"/>
        <v>#NUM!</v>
      </c>
      <c r="H506" s="76">
        <v>0.01</v>
      </c>
      <c r="I506" s="15">
        <f t="shared" si="95"/>
        <v>1.01</v>
      </c>
      <c r="J506" s="4">
        <f t="shared" si="96"/>
        <v>1.0794262682375231E+125</v>
      </c>
      <c r="K506" s="24" t="e">
        <f t="shared" si="97"/>
        <v>#NUM!</v>
      </c>
      <c r="L506" s="75">
        <f t="shared" si="98"/>
        <v>149.15953221005356</v>
      </c>
      <c r="M506" s="4" t="e">
        <f t="shared" si="99"/>
        <v>#NUM!</v>
      </c>
      <c r="N506" s="4" t="e">
        <f t="shared" si="100"/>
        <v>#NUM!</v>
      </c>
      <c r="O506" s="78" t="e">
        <f t="shared" si="101"/>
        <v>#NUM!</v>
      </c>
    </row>
    <row r="507" spans="2:15" x14ac:dyDescent="0.25">
      <c r="B507" s="15">
        <v>504</v>
      </c>
      <c r="C507" s="15">
        <v>1</v>
      </c>
      <c r="D507" s="80">
        <f t="shared" si="91"/>
        <v>1.913233245906179E+125</v>
      </c>
      <c r="E507" s="80" t="e">
        <f t="shared" si="92"/>
        <v>#NUM!</v>
      </c>
      <c r="F507" s="15">
        <f t="shared" si="93"/>
        <v>1</v>
      </c>
      <c r="G507" s="4" t="e">
        <f t="shared" si="94"/>
        <v>#NUM!</v>
      </c>
      <c r="H507" s="76">
        <v>0.01</v>
      </c>
      <c r="I507" s="15">
        <f t="shared" si="95"/>
        <v>1.01</v>
      </c>
      <c r="J507" s="4">
        <f t="shared" si="96"/>
        <v>1.913233245906179E+125</v>
      </c>
      <c r="K507" s="24" t="e">
        <f t="shared" si="97"/>
        <v>#NUM!</v>
      </c>
      <c r="L507" s="75">
        <f t="shared" si="98"/>
        <v>150.65112753215413</v>
      </c>
      <c r="M507" s="4" t="e">
        <f t="shared" si="99"/>
        <v>#NUM!</v>
      </c>
      <c r="N507" s="4" t="e">
        <f t="shared" si="100"/>
        <v>#NUM!</v>
      </c>
      <c r="O507" s="78" t="e">
        <f t="shared" si="101"/>
        <v>#NUM!</v>
      </c>
    </row>
    <row r="508" spans="2:15" x14ac:dyDescent="0.25">
      <c r="B508" s="15">
        <v>505</v>
      </c>
      <c r="C508" s="15">
        <v>1</v>
      </c>
      <c r="D508" s="80">
        <f t="shared" si="91"/>
        <v>3.3911176343868987E+125</v>
      </c>
      <c r="E508" s="80" t="e">
        <f t="shared" si="92"/>
        <v>#NUM!</v>
      </c>
      <c r="F508" s="15">
        <f t="shared" si="93"/>
        <v>1</v>
      </c>
      <c r="G508" s="4" t="e">
        <f t="shared" si="94"/>
        <v>#NUM!</v>
      </c>
      <c r="H508" s="76">
        <v>0.01</v>
      </c>
      <c r="I508" s="15">
        <f t="shared" si="95"/>
        <v>1.01</v>
      </c>
      <c r="J508" s="4">
        <f t="shared" si="96"/>
        <v>3.3911176343868987E+125</v>
      </c>
      <c r="K508" s="24" t="e">
        <f t="shared" si="97"/>
        <v>#NUM!</v>
      </c>
      <c r="L508" s="75">
        <f t="shared" si="98"/>
        <v>152.15763880747568</v>
      </c>
      <c r="M508" s="4" t="e">
        <f t="shared" si="99"/>
        <v>#NUM!</v>
      </c>
      <c r="N508" s="4" t="e">
        <f t="shared" si="100"/>
        <v>#NUM!</v>
      </c>
      <c r="O508" s="78" t="e">
        <f t="shared" si="101"/>
        <v>#NUM!</v>
      </c>
    </row>
    <row r="509" spans="2:15" x14ac:dyDescent="0.25">
      <c r="B509" s="15">
        <v>506</v>
      </c>
      <c r="C509" s="15">
        <v>1</v>
      </c>
      <c r="D509" s="80">
        <f t="shared" si="91"/>
        <v>6.0105995099426061E+125</v>
      </c>
      <c r="E509" s="80" t="e">
        <f t="shared" si="92"/>
        <v>#NUM!</v>
      </c>
      <c r="F509" s="15">
        <f t="shared" si="93"/>
        <v>1</v>
      </c>
      <c r="G509" s="4" t="e">
        <f t="shared" si="94"/>
        <v>#NUM!</v>
      </c>
      <c r="H509" s="76">
        <v>0.01</v>
      </c>
      <c r="I509" s="15">
        <f t="shared" si="95"/>
        <v>1.01</v>
      </c>
      <c r="J509" s="4">
        <f t="shared" si="96"/>
        <v>6.0105995099426061E+125</v>
      </c>
      <c r="K509" s="24" t="e">
        <f t="shared" si="97"/>
        <v>#NUM!</v>
      </c>
      <c r="L509" s="75">
        <f t="shared" si="98"/>
        <v>153.67921519555043</v>
      </c>
      <c r="M509" s="4" t="e">
        <f t="shared" si="99"/>
        <v>#NUM!</v>
      </c>
      <c r="N509" s="4" t="e">
        <f t="shared" si="100"/>
        <v>#NUM!</v>
      </c>
      <c r="O509" s="78" t="e">
        <f t="shared" si="101"/>
        <v>#NUM!</v>
      </c>
    </row>
    <row r="510" spans="2:15" x14ac:dyDescent="0.25">
      <c r="B510" s="15">
        <v>507</v>
      </c>
      <c r="C510" s="15">
        <v>1</v>
      </c>
      <c r="D510" s="80">
        <f t="shared" si="91"/>
        <v>1.0653510247648838E+126</v>
      </c>
      <c r="E510" s="80" t="e">
        <f t="shared" si="92"/>
        <v>#NUM!</v>
      </c>
      <c r="F510" s="15">
        <f t="shared" si="93"/>
        <v>1</v>
      </c>
      <c r="G510" s="4" t="e">
        <f t="shared" si="94"/>
        <v>#NUM!</v>
      </c>
      <c r="H510" s="76">
        <v>0.01</v>
      </c>
      <c r="I510" s="15">
        <f t="shared" si="95"/>
        <v>1.01</v>
      </c>
      <c r="J510" s="4">
        <f t="shared" si="96"/>
        <v>1.0653510247648838E+126</v>
      </c>
      <c r="K510" s="24" t="e">
        <f t="shared" si="97"/>
        <v>#NUM!</v>
      </c>
      <c r="L510" s="75">
        <f t="shared" si="98"/>
        <v>155.21600734750589</v>
      </c>
      <c r="M510" s="4" t="e">
        <f t="shared" si="99"/>
        <v>#NUM!</v>
      </c>
      <c r="N510" s="4" t="e">
        <f t="shared" si="100"/>
        <v>#NUM!</v>
      </c>
      <c r="O510" s="78" t="e">
        <f t="shared" si="101"/>
        <v>#NUM!</v>
      </c>
    </row>
    <row r="511" spans="2:15" x14ac:dyDescent="0.25">
      <c r="B511" s="15">
        <v>508</v>
      </c>
      <c r="C511" s="15">
        <v>1</v>
      </c>
      <c r="D511" s="80">
        <f t="shared" si="91"/>
        <v>1.8882855264106098E+126</v>
      </c>
      <c r="E511" s="80" t="e">
        <f t="shared" si="92"/>
        <v>#NUM!</v>
      </c>
      <c r="F511" s="15">
        <f t="shared" si="93"/>
        <v>1</v>
      </c>
      <c r="G511" s="4" t="e">
        <f t="shared" si="94"/>
        <v>#NUM!</v>
      </c>
      <c r="H511" s="76">
        <v>0.01</v>
      </c>
      <c r="I511" s="15">
        <f t="shared" si="95"/>
        <v>1.01</v>
      </c>
      <c r="J511" s="4">
        <f t="shared" si="96"/>
        <v>1.8882855264106098E+126</v>
      </c>
      <c r="K511" s="24" t="e">
        <f t="shared" si="97"/>
        <v>#NUM!</v>
      </c>
      <c r="L511" s="75">
        <f t="shared" si="98"/>
        <v>156.76816742098097</v>
      </c>
      <c r="M511" s="4" t="e">
        <f t="shared" si="99"/>
        <v>#NUM!</v>
      </c>
      <c r="N511" s="4" t="e">
        <f t="shared" si="100"/>
        <v>#NUM!</v>
      </c>
      <c r="O511" s="78" t="e">
        <f t="shared" si="101"/>
        <v>#NUM!</v>
      </c>
    </row>
    <row r="512" spans="2:15" x14ac:dyDescent="0.25">
      <c r="B512" s="15">
        <v>509</v>
      </c>
      <c r="C512" s="15">
        <v>1</v>
      </c>
      <c r="D512" s="80">
        <f t="shared" si="91"/>
        <v>3.3468989528955764E+126</v>
      </c>
      <c r="E512" s="80" t="e">
        <f t="shared" si="92"/>
        <v>#NUM!</v>
      </c>
      <c r="F512" s="15">
        <f t="shared" si="93"/>
        <v>1</v>
      </c>
      <c r="G512" s="4" t="e">
        <f t="shared" si="94"/>
        <v>#NUM!</v>
      </c>
      <c r="H512" s="76">
        <v>0.01</v>
      </c>
      <c r="I512" s="15">
        <f t="shared" si="95"/>
        <v>1.01</v>
      </c>
      <c r="J512" s="4">
        <f t="shared" si="96"/>
        <v>3.3468989528955764E+126</v>
      </c>
      <c r="K512" s="24" t="e">
        <f t="shared" si="97"/>
        <v>#NUM!</v>
      </c>
      <c r="L512" s="75">
        <f t="shared" si="98"/>
        <v>158.33584909519078</v>
      </c>
      <c r="M512" s="4" t="e">
        <f t="shared" si="99"/>
        <v>#NUM!</v>
      </c>
      <c r="N512" s="4" t="e">
        <f t="shared" si="100"/>
        <v>#NUM!</v>
      </c>
      <c r="O512" s="78" t="e">
        <f t="shared" si="101"/>
        <v>#NUM!</v>
      </c>
    </row>
    <row r="513" spans="2:15" x14ac:dyDescent="0.25">
      <c r="B513" s="15">
        <v>510</v>
      </c>
      <c r="C513" s="15">
        <v>1</v>
      </c>
      <c r="D513" s="80">
        <f t="shared" si="91"/>
        <v>5.9322239376515069E+126</v>
      </c>
      <c r="E513" s="80" t="e">
        <f t="shared" si="92"/>
        <v>#NUM!</v>
      </c>
      <c r="F513" s="15">
        <f t="shared" si="93"/>
        <v>1</v>
      </c>
      <c r="G513" s="4" t="e">
        <f t="shared" si="94"/>
        <v>#NUM!</v>
      </c>
      <c r="H513" s="76">
        <v>0.01</v>
      </c>
      <c r="I513" s="15">
        <f t="shared" si="95"/>
        <v>1.01</v>
      </c>
      <c r="J513" s="4">
        <f t="shared" si="96"/>
        <v>5.9322239376515069E+126</v>
      </c>
      <c r="K513" s="24" t="e">
        <f t="shared" si="97"/>
        <v>#NUM!</v>
      </c>
      <c r="L513" s="75">
        <f t="shared" si="98"/>
        <v>159.9192075861427</v>
      </c>
      <c r="M513" s="4" t="e">
        <f t="shared" si="99"/>
        <v>#NUM!</v>
      </c>
      <c r="N513" s="4" t="e">
        <f t="shared" si="100"/>
        <v>#NUM!</v>
      </c>
      <c r="O513" s="78" t="e">
        <f t="shared" si="101"/>
        <v>#NUM!</v>
      </c>
    </row>
    <row r="514" spans="2:15" x14ac:dyDescent="0.25">
      <c r="B514" s="15">
        <v>511</v>
      </c>
      <c r="C514" s="15">
        <v>1</v>
      </c>
      <c r="D514" s="80">
        <f t="shared" si="91"/>
        <v>1.051459316272427E+127</v>
      </c>
      <c r="E514" s="80" t="e">
        <f t="shared" si="92"/>
        <v>#NUM!</v>
      </c>
      <c r="F514" s="15">
        <f t="shared" si="93"/>
        <v>1</v>
      </c>
      <c r="G514" s="4" t="e">
        <f t="shared" si="94"/>
        <v>#NUM!</v>
      </c>
      <c r="H514" s="76">
        <v>0.01</v>
      </c>
      <c r="I514" s="15">
        <f t="shared" si="95"/>
        <v>1.01</v>
      </c>
      <c r="J514" s="4">
        <f t="shared" si="96"/>
        <v>1.051459316272427E+127</v>
      </c>
      <c r="K514" s="24" t="e">
        <f t="shared" si="97"/>
        <v>#NUM!</v>
      </c>
      <c r="L514" s="75">
        <f t="shared" si="98"/>
        <v>161.5183996620041</v>
      </c>
      <c r="M514" s="4" t="e">
        <f t="shared" si="99"/>
        <v>#NUM!</v>
      </c>
      <c r="N514" s="4" t="e">
        <f t="shared" si="100"/>
        <v>#NUM!</v>
      </c>
      <c r="O514" s="78" t="e">
        <f t="shared" si="101"/>
        <v>#NUM!</v>
      </c>
    </row>
    <row r="515" spans="2:15" x14ac:dyDescent="0.25">
      <c r="B515" s="15">
        <v>512</v>
      </c>
      <c r="C515" s="15">
        <v>1</v>
      </c>
      <c r="D515" s="80">
        <f t="shared" si="91"/>
        <v>1.8636631141975492E+127</v>
      </c>
      <c r="E515" s="80" t="e">
        <f t="shared" si="92"/>
        <v>#NUM!</v>
      </c>
      <c r="F515" s="15">
        <f t="shared" si="93"/>
        <v>1</v>
      </c>
      <c r="G515" s="4" t="e">
        <f t="shared" si="94"/>
        <v>#NUM!</v>
      </c>
      <c r="H515" s="76">
        <v>0.01</v>
      </c>
      <c r="I515" s="15">
        <f t="shared" si="95"/>
        <v>1.01</v>
      </c>
      <c r="J515" s="4">
        <f t="shared" si="96"/>
        <v>1.8636631141975492E+127</v>
      </c>
      <c r="K515" s="24" t="e">
        <f t="shared" si="97"/>
        <v>#NUM!</v>
      </c>
      <c r="L515" s="75">
        <f t="shared" si="98"/>
        <v>163.13358365862419</v>
      </c>
      <c r="M515" s="4" t="e">
        <f t="shared" si="99"/>
        <v>#NUM!</v>
      </c>
      <c r="N515" s="4" t="e">
        <f t="shared" si="100"/>
        <v>#NUM!</v>
      </c>
      <c r="O515" s="78" t="e">
        <f t="shared" si="101"/>
        <v>#NUM!</v>
      </c>
    </row>
    <row r="516" spans="2:15" x14ac:dyDescent="0.25">
      <c r="B516" s="15">
        <v>513</v>
      </c>
      <c r="C516" s="15">
        <v>1</v>
      </c>
      <c r="D516" s="80">
        <f t="shared" si="91"/>
        <v>3.3032568635500524E+127</v>
      </c>
      <c r="E516" s="80" t="e">
        <f t="shared" si="92"/>
        <v>#NUM!</v>
      </c>
      <c r="F516" s="15">
        <f t="shared" si="93"/>
        <v>1</v>
      </c>
      <c r="G516" s="4" t="e">
        <f t="shared" si="94"/>
        <v>#NUM!</v>
      </c>
      <c r="H516" s="76">
        <v>0.01</v>
      </c>
      <c r="I516" s="15">
        <f t="shared" si="95"/>
        <v>1.01</v>
      </c>
      <c r="J516" s="4">
        <f t="shared" si="96"/>
        <v>3.3032568635500524E+127</v>
      </c>
      <c r="K516" s="24" t="e">
        <f t="shared" si="97"/>
        <v>#NUM!</v>
      </c>
      <c r="L516" s="75">
        <f t="shared" si="98"/>
        <v>164.76491949521042</v>
      </c>
      <c r="M516" s="4" t="e">
        <f t="shared" si="99"/>
        <v>#NUM!</v>
      </c>
      <c r="N516" s="4" t="e">
        <f t="shared" si="100"/>
        <v>#NUM!</v>
      </c>
      <c r="O516" s="78" t="e">
        <f t="shared" si="101"/>
        <v>#NUM!</v>
      </c>
    </row>
    <row r="517" spans="2:15" x14ac:dyDescent="0.25">
      <c r="B517" s="15">
        <v>514</v>
      </c>
      <c r="C517" s="15">
        <v>1</v>
      </c>
      <c r="D517" s="80">
        <f t="shared" si="91"/>
        <v>5.8548703483292963E+127</v>
      </c>
      <c r="E517" s="80" t="e">
        <f t="shared" si="92"/>
        <v>#NUM!</v>
      </c>
      <c r="F517" s="15">
        <f t="shared" si="93"/>
        <v>1</v>
      </c>
      <c r="G517" s="4" t="e">
        <f t="shared" si="94"/>
        <v>#NUM!</v>
      </c>
      <c r="H517" s="76">
        <v>0.01</v>
      </c>
      <c r="I517" s="15">
        <f t="shared" si="95"/>
        <v>1.01</v>
      </c>
      <c r="J517" s="4">
        <f t="shared" si="96"/>
        <v>5.8548703483292963E+127</v>
      </c>
      <c r="K517" s="24" t="e">
        <f t="shared" si="97"/>
        <v>#NUM!</v>
      </c>
      <c r="L517" s="75">
        <f t="shared" si="98"/>
        <v>166.41256869016254</v>
      </c>
      <c r="M517" s="4" t="e">
        <f t="shared" si="99"/>
        <v>#NUM!</v>
      </c>
      <c r="N517" s="4" t="e">
        <f t="shared" si="100"/>
        <v>#NUM!</v>
      </c>
      <c r="O517" s="78" t="e">
        <f t="shared" si="101"/>
        <v>#NUM!</v>
      </c>
    </row>
    <row r="518" spans="2:15" x14ac:dyDescent="0.25">
      <c r="B518" s="15">
        <v>515</v>
      </c>
      <c r="C518" s="15">
        <v>1</v>
      </c>
      <c r="D518" s="80">
        <f t="shared" si="91"/>
        <v>1.0377487495449061E+128</v>
      </c>
      <c r="E518" s="80" t="e">
        <f t="shared" si="92"/>
        <v>#NUM!</v>
      </c>
      <c r="F518" s="15">
        <f t="shared" si="93"/>
        <v>1</v>
      </c>
      <c r="G518" s="4" t="e">
        <f t="shared" si="94"/>
        <v>#NUM!</v>
      </c>
      <c r="H518" s="76">
        <v>0.01</v>
      </c>
      <c r="I518" s="15">
        <f t="shared" si="95"/>
        <v>1.01</v>
      </c>
      <c r="J518" s="4">
        <f t="shared" si="96"/>
        <v>1.0377487495449061E+128</v>
      </c>
      <c r="K518" s="24" t="e">
        <f t="shared" si="97"/>
        <v>#NUM!</v>
      </c>
      <c r="L518" s="75">
        <f t="shared" si="98"/>
        <v>168.07669437706414</v>
      </c>
      <c r="M518" s="4" t="e">
        <f t="shared" si="99"/>
        <v>#NUM!</v>
      </c>
      <c r="N518" s="4" t="e">
        <f t="shared" si="100"/>
        <v>#NUM!</v>
      </c>
      <c r="O518" s="78" t="e">
        <f t="shared" si="101"/>
        <v>#NUM!</v>
      </c>
    </row>
    <row r="519" spans="2:15" x14ac:dyDescent="0.25">
      <c r="B519" s="15">
        <v>516</v>
      </c>
      <c r="C519" s="15">
        <v>1</v>
      </c>
      <c r="D519" s="80">
        <f t="shared" si="91"/>
        <v>1.8393617674032032E+128</v>
      </c>
      <c r="E519" s="80" t="e">
        <f t="shared" si="92"/>
        <v>#NUM!</v>
      </c>
      <c r="F519" s="15">
        <f t="shared" si="93"/>
        <v>1</v>
      </c>
      <c r="G519" s="4" t="e">
        <f t="shared" si="94"/>
        <v>#NUM!</v>
      </c>
      <c r="H519" s="76">
        <v>0.01</v>
      </c>
      <c r="I519" s="15">
        <f t="shared" si="95"/>
        <v>1.01</v>
      </c>
      <c r="J519" s="4">
        <f t="shared" si="96"/>
        <v>1.8393617674032032E+128</v>
      </c>
      <c r="K519" s="24" t="e">
        <f t="shared" si="97"/>
        <v>#NUM!</v>
      </c>
      <c r="L519" s="75">
        <f t="shared" si="98"/>
        <v>169.75746132083481</v>
      </c>
      <c r="M519" s="4" t="e">
        <f t="shared" si="99"/>
        <v>#NUM!</v>
      </c>
      <c r="N519" s="4" t="e">
        <f t="shared" si="100"/>
        <v>#NUM!</v>
      </c>
      <c r="O519" s="78" t="e">
        <f t="shared" si="101"/>
        <v>#NUM!</v>
      </c>
    </row>
    <row r="520" spans="2:15" x14ac:dyDescent="0.25">
      <c r="B520" s="15">
        <v>517</v>
      </c>
      <c r="C520" s="15">
        <v>1</v>
      </c>
      <c r="D520" s="80">
        <f t="shared" si="91"/>
        <v>3.2601838478421348E+128</v>
      </c>
      <c r="E520" s="80" t="e">
        <f t="shared" si="92"/>
        <v>#NUM!</v>
      </c>
      <c r="F520" s="15">
        <f t="shared" si="93"/>
        <v>1</v>
      </c>
      <c r="G520" s="4" t="e">
        <f t="shared" si="94"/>
        <v>#NUM!</v>
      </c>
      <c r="H520" s="76">
        <v>0.01</v>
      </c>
      <c r="I520" s="15">
        <f t="shared" si="95"/>
        <v>1.01</v>
      </c>
      <c r="J520" s="4">
        <f t="shared" si="96"/>
        <v>3.2601838478421348E+128</v>
      </c>
      <c r="K520" s="24" t="e">
        <f t="shared" si="97"/>
        <v>#NUM!</v>
      </c>
      <c r="L520" s="75">
        <f t="shared" si="98"/>
        <v>171.45503593404314</v>
      </c>
      <c r="M520" s="4" t="e">
        <f t="shared" si="99"/>
        <v>#NUM!</v>
      </c>
      <c r="N520" s="4" t="e">
        <f t="shared" si="100"/>
        <v>#NUM!</v>
      </c>
      <c r="O520" s="78" t="e">
        <f t="shared" si="101"/>
        <v>#NUM!</v>
      </c>
    </row>
    <row r="521" spans="2:15" x14ac:dyDescent="0.25">
      <c r="B521" s="15">
        <v>518</v>
      </c>
      <c r="C521" s="15">
        <v>1</v>
      </c>
      <c r="D521" s="80">
        <f t="shared" si="91"/>
        <v>5.7785254157678401E+128</v>
      </c>
      <c r="E521" s="80" t="e">
        <f t="shared" si="92"/>
        <v>#NUM!</v>
      </c>
      <c r="F521" s="15">
        <f t="shared" si="93"/>
        <v>1</v>
      </c>
      <c r="G521" s="4" t="e">
        <f t="shared" si="94"/>
        <v>#NUM!</v>
      </c>
      <c r="H521" s="76">
        <v>0.01</v>
      </c>
      <c r="I521" s="15">
        <f t="shared" si="95"/>
        <v>1.01</v>
      </c>
      <c r="J521" s="4">
        <f t="shared" si="96"/>
        <v>5.7785254157678401E+128</v>
      </c>
      <c r="K521" s="24" t="e">
        <f t="shared" si="97"/>
        <v>#NUM!</v>
      </c>
      <c r="L521" s="75">
        <f t="shared" si="98"/>
        <v>173.16958629338362</v>
      </c>
      <c r="M521" s="4" t="e">
        <f t="shared" si="99"/>
        <v>#NUM!</v>
      </c>
      <c r="N521" s="4" t="e">
        <f t="shared" si="100"/>
        <v>#NUM!</v>
      </c>
      <c r="O521" s="78" t="e">
        <f t="shared" si="101"/>
        <v>#NUM!</v>
      </c>
    </row>
    <row r="522" spans="2:15" x14ac:dyDescent="0.25">
      <c r="B522" s="15">
        <v>519</v>
      </c>
      <c r="C522" s="15">
        <v>1</v>
      </c>
      <c r="D522" s="80">
        <f t="shared" si="91"/>
        <v>1.0242169625733107E+129</v>
      </c>
      <c r="E522" s="80" t="e">
        <f t="shared" si="92"/>
        <v>#NUM!</v>
      </c>
      <c r="F522" s="15">
        <f t="shared" si="93"/>
        <v>1</v>
      </c>
      <c r="G522" s="4" t="e">
        <f t="shared" si="94"/>
        <v>#NUM!</v>
      </c>
      <c r="H522" s="76">
        <v>0.01</v>
      </c>
      <c r="I522" s="15">
        <f t="shared" si="95"/>
        <v>1.01</v>
      </c>
      <c r="J522" s="4">
        <f t="shared" si="96"/>
        <v>1.0242169625733107E+129</v>
      </c>
      <c r="K522" s="24" t="e">
        <f t="shared" si="97"/>
        <v>#NUM!</v>
      </c>
      <c r="L522" s="75">
        <f t="shared" si="98"/>
        <v>174.90128215631739</v>
      </c>
      <c r="M522" s="4" t="e">
        <f t="shared" si="99"/>
        <v>#NUM!</v>
      </c>
      <c r="N522" s="4" t="e">
        <f t="shared" si="100"/>
        <v>#NUM!</v>
      </c>
      <c r="O522" s="78" t="e">
        <f t="shared" si="101"/>
        <v>#NUM!</v>
      </c>
    </row>
    <row r="523" spans="2:15" x14ac:dyDescent="0.25">
      <c r="B523" s="15">
        <v>520</v>
      </c>
      <c r="C523" s="15">
        <v>1</v>
      </c>
      <c r="D523" s="80">
        <f t="shared" si="91"/>
        <v>1.8153772994758155E+129</v>
      </c>
      <c r="E523" s="80" t="e">
        <f t="shared" si="92"/>
        <v>#NUM!</v>
      </c>
      <c r="F523" s="15">
        <f t="shared" si="93"/>
        <v>1</v>
      </c>
      <c r="G523" s="4" t="e">
        <f t="shared" si="94"/>
        <v>#NUM!</v>
      </c>
      <c r="H523" s="76">
        <v>0.01</v>
      </c>
      <c r="I523" s="15">
        <f t="shared" si="95"/>
        <v>1.01</v>
      </c>
      <c r="J523" s="4">
        <f t="shared" si="96"/>
        <v>1.8153772994758155E+129</v>
      </c>
      <c r="K523" s="24" t="e">
        <f t="shared" si="97"/>
        <v>#NUM!</v>
      </c>
      <c r="L523" s="75">
        <f t="shared" si="98"/>
        <v>176.65029497788061</v>
      </c>
      <c r="M523" s="4" t="e">
        <f t="shared" si="99"/>
        <v>#NUM!</v>
      </c>
      <c r="N523" s="4" t="e">
        <f t="shared" si="100"/>
        <v>#NUM!</v>
      </c>
      <c r="O523" s="78" t="e">
        <f t="shared" si="101"/>
        <v>#NUM!</v>
      </c>
    </row>
    <row r="524" spans="2:15" x14ac:dyDescent="0.25">
      <c r="B524" s="15">
        <v>521</v>
      </c>
      <c r="C524" s="15">
        <v>1</v>
      </c>
      <c r="D524" s="80">
        <f t="shared" si="91"/>
        <v>3.2176724853024129E+129</v>
      </c>
      <c r="E524" s="80" t="e">
        <f t="shared" si="92"/>
        <v>#NUM!</v>
      </c>
      <c r="F524" s="15">
        <f t="shared" si="93"/>
        <v>1</v>
      </c>
      <c r="G524" s="4" t="e">
        <f t="shared" si="94"/>
        <v>#NUM!</v>
      </c>
      <c r="H524" s="76">
        <v>0.01</v>
      </c>
      <c r="I524" s="15">
        <f t="shared" si="95"/>
        <v>1.01</v>
      </c>
      <c r="J524" s="4">
        <f t="shared" si="96"/>
        <v>3.2176724853024129E+129</v>
      </c>
      <c r="K524" s="24" t="e">
        <f t="shared" si="97"/>
        <v>#NUM!</v>
      </c>
      <c r="L524" s="75">
        <f t="shared" si="98"/>
        <v>178.41679792765945</v>
      </c>
      <c r="M524" s="4" t="e">
        <f t="shared" si="99"/>
        <v>#NUM!</v>
      </c>
      <c r="N524" s="4" t="e">
        <f t="shared" si="100"/>
        <v>#NUM!</v>
      </c>
      <c r="O524" s="78" t="e">
        <f t="shared" si="101"/>
        <v>#NUM!</v>
      </c>
    </row>
    <row r="525" spans="2:15" x14ac:dyDescent="0.25">
      <c r="B525" s="15">
        <v>522</v>
      </c>
      <c r="C525" s="15">
        <v>1</v>
      </c>
      <c r="D525" s="80">
        <f t="shared" si="91"/>
        <v>5.7031759875268987E+129</v>
      </c>
      <c r="E525" s="80" t="e">
        <f t="shared" si="92"/>
        <v>#NUM!</v>
      </c>
      <c r="F525" s="15">
        <f t="shared" si="93"/>
        <v>1</v>
      </c>
      <c r="G525" s="4" t="e">
        <f t="shared" si="94"/>
        <v>#NUM!</v>
      </c>
      <c r="H525" s="76">
        <v>0.01</v>
      </c>
      <c r="I525" s="15">
        <f t="shared" si="95"/>
        <v>1.01</v>
      </c>
      <c r="J525" s="4">
        <f t="shared" si="96"/>
        <v>5.7031759875268987E+129</v>
      </c>
      <c r="K525" s="24" t="e">
        <f t="shared" si="97"/>
        <v>#NUM!</v>
      </c>
      <c r="L525" s="75">
        <f t="shared" si="98"/>
        <v>180.20096590693603</v>
      </c>
      <c r="M525" s="4" t="e">
        <f t="shared" si="99"/>
        <v>#NUM!</v>
      </c>
      <c r="N525" s="4" t="e">
        <f t="shared" si="100"/>
        <v>#NUM!</v>
      </c>
      <c r="O525" s="78" t="e">
        <f t="shared" si="101"/>
        <v>#NUM!</v>
      </c>
    </row>
    <row r="526" spans="2:15" x14ac:dyDescent="0.25">
      <c r="B526" s="15">
        <v>523</v>
      </c>
      <c r="C526" s="15">
        <v>1</v>
      </c>
      <c r="D526" s="80">
        <f t="shared" si="91"/>
        <v>1.0108616241484223E+130</v>
      </c>
      <c r="E526" s="80" t="e">
        <f t="shared" si="92"/>
        <v>#NUM!</v>
      </c>
      <c r="F526" s="15">
        <f t="shared" si="93"/>
        <v>1</v>
      </c>
      <c r="G526" s="4" t="e">
        <f t="shared" si="94"/>
        <v>#NUM!</v>
      </c>
      <c r="H526" s="76">
        <v>0.01</v>
      </c>
      <c r="I526" s="15">
        <f t="shared" si="95"/>
        <v>1.01</v>
      </c>
      <c r="J526" s="4">
        <f t="shared" si="96"/>
        <v>1.0108616241484223E+130</v>
      </c>
      <c r="K526" s="24" t="e">
        <f t="shared" si="97"/>
        <v>#NUM!</v>
      </c>
      <c r="L526" s="75">
        <f t="shared" si="98"/>
        <v>182.00297556600535</v>
      </c>
      <c r="M526" s="4" t="e">
        <f t="shared" si="99"/>
        <v>#NUM!</v>
      </c>
      <c r="N526" s="4" t="e">
        <f t="shared" si="100"/>
        <v>#NUM!</v>
      </c>
      <c r="O526" s="78" t="e">
        <f t="shared" si="101"/>
        <v>#NUM!</v>
      </c>
    </row>
    <row r="527" spans="2:15" x14ac:dyDescent="0.25">
      <c r="B527" s="15">
        <v>524</v>
      </c>
      <c r="C527" s="15">
        <v>1</v>
      </c>
      <c r="D527" s="80">
        <f t="shared" si="91"/>
        <v>1.791705578454422E+130</v>
      </c>
      <c r="E527" s="80" t="e">
        <f t="shared" si="92"/>
        <v>#NUM!</v>
      </c>
      <c r="F527" s="15">
        <f t="shared" si="93"/>
        <v>1</v>
      </c>
      <c r="G527" s="4" t="e">
        <f t="shared" si="94"/>
        <v>#NUM!</v>
      </c>
      <c r="H527" s="76">
        <v>0.01</v>
      </c>
      <c r="I527" s="15">
        <f t="shared" si="95"/>
        <v>1.01</v>
      </c>
      <c r="J527" s="4">
        <f t="shared" si="96"/>
        <v>1.791705578454422E+130</v>
      </c>
      <c r="K527" s="24" t="e">
        <f t="shared" si="97"/>
        <v>#NUM!</v>
      </c>
      <c r="L527" s="75">
        <f t="shared" si="98"/>
        <v>183.82300532166542</v>
      </c>
      <c r="M527" s="4" t="e">
        <f t="shared" si="99"/>
        <v>#NUM!</v>
      </c>
      <c r="N527" s="4" t="e">
        <f t="shared" si="100"/>
        <v>#NUM!</v>
      </c>
      <c r="O527" s="78" t="e">
        <f t="shared" si="101"/>
        <v>#NUM!</v>
      </c>
    </row>
    <row r="528" spans="2:15" x14ac:dyDescent="0.25">
      <c r="B528" s="15">
        <v>525</v>
      </c>
      <c r="C528" s="15">
        <v>1</v>
      </c>
      <c r="D528" s="80">
        <f t="shared" si="91"/>
        <v>3.1757154522203966E+130</v>
      </c>
      <c r="E528" s="80" t="e">
        <f t="shared" si="92"/>
        <v>#NUM!</v>
      </c>
      <c r="F528" s="15">
        <f t="shared" si="93"/>
        <v>1</v>
      </c>
      <c r="G528" s="4" t="e">
        <f t="shared" si="94"/>
        <v>#NUM!</v>
      </c>
      <c r="H528" s="76">
        <v>0.01</v>
      </c>
      <c r="I528" s="15">
        <f t="shared" si="95"/>
        <v>1.01</v>
      </c>
      <c r="J528" s="4">
        <f t="shared" si="96"/>
        <v>3.1757154522203966E+130</v>
      </c>
      <c r="K528" s="24" t="e">
        <f t="shared" si="97"/>
        <v>#NUM!</v>
      </c>
      <c r="L528" s="75">
        <f t="shared" si="98"/>
        <v>185.66123537488207</v>
      </c>
      <c r="M528" s="4" t="e">
        <f t="shared" si="99"/>
        <v>#NUM!</v>
      </c>
      <c r="N528" s="4" t="e">
        <f t="shared" si="100"/>
        <v>#NUM!</v>
      </c>
      <c r="O528" s="78" t="e">
        <f t="shared" si="101"/>
        <v>#NUM!</v>
      </c>
    </row>
    <row r="529" spans="2:15" x14ac:dyDescent="0.25">
      <c r="B529" s="15">
        <v>526</v>
      </c>
      <c r="C529" s="15">
        <v>1</v>
      </c>
      <c r="D529" s="80">
        <f t="shared" si="91"/>
        <v>5.6288090826682628E+130</v>
      </c>
      <c r="E529" s="80" t="e">
        <f t="shared" si="92"/>
        <v>#NUM!</v>
      </c>
      <c r="F529" s="15">
        <f t="shared" si="93"/>
        <v>1</v>
      </c>
      <c r="G529" s="4" t="e">
        <f t="shared" si="94"/>
        <v>#NUM!</v>
      </c>
      <c r="H529" s="76">
        <v>0.01</v>
      </c>
      <c r="I529" s="15">
        <f t="shared" si="95"/>
        <v>1.01</v>
      </c>
      <c r="J529" s="4">
        <f t="shared" si="96"/>
        <v>5.6288090826682628E+130</v>
      </c>
      <c r="K529" s="24" t="e">
        <f t="shared" si="97"/>
        <v>#NUM!</v>
      </c>
      <c r="L529" s="75">
        <f t="shared" si="98"/>
        <v>187.51784772863093</v>
      </c>
      <c r="M529" s="4" t="e">
        <f t="shared" si="99"/>
        <v>#NUM!</v>
      </c>
      <c r="N529" s="4" t="e">
        <f t="shared" si="100"/>
        <v>#NUM!</v>
      </c>
      <c r="O529" s="78" t="e">
        <f t="shared" si="101"/>
        <v>#NUM!</v>
      </c>
    </row>
    <row r="530" spans="2:15" x14ac:dyDescent="0.25">
      <c r="B530" s="15">
        <v>527</v>
      </c>
      <c r="C530" s="15">
        <v>1</v>
      </c>
      <c r="D530" s="80">
        <f t="shared" si="91"/>
        <v>9.9768043345873353E+130</v>
      </c>
      <c r="E530" s="80" t="e">
        <f t="shared" si="92"/>
        <v>#NUM!</v>
      </c>
      <c r="F530" s="15">
        <f t="shared" si="93"/>
        <v>1</v>
      </c>
      <c r="G530" s="4" t="e">
        <f t="shared" si="94"/>
        <v>#NUM!</v>
      </c>
      <c r="H530" s="76">
        <v>0.01</v>
      </c>
      <c r="I530" s="15">
        <f t="shared" si="95"/>
        <v>1.01</v>
      </c>
      <c r="J530" s="4">
        <f t="shared" si="96"/>
        <v>9.9768043345873353E+130</v>
      </c>
      <c r="K530" s="24" t="e">
        <f t="shared" si="97"/>
        <v>#NUM!</v>
      </c>
      <c r="L530" s="75">
        <f t="shared" si="98"/>
        <v>189.39302620591718</v>
      </c>
      <c r="M530" s="4" t="e">
        <f t="shared" si="99"/>
        <v>#NUM!</v>
      </c>
      <c r="N530" s="4" t="e">
        <f t="shared" si="100"/>
        <v>#NUM!</v>
      </c>
      <c r="O530" s="78" t="e">
        <f t="shared" si="101"/>
        <v>#NUM!</v>
      </c>
    </row>
    <row r="531" spans="2:15" x14ac:dyDescent="0.25">
      <c r="B531" s="15">
        <v>528</v>
      </c>
      <c r="C531" s="15">
        <v>1</v>
      </c>
      <c r="D531" s="80">
        <f t="shared" si="91"/>
        <v>1.7683425262570117E+131</v>
      </c>
      <c r="E531" s="80" t="e">
        <f t="shared" si="92"/>
        <v>#NUM!</v>
      </c>
      <c r="F531" s="15">
        <f t="shared" si="93"/>
        <v>1</v>
      </c>
      <c r="G531" s="4" t="e">
        <f t="shared" si="94"/>
        <v>#NUM!</v>
      </c>
      <c r="H531" s="76">
        <v>0.01</v>
      </c>
      <c r="I531" s="15">
        <f t="shared" si="95"/>
        <v>1.01</v>
      </c>
      <c r="J531" s="4">
        <f t="shared" si="96"/>
        <v>1.7683425262570117E+131</v>
      </c>
      <c r="K531" s="24" t="e">
        <f t="shared" si="97"/>
        <v>#NUM!</v>
      </c>
      <c r="L531" s="75">
        <f t="shared" si="98"/>
        <v>191.28695646797641</v>
      </c>
      <c r="M531" s="4" t="e">
        <f t="shared" si="99"/>
        <v>#NUM!</v>
      </c>
      <c r="N531" s="4" t="e">
        <f t="shared" si="100"/>
        <v>#NUM!</v>
      </c>
      <c r="O531" s="78" t="e">
        <f t="shared" si="101"/>
        <v>#NUM!</v>
      </c>
    </row>
    <row r="532" spans="2:15" x14ac:dyDescent="0.25">
      <c r="B532" s="15">
        <v>529</v>
      </c>
      <c r="C532" s="15">
        <v>1</v>
      </c>
      <c r="D532" s="80">
        <f t="shared" si="91"/>
        <v>3.1343055203842841E+131</v>
      </c>
      <c r="E532" s="80" t="e">
        <f t="shared" si="92"/>
        <v>#NUM!</v>
      </c>
      <c r="F532" s="15">
        <f t="shared" si="93"/>
        <v>1</v>
      </c>
      <c r="G532" s="4" t="e">
        <f t="shared" si="94"/>
        <v>#NUM!</v>
      </c>
      <c r="H532" s="76">
        <v>0.01</v>
      </c>
      <c r="I532" s="15">
        <f t="shared" si="95"/>
        <v>1.01</v>
      </c>
      <c r="J532" s="4">
        <f t="shared" si="96"/>
        <v>3.1343055203842841E+131</v>
      </c>
      <c r="K532" s="24" t="e">
        <f t="shared" si="97"/>
        <v>#NUM!</v>
      </c>
      <c r="L532" s="75">
        <f t="shared" si="98"/>
        <v>193.19982603265618</v>
      </c>
      <c r="M532" s="4" t="e">
        <f t="shared" si="99"/>
        <v>#NUM!</v>
      </c>
      <c r="N532" s="4" t="e">
        <f t="shared" si="100"/>
        <v>#NUM!</v>
      </c>
      <c r="O532" s="78" t="e">
        <f t="shared" si="101"/>
        <v>#NUM!</v>
      </c>
    </row>
    <row r="533" spans="2:15" x14ac:dyDescent="0.25">
      <c r="B533" s="15">
        <v>530</v>
      </c>
      <c r="C533" s="15">
        <v>1</v>
      </c>
      <c r="D533" s="80">
        <f t="shared" si="91"/>
        <v>5.5554118895194439E+131</v>
      </c>
      <c r="E533" s="80" t="e">
        <f t="shared" si="92"/>
        <v>#NUM!</v>
      </c>
      <c r="F533" s="15">
        <f t="shared" si="93"/>
        <v>1</v>
      </c>
      <c r="G533" s="4" t="e">
        <f t="shared" si="94"/>
        <v>#NUM!</v>
      </c>
      <c r="H533" s="76">
        <v>0.01</v>
      </c>
      <c r="I533" s="15">
        <f t="shared" si="95"/>
        <v>1.01</v>
      </c>
      <c r="J533" s="4">
        <f t="shared" si="96"/>
        <v>5.5554118895194439E+131</v>
      </c>
      <c r="K533" s="24" t="e">
        <f t="shared" si="97"/>
        <v>#NUM!</v>
      </c>
      <c r="L533" s="75">
        <f t="shared" si="98"/>
        <v>195.13182429298274</v>
      </c>
      <c r="M533" s="4" t="e">
        <f t="shared" si="99"/>
        <v>#NUM!</v>
      </c>
      <c r="N533" s="4" t="e">
        <f t="shared" si="100"/>
        <v>#NUM!</v>
      </c>
      <c r="O533" s="78" t="e">
        <f t="shared" si="101"/>
        <v>#NUM!</v>
      </c>
    </row>
    <row r="534" spans="2:15" x14ac:dyDescent="0.25">
      <c r="B534" s="15">
        <v>531</v>
      </c>
      <c r="C534" s="15">
        <v>1</v>
      </c>
      <c r="D534" s="80">
        <f t="shared" ref="D534:D540" si="102">PI()^(B534/2)</f>
        <v>9.846711196945348E+131</v>
      </c>
      <c r="E534" s="80" t="e">
        <f t="shared" ref="E534:E540" si="103">EXP(_xlfn.GAMMALN.PRECISE((B534/2)+1))</f>
        <v>#NUM!</v>
      </c>
      <c r="F534" s="15">
        <f t="shared" ref="F534:F540" si="104">C534^B534</f>
        <v>1</v>
      </c>
      <c r="G534" s="4" t="e">
        <f t="shared" ref="G534:G540" si="105">D534*F534/E534</f>
        <v>#NUM!</v>
      </c>
      <c r="H534" s="76">
        <v>0.01</v>
      </c>
      <c r="I534" s="15">
        <f t="shared" ref="I534:I540" si="106">C534+(H534*C534)</f>
        <v>1.01</v>
      </c>
      <c r="J534" s="4">
        <f t="shared" ref="J534:J540" si="107">PI()^(B534/2)</f>
        <v>9.846711196945348E+131</v>
      </c>
      <c r="K534" s="24" t="e">
        <f t="shared" ref="K534:K540" si="108">EXP(_xlfn.GAMMALN.PRECISE((B534/2)+1))</f>
        <v>#NUM!</v>
      </c>
      <c r="L534" s="75">
        <f t="shared" ref="L534:L540" si="109">I534^B534</f>
        <v>197.08314253591254</v>
      </c>
      <c r="M534" s="4" t="e">
        <f t="shared" ref="M534:M540" si="110">J534*L534/K534</f>
        <v>#NUM!</v>
      </c>
      <c r="N534" s="4" t="e">
        <f t="shared" ref="N534:N540" si="111">M534-G534</f>
        <v>#NUM!</v>
      </c>
      <c r="O534" s="78" t="e">
        <f t="shared" ref="O534:O540" si="112">N534/M534</f>
        <v>#NUM!</v>
      </c>
    </row>
    <row r="535" spans="2:15" x14ac:dyDescent="0.25">
      <c r="B535" s="15">
        <v>532</v>
      </c>
      <c r="C535" s="15">
        <v>1</v>
      </c>
      <c r="D535" s="80">
        <f t="shared" si="102"/>
        <v>1.7452841179779677E+132</v>
      </c>
      <c r="E535" s="80" t="e">
        <f t="shared" si="103"/>
        <v>#NUM!</v>
      </c>
      <c r="F535" s="15">
        <f t="shared" si="104"/>
        <v>1</v>
      </c>
      <c r="G535" s="4" t="e">
        <f t="shared" si="105"/>
        <v>#NUM!</v>
      </c>
      <c r="H535" s="76">
        <v>0.01</v>
      </c>
      <c r="I535" s="15">
        <f t="shared" si="106"/>
        <v>1.01</v>
      </c>
      <c r="J535" s="4">
        <f t="shared" si="107"/>
        <v>1.7452841179779677E+132</v>
      </c>
      <c r="K535" s="24" t="e">
        <f t="shared" si="108"/>
        <v>#NUM!</v>
      </c>
      <c r="L535" s="75">
        <f t="shared" si="109"/>
        <v>199.05397396127168</v>
      </c>
      <c r="M535" s="4" t="e">
        <f t="shared" si="110"/>
        <v>#NUM!</v>
      </c>
      <c r="N535" s="4" t="e">
        <f t="shared" si="111"/>
        <v>#NUM!</v>
      </c>
      <c r="O535" s="78" t="e">
        <f t="shared" si="112"/>
        <v>#NUM!</v>
      </c>
    </row>
    <row r="536" spans="2:15" x14ac:dyDescent="0.25">
      <c r="B536" s="15">
        <v>533</v>
      </c>
      <c r="C536" s="15">
        <v>1</v>
      </c>
      <c r="D536" s="80">
        <f t="shared" si="102"/>
        <v>3.0934355558342568E+132</v>
      </c>
      <c r="E536" s="80" t="e">
        <f t="shared" si="103"/>
        <v>#NUM!</v>
      </c>
      <c r="F536" s="15">
        <f t="shared" si="104"/>
        <v>1</v>
      </c>
      <c r="G536" s="4" t="e">
        <f t="shared" si="105"/>
        <v>#NUM!</v>
      </c>
      <c r="H536" s="76">
        <v>0.01</v>
      </c>
      <c r="I536" s="15">
        <f t="shared" si="106"/>
        <v>1.01</v>
      </c>
      <c r="J536" s="4">
        <f t="shared" si="107"/>
        <v>3.0934355558342568E+132</v>
      </c>
      <c r="K536" s="24" t="e">
        <f t="shared" si="108"/>
        <v>#NUM!</v>
      </c>
      <c r="L536" s="75">
        <f t="shared" si="109"/>
        <v>201.04451370088438</v>
      </c>
      <c r="M536" s="4" t="e">
        <f t="shared" si="110"/>
        <v>#NUM!</v>
      </c>
      <c r="N536" s="4" t="e">
        <f t="shared" si="111"/>
        <v>#NUM!</v>
      </c>
      <c r="O536" s="78" t="e">
        <f t="shared" si="112"/>
        <v>#NUM!</v>
      </c>
    </row>
    <row r="537" spans="2:15" x14ac:dyDescent="0.25">
      <c r="B537" s="15">
        <v>534</v>
      </c>
      <c r="C537" s="15">
        <v>1</v>
      </c>
      <c r="D537" s="80">
        <f t="shared" si="102"/>
        <v>5.4829717634665256E+132</v>
      </c>
      <c r="E537" s="80" t="e">
        <f t="shared" si="103"/>
        <v>#NUM!</v>
      </c>
      <c r="F537" s="15">
        <f t="shared" si="104"/>
        <v>1</v>
      </c>
      <c r="G537" s="4" t="e">
        <f t="shared" si="105"/>
        <v>#NUM!</v>
      </c>
      <c r="H537" s="76">
        <v>0.01</v>
      </c>
      <c r="I537" s="15">
        <f t="shared" si="106"/>
        <v>1.01</v>
      </c>
      <c r="J537" s="4">
        <f t="shared" si="107"/>
        <v>5.4829717634665256E+132</v>
      </c>
      <c r="K537" s="24" t="e">
        <f t="shared" si="108"/>
        <v>#NUM!</v>
      </c>
      <c r="L537" s="75">
        <f t="shared" si="109"/>
        <v>203.05495883789325</v>
      </c>
      <c r="M537" s="4" t="e">
        <f t="shared" si="110"/>
        <v>#NUM!</v>
      </c>
      <c r="N537" s="4" t="e">
        <f t="shared" si="111"/>
        <v>#NUM!</v>
      </c>
      <c r="O537" s="78" t="e">
        <f t="shared" si="112"/>
        <v>#NUM!</v>
      </c>
    </row>
    <row r="538" spans="2:15" x14ac:dyDescent="0.25">
      <c r="B538" s="15">
        <v>535</v>
      </c>
      <c r="C538" s="15">
        <v>1</v>
      </c>
      <c r="D538" s="80">
        <f t="shared" si="102"/>
        <v>9.7183144165625034E+132</v>
      </c>
      <c r="E538" s="80" t="e">
        <f t="shared" si="103"/>
        <v>#NUM!</v>
      </c>
      <c r="F538" s="15">
        <f t="shared" si="104"/>
        <v>1</v>
      </c>
      <c r="G538" s="4" t="e">
        <f t="shared" si="105"/>
        <v>#NUM!</v>
      </c>
      <c r="H538" s="76">
        <v>0.01</v>
      </c>
      <c r="I538" s="15">
        <f t="shared" si="106"/>
        <v>1.01</v>
      </c>
      <c r="J538" s="4">
        <f t="shared" si="107"/>
        <v>9.7183144165625034E+132</v>
      </c>
      <c r="K538" s="24" t="e">
        <f t="shared" si="108"/>
        <v>#NUM!</v>
      </c>
      <c r="L538" s="75">
        <f t="shared" si="109"/>
        <v>205.08550842627216</v>
      </c>
      <c r="M538" s="4" t="e">
        <f t="shared" si="110"/>
        <v>#NUM!</v>
      </c>
      <c r="N538" s="4" t="e">
        <f t="shared" si="111"/>
        <v>#NUM!</v>
      </c>
      <c r="O538" s="78" t="e">
        <f t="shared" si="112"/>
        <v>#NUM!</v>
      </c>
    </row>
    <row r="539" spans="2:15" x14ac:dyDescent="0.25">
      <c r="B539" s="15">
        <v>536</v>
      </c>
      <c r="C539" s="15">
        <v>1</v>
      </c>
      <c r="D539" s="80">
        <f t="shared" si="102"/>
        <v>1.722526381194671E+133</v>
      </c>
      <c r="E539" s="80" t="e">
        <f t="shared" si="103"/>
        <v>#NUM!</v>
      </c>
      <c r="F539" s="15">
        <f t="shared" si="104"/>
        <v>1</v>
      </c>
      <c r="G539" s="4" t="e">
        <f t="shared" si="105"/>
        <v>#NUM!</v>
      </c>
      <c r="H539" s="76">
        <v>0.01</v>
      </c>
      <c r="I539" s="15">
        <f t="shared" si="106"/>
        <v>1.01</v>
      </c>
      <c r="J539" s="4">
        <f t="shared" si="107"/>
        <v>1.722526381194671E+133</v>
      </c>
      <c r="K539" s="24" t="e">
        <f t="shared" si="108"/>
        <v>#NUM!</v>
      </c>
      <c r="L539" s="75">
        <f t="shared" si="109"/>
        <v>207.13636351053492</v>
      </c>
      <c r="M539" s="4" t="e">
        <f t="shared" si="110"/>
        <v>#NUM!</v>
      </c>
      <c r="N539" s="4" t="e">
        <f t="shared" si="111"/>
        <v>#NUM!</v>
      </c>
      <c r="O539" s="78" t="e">
        <f t="shared" si="112"/>
        <v>#NUM!</v>
      </c>
    </row>
    <row r="540" spans="2:15" x14ac:dyDescent="0.25">
      <c r="B540" s="15">
        <v>537</v>
      </c>
      <c r="C540" s="15">
        <v>1</v>
      </c>
      <c r="D540" s="80">
        <f t="shared" si="102"/>
        <v>3.0530985176348993E+133</v>
      </c>
      <c r="E540" s="80" t="e">
        <f t="shared" si="103"/>
        <v>#NUM!</v>
      </c>
      <c r="F540" s="15">
        <f t="shared" si="104"/>
        <v>1</v>
      </c>
      <c r="G540" s="4" t="e">
        <f t="shared" si="105"/>
        <v>#NUM!</v>
      </c>
      <c r="H540" s="76">
        <v>0.01</v>
      </c>
      <c r="I540" s="15">
        <f t="shared" si="106"/>
        <v>1.01</v>
      </c>
      <c r="J540" s="4">
        <f t="shared" si="107"/>
        <v>3.0530985176348993E+133</v>
      </c>
      <c r="K540" s="24" t="e">
        <f t="shared" si="108"/>
        <v>#NUM!</v>
      </c>
      <c r="L540" s="75">
        <f t="shared" si="109"/>
        <v>209.20772714564029</v>
      </c>
      <c r="M540" s="4" t="e">
        <f t="shared" si="110"/>
        <v>#NUM!</v>
      </c>
      <c r="N540" s="4" t="e">
        <f t="shared" si="111"/>
        <v>#NUM!</v>
      </c>
      <c r="O540" s="78" t="e">
        <f t="shared" si="112"/>
        <v>#NUM!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HR30"/>
  <sheetViews>
    <sheetView showGridLines="0" zoomScale="60" zoomScaleNormal="60" workbookViewId="0">
      <selection activeCell="CX9" sqref="CX9:DH11"/>
    </sheetView>
  </sheetViews>
  <sheetFormatPr defaultColWidth="3.42578125" defaultRowHeight="18.600000000000001" customHeight="1" x14ac:dyDescent="0.25"/>
  <cols>
    <col min="73" max="73" width="15" customWidth="1"/>
    <col min="74" max="74" width="12" bestFit="1" customWidth="1"/>
    <col min="75" max="75" width="13.42578125" customWidth="1"/>
    <col min="105" max="105" width="1.28515625" customWidth="1"/>
    <col min="109" max="109" width="1" customWidth="1"/>
  </cols>
  <sheetData>
    <row r="1" spans="8:226" ht="18.600000000000001" customHeight="1" thickBot="1" x14ac:dyDescent="0.35"/>
    <row r="2" spans="8:226" ht="25.9" customHeight="1" thickBot="1" x14ac:dyDescent="0.5">
      <c r="O2" s="82"/>
      <c r="DJ2" s="156"/>
      <c r="DK2" s="172" t="s">
        <v>889</v>
      </c>
      <c r="DL2" s="173"/>
      <c r="DM2" s="173"/>
      <c r="DN2" s="173"/>
      <c r="DO2" s="173"/>
      <c r="DP2" s="173"/>
      <c r="DQ2" s="173"/>
      <c r="DR2" s="173"/>
      <c r="DS2" s="173"/>
      <c r="DT2" s="173"/>
      <c r="DU2" s="173"/>
      <c r="DV2" s="173"/>
      <c r="DW2" s="173"/>
      <c r="DX2" s="173"/>
      <c r="DY2" s="173"/>
      <c r="DZ2" s="173"/>
      <c r="EA2" s="173"/>
      <c r="EB2" s="173"/>
      <c r="EC2" s="173"/>
      <c r="ED2" s="173"/>
      <c r="EE2" s="173"/>
      <c r="EF2" s="173"/>
      <c r="EG2" s="173"/>
      <c r="EH2" s="173"/>
      <c r="EI2" s="173"/>
      <c r="EJ2" s="173"/>
      <c r="EK2" s="173"/>
      <c r="EL2" s="174"/>
      <c r="EM2" s="172" t="s">
        <v>890</v>
      </c>
      <c r="EN2" s="173"/>
      <c r="EO2" s="173"/>
      <c r="EP2" s="173"/>
      <c r="EQ2" s="173"/>
      <c r="ER2" s="173"/>
      <c r="ES2" s="173"/>
      <c r="ET2" s="173"/>
      <c r="EU2" s="173"/>
      <c r="EV2" s="173"/>
      <c r="EW2" s="173"/>
      <c r="EX2" s="173"/>
      <c r="EY2" s="173"/>
      <c r="EZ2" s="173"/>
      <c r="FA2" s="173"/>
      <c r="FB2" s="173"/>
      <c r="FC2" s="173"/>
      <c r="FD2" s="173"/>
      <c r="FE2" s="173"/>
      <c r="FF2" s="173"/>
      <c r="FG2" s="173"/>
      <c r="FH2" s="173"/>
      <c r="FI2" s="173"/>
      <c r="FJ2" s="173"/>
      <c r="FK2" s="173"/>
      <c r="FL2" s="173"/>
      <c r="FM2" s="173"/>
      <c r="FN2" s="174"/>
      <c r="FO2" s="172" t="s">
        <v>891</v>
      </c>
      <c r="FP2" s="173"/>
      <c r="FQ2" s="173"/>
      <c r="FR2" s="173"/>
      <c r="FS2" s="173"/>
      <c r="FT2" s="173"/>
      <c r="FU2" s="173"/>
      <c r="FV2" s="173"/>
      <c r="FW2" s="173"/>
      <c r="FX2" s="173"/>
      <c r="FY2" s="173"/>
      <c r="FZ2" s="173"/>
      <c r="GA2" s="173"/>
      <c r="GB2" s="173"/>
      <c r="GC2" s="173"/>
      <c r="GD2" s="173"/>
      <c r="GE2" s="173"/>
      <c r="GF2" s="173"/>
      <c r="GG2" s="173"/>
      <c r="GH2" s="173"/>
      <c r="GI2" s="173"/>
      <c r="GJ2" s="173"/>
      <c r="GK2" s="173"/>
      <c r="GL2" s="173"/>
      <c r="GM2" s="173"/>
      <c r="GN2" s="173"/>
      <c r="GO2" s="173"/>
      <c r="GP2" s="174"/>
      <c r="GQ2" s="172" t="s">
        <v>892</v>
      </c>
      <c r="GR2" s="173"/>
      <c r="GS2" s="173"/>
      <c r="GT2" s="173"/>
      <c r="GU2" s="173"/>
      <c r="GV2" s="173"/>
      <c r="GW2" s="173"/>
      <c r="GX2" s="173"/>
      <c r="GY2" s="173"/>
      <c r="GZ2" s="173"/>
      <c r="HA2" s="173"/>
      <c r="HB2" s="173"/>
      <c r="HC2" s="173"/>
      <c r="HD2" s="173"/>
      <c r="HE2" s="173"/>
      <c r="HF2" s="173"/>
      <c r="HG2" s="173"/>
      <c r="HH2" s="173"/>
      <c r="HI2" s="173"/>
      <c r="HJ2" s="173"/>
      <c r="HK2" s="173"/>
      <c r="HL2" s="173"/>
      <c r="HM2" s="173"/>
      <c r="HN2" s="173"/>
      <c r="HO2" s="173"/>
      <c r="HP2" s="173"/>
      <c r="HQ2" s="173"/>
      <c r="HR2" s="174"/>
    </row>
    <row r="3" spans="8:226" ht="18.600000000000001" customHeight="1" thickBot="1" x14ac:dyDescent="0.35"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N3" s="83">
        <f t="shared" ref="AN3:AN19" ca="1" si="0">RANDBETWEEN(0,1)</f>
        <v>1</v>
      </c>
      <c r="AO3" s="83">
        <f t="shared" ref="AO3:BD18" ca="1" si="1">RANDBETWEEN(0,1)</f>
        <v>1</v>
      </c>
      <c r="AP3" s="83">
        <f t="shared" ca="1" si="1"/>
        <v>1</v>
      </c>
      <c r="AQ3" s="83">
        <f t="shared" ca="1" si="1"/>
        <v>0</v>
      </c>
      <c r="AR3" s="83">
        <f t="shared" ca="1" si="1"/>
        <v>0</v>
      </c>
      <c r="AS3" s="83">
        <f t="shared" ca="1" si="1"/>
        <v>0</v>
      </c>
      <c r="AT3" s="83">
        <f t="shared" ca="1" si="1"/>
        <v>1</v>
      </c>
      <c r="AU3" s="83">
        <f t="shared" ca="1" si="1"/>
        <v>1</v>
      </c>
      <c r="AV3" s="83">
        <f t="shared" ca="1" si="1"/>
        <v>1</v>
      </c>
      <c r="AW3" s="83">
        <f t="shared" ca="1" si="1"/>
        <v>1</v>
      </c>
      <c r="AX3" s="83">
        <f t="shared" ca="1" si="1"/>
        <v>0</v>
      </c>
      <c r="AY3" s="83">
        <f t="shared" ca="1" si="1"/>
        <v>1</v>
      </c>
      <c r="AZ3" s="83">
        <f t="shared" ca="1" si="1"/>
        <v>0</v>
      </c>
      <c r="BA3" s="83">
        <f t="shared" ca="1" si="1"/>
        <v>0</v>
      </c>
      <c r="BB3" s="83">
        <f t="shared" ca="1" si="1"/>
        <v>1</v>
      </c>
      <c r="BC3" s="83">
        <f t="shared" ca="1" si="1"/>
        <v>1</v>
      </c>
      <c r="BD3" s="83">
        <f t="shared" ca="1" si="1"/>
        <v>0</v>
      </c>
      <c r="BE3" s="83">
        <f t="shared" ref="BE3:BO18" ca="1" si="2">RANDBETWEEN(0,1)</f>
        <v>0</v>
      </c>
      <c r="BF3" s="83">
        <f t="shared" ca="1" si="2"/>
        <v>0</v>
      </c>
      <c r="BG3" s="83">
        <f t="shared" ca="1" si="2"/>
        <v>1</v>
      </c>
      <c r="BH3" s="83">
        <f t="shared" ca="1" si="2"/>
        <v>1</v>
      </c>
      <c r="BI3" s="83">
        <f t="shared" ca="1" si="2"/>
        <v>0</v>
      </c>
      <c r="BJ3" s="83">
        <f t="shared" ca="1" si="2"/>
        <v>0</v>
      </c>
      <c r="BK3" s="83">
        <f t="shared" ca="1" si="2"/>
        <v>0</v>
      </c>
      <c r="BL3" s="83">
        <f t="shared" ca="1" si="2"/>
        <v>1</v>
      </c>
      <c r="BM3" s="83">
        <f t="shared" ca="1" si="2"/>
        <v>0</v>
      </c>
      <c r="BN3" s="83">
        <f t="shared" ca="1" si="2"/>
        <v>0</v>
      </c>
      <c r="BO3" s="83">
        <f t="shared" ca="1" si="2"/>
        <v>1</v>
      </c>
      <c r="DK3" s="86">
        <v>0</v>
      </c>
      <c r="DL3" s="87">
        <v>0</v>
      </c>
      <c r="DM3" s="87">
        <v>0</v>
      </c>
      <c r="DN3" s="87">
        <v>0</v>
      </c>
      <c r="DO3" s="87">
        <v>0</v>
      </c>
      <c r="DP3" s="87">
        <v>0</v>
      </c>
      <c r="DQ3" s="87">
        <v>0</v>
      </c>
      <c r="DR3" s="87">
        <v>0</v>
      </c>
      <c r="DS3" s="87">
        <v>0</v>
      </c>
      <c r="DT3" s="87">
        <v>0</v>
      </c>
      <c r="DU3" s="87">
        <v>0</v>
      </c>
      <c r="DV3" s="87">
        <v>0</v>
      </c>
      <c r="DW3" s="87">
        <v>0</v>
      </c>
      <c r="DX3" s="87">
        <v>0</v>
      </c>
      <c r="DY3" s="87">
        <v>0</v>
      </c>
      <c r="DZ3" s="87">
        <v>0</v>
      </c>
      <c r="EA3" s="87">
        <v>0</v>
      </c>
      <c r="EB3" s="87">
        <v>0</v>
      </c>
      <c r="EC3" s="87">
        <v>0</v>
      </c>
      <c r="ED3" s="87">
        <v>0</v>
      </c>
      <c r="EE3" s="87">
        <v>0</v>
      </c>
      <c r="EF3" s="87">
        <v>0</v>
      </c>
      <c r="EG3" s="87">
        <v>0</v>
      </c>
      <c r="EH3" s="87">
        <v>0</v>
      </c>
      <c r="EI3" s="87">
        <v>0</v>
      </c>
      <c r="EJ3" s="87">
        <v>0</v>
      </c>
      <c r="EK3" s="87">
        <v>0</v>
      </c>
      <c r="EL3" s="88">
        <v>0</v>
      </c>
      <c r="EM3" s="157">
        <v>0</v>
      </c>
      <c r="EN3" s="87">
        <v>0</v>
      </c>
      <c r="EO3" s="87">
        <v>0</v>
      </c>
      <c r="EP3" s="87">
        <v>0</v>
      </c>
      <c r="EQ3" s="87">
        <v>0</v>
      </c>
      <c r="ER3" s="87">
        <v>0</v>
      </c>
      <c r="ES3" s="87">
        <v>0</v>
      </c>
      <c r="ET3" s="87">
        <v>0</v>
      </c>
      <c r="EU3" s="87">
        <v>0</v>
      </c>
      <c r="EV3" s="87">
        <v>0</v>
      </c>
      <c r="EW3" s="87">
        <v>0</v>
      </c>
      <c r="EX3" s="87">
        <v>0</v>
      </c>
      <c r="EY3" s="87">
        <v>0</v>
      </c>
      <c r="EZ3" s="87">
        <v>0</v>
      </c>
      <c r="FA3" s="87">
        <v>0</v>
      </c>
      <c r="FB3" s="89">
        <v>1</v>
      </c>
      <c r="FC3" s="89">
        <v>1</v>
      </c>
      <c r="FD3" s="87">
        <v>0</v>
      </c>
      <c r="FE3" s="87">
        <v>0</v>
      </c>
      <c r="FF3" s="87">
        <v>0</v>
      </c>
      <c r="FG3" s="87">
        <v>0</v>
      </c>
      <c r="FH3" s="87">
        <v>0</v>
      </c>
      <c r="FI3" s="87">
        <v>0</v>
      </c>
      <c r="FJ3" s="87">
        <v>0</v>
      </c>
      <c r="FK3" s="87">
        <v>0</v>
      </c>
      <c r="FL3" s="87">
        <v>0</v>
      </c>
      <c r="FM3" s="87">
        <v>0</v>
      </c>
      <c r="FN3" s="88">
        <v>0</v>
      </c>
      <c r="FO3" s="153">
        <v>0</v>
      </c>
      <c r="FP3" s="154">
        <v>0</v>
      </c>
      <c r="FQ3" s="154">
        <v>0</v>
      </c>
      <c r="FR3" s="154">
        <v>0</v>
      </c>
      <c r="FS3" s="154">
        <v>0</v>
      </c>
      <c r="FT3" s="154">
        <v>0</v>
      </c>
      <c r="FU3" s="154">
        <v>0</v>
      </c>
      <c r="FV3" s="154">
        <v>0</v>
      </c>
      <c r="FW3" s="154">
        <v>0</v>
      </c>
      <c r="FX3" s="154">
        <v>0</v>
      </c>
      <c r="FY3" s="154">
        <v>0</v>
      </c>
      <c r="FZ3" s="154">
        <v>0</v>
      </c>
      <c r="GA3" s="154">
        <v>0</v>
      </c>
      <c r="GB3" s="154">
        <v>0</v>
      </c>
      <c r="GC3" s="89">
        <v>1</v>
      </c>
      <c r="GD3" s="89">
        <v>1</v>
      </c>
      <c r="GE3" s="89">
        <v>1</v>
      </c>
      <c r="GF3" s="154">
        <v>0</v>
      </c>
      <c r="GG3" s="154">
        <v>0</v>
      </c>
      <c r="GH3" s="154">
        <v>0</v>
      </c>
      <c r="GI3" s="154">
        <v>0</v>
      </c>
      <c r="GJ3" s="154">
        <v>0</v>
      </c>
      <c r="GK3" s="154">
        <v>0</v>
      </c>
      <c r="GL3" s="154">
        <v>0</v>
      </c>
      <c r="GM3" s="154">
        <v>0</v>
      </c>
      <c r="GN3" s="154">
        <v>0</v>
      </c>
      <c r="GO3" s="154">
        <v>0</v>
      </c>
      <c r="GP3" s="155">
        <v>0</v>
      </c>
      <c r="GQ3" s="153">
        <v>0</v>
      </c>
      <c r="GR3" s="154">
        <v>0</v>
      </c>
      <c r="GS3" s="154">
        <v>0</v>
      </c>
      <c r="GT3" s="154">
        <v>0</v>
      </c>
      <c r="GU3" s="154">
        <v>0</v>
      </c>
      <c r="GV3" s="154">
        <v>0</v>
      </c>
      <c r="GW3" s="154">
        <v>0</v>
      </c>
      <c r="GX3" s="154">
        <v>0</v>
      </c>
      <c r="GY3" s="154">
        <v>0</v>
      </c>
      <c r="GZ3" s="154">
        <v>0</v>
      </c>
      <c r="HA3" s="154">
        <v>0</v>
      </c>
      <c r="HB3" s="154">
        <v>0</v>
      </c>
      <c r="HC3" s="154">
        <v>0</v>
      </c>
      <c r="HD3" s="89">
        <v>1</v>
      </c>
      <c r="HE3" s="89">
        <v>1</v>
      </c>
      <c r="HF3" s="89">
        <v>1</v>
      </c>
      <c r="HG3" s="89">
        <v>1</v>
      </c>
      <c r="HH3" s="87">
        <v>0</v>
      </c>
      <c r="HI3" s="87">
        <v>0</v>
      </c>
      <c r="HJ3" s="87">
        <v>0</v>
      </c>
      <c r="HK3" s="87">
        <v>0</v>
      </c>
      <c r="HL3" s="87">
        <v>0</v>
      </c>
      <c r="HM3" s="87">
        <v>0</v>
      </c>
      <c r="HN3" s="87">
        <v>0</v>
      </c>
      <c r="HO3" s="87">
        <v>0</v>
      </c>
      <c r="HP3" s="87">
        <v>0</v>
      </c>
      <c r="HQ3" s="87">
        <v>0</v>
      </c>
      <c r="HR3" s="88">
        <v>0</v>
      </c>
    </row>
    <row r="4" spans="8:226" ht="18.600000000000001" customHeight="1" x14ac:dyDescent="0.3"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5"/>
      <c r="X4" s="85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N4" s="83">
        <f t="shared" ca="1" si="0"/>
        <v>0</v>
      </c>
      <c r="AO4" s="83">
        <f t="shared" ca="1" si="1"/>
        <v>1</v>
      </c>
      <c r="AP4" s="83">
        <f t="shared" ca="1" si="1"/>
        <v>1</v>
      </c>
      <c r="AQ4" s="83">
        <f t="shared" ca="1" si="1"/>
        <v>1</v>
      </c>
      <c r="AR4" s="83">
        <f t="shared" ca="1" si="1"/>
        <v>0</v>
      </c>
      <c r="AS4" s="83">
        <f t="shared" ca="1" si="1"/>
        <v>0</v>
      </c>
      <c r="AT4" s="83">
        <f t="shared" ca="1" si="1"/>
        <v>1</v>
      </c>
      <c r="AU4" s="83">
        <f t="shared" ca="1" si="1"/>
        <v>0</v>
      </c>
      <c r="AV4" s="83">
        <f t="shared" ca="1" si="1"/>
        <v>0</v>
      </c>
      <c r="AW4" s="83">
        <f t="shared" ca="1" si="1"/>
        <v>1</v>
      </c>
      <c r="AX4" s="83">
        <f t="shared" ca="1" si="1"/>
        <v>1</v>
      </c>
      <c r="AY4" s="83">
        <f t="shared" ca="1" si="1"/>
        <v>1</v>
      </c>
      <c r="AZ4" s="83">
        <f t="shared" ca="1" si="1"/>
        <v>0</v>
      </c>
      <c r="BA4" s="83">
        <f t="shared" ca="1" si="1"/>
        <v>0</v>
      </c>
      <c r="BB4" s="83">
        <f t="shared" ca="1" si="1"/>
        <v>1</v>
      </c>
      <c r="BC4" s="83">
        <f t="shared" ca="1" si="1"/>
        <v>1</v>
      </c>
      <c r="BD4" s="83">
        <f t="shared" ca="1" si="1"/>
        <v>0</v>
      </c>
      <c r="BE4" s="83">
        <f t="shared" ca="1" si="2"/>
        <v>1</v>
      </c>
      <c r="BF4" s="83">
        <f t="shared" ca="1" si="2"/>
        <v>0</v>
      </c>
      <c r="BG4" s="83">
        <f t="shared" ca="1" si="2"/>
        <v>0</v>
      </c>
      <c r="BH4" s="83">
        <f t="shared" ca="1" si="2"/>
        <v>0</v>
      </c>
      <c r="BI4" s="83">
        <f t="shared" ca="1" si="2"/>
        <v>1</v>
      </c>
      <c r="BJ4" s="83">
        <f t="shared" ca="1" si="2"/>
        <v>1</v>
      </c>
      <c r="BK4" s="83">
        <f t="shared" ca="1" si="2"/>
        <v>0</v>
      </c>
      <c r="BL4" s="83">
        <f t="shared" ca="1" si="2"/>
        <v>1</v>
      </c>
      <c r="BM4" s="83">
        <f t="shared" ca="1" si="2"/>
        <v>0</v>
      </c>
      <c r="BN4" s="83">
        <f t="shared" ca="1" si="2"/>
        <v>0</v>
      </c>
      <c r="BO4" s="83">
        <f t="shared" ca="1" si="2"/>
        <v>0</v>
      </c>
    </row>
    <row r="5" spans="8:226" ht="18.600000000000001" customHeight="1" x14ac:dyDescent="0.3"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5"/>
      <c r="W5" s="85"/>
      <c r="X5" s="85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N5" s="83">
        <f t="shared" ca="1" si="0"/>
        <v>1</v>
      </c>
      <c r="AO5" s="83">
        <f t="shared" ca="1" si="1"/>
        <v>0</v>
      </c>
      <c r="AP5" s="83">
        <f t="shared" ca="1" si="1"/>
        <v>0</v>
      </c>
      <c r="AQ5" s="83">
        <f t="shared" ca="1" si="1"/>
        <v>1</v>
      </c>
      <c r="AR5" s="83">
        <f t="shared" ca="1" si="1"/>
        <v>1</v>
      </c>
      <c r="AS5" s="83">
        <f t="shared" ca="1" si="1"/>
        <v>1</v>
      </c>
      <c r="AT5" s="83">
        <f t="shared" ca="1" si="1"/>
        <v>1</v>
      </c>
      <c r="AU5" s="83">
        <f t="shared" ca="1" si="1"/>
        <v>1</v>
      </c>
      <c r="AV5" s="83">
        <f t="shared" ca="1" si="1"/>
        <v>0</v>
      </c>
      <c r="AW5" s="83">
        <f t="shared" ca="1" si="1"/>
        <v>1</v>
      </c>
      <c r="AX5" s="83">
        <f t="shared" ca="1" si="1"/>
        <v>0</v>
      </c>
      <c r="AY5" s="83">
        <f t="shared" ca="1" si="1"/>
        <v>0</v>
      </c>
      <c r="AZ5" s="83">
        <f t="shared" ca="1" si="1"/>
        <v>0</v>
      </c>
      <c r="BA5" s="83">
        <f t="shared" ca="1" si="1"/>
        <v>1</v>
      </c>
      <c r="BB5" s="83">
        <f t="shared" ca="1" si="1"/>
        <v>0</v>
      </c>
      <c r="BC5" s="83">
        <f t="shared" ca="1" si="1"/>
        <v>0</v>
      </c>
      <c r="BD5" s="83">
        <f t="shared" ca="1" si="1"/>
        <v>1</v>
      </c>
      <c r="BE5" s="83">
        <f t="shared" ca="1" si="2"/>
        <v>1</v>
      </c>
      <c r="BF5" s="83">
        <f t="shared" ca="1" si="2"/>
        <v>0</v>
      </c>
      <c r="BG5" s="83">
        <f t="shared" ca="1" si="2"/>
        <v>0</v>
      </c>
      <c r="BH5" s="83">
        <f t="shared" ca="1" si="2"/>
        <v>1</v>
      </c>
      <c r="BI5" s="83">
        <f t="shared" ca="1" si="2"/>
        <v>0</v>
      </c>
      <c r="BJ5" s="83">
        <f t="shared" ca="1" si="2"/>
        <v>0</v>
      </c>
      <c r="BK5" s="83">
        <f t="shared" ca="1" si="2"/>
        <v>0</v>
      </c>
      <c r="BL5" s="83">
        <f t="shared" ca="1" si="2"/>
        <v>0</v>
      </c>
      <c r="BM5" s="83">
        <f t="shared" ca="1" si="2"/>
        <v>0</v>
      </c>
      <c r="BN5" s="83">
        <f t="shared" ca="1" si="2"/>
        <v>1</v>
      </c>
      <c r="BO5" s="83">
        <f t="shared" ca="1" si="2"/>
        <v>1</v>
      </c>
    </row>
    <row r="6" spans="8:226" ht="18.600000000000001" customHeight="1" x14ac:dyDescent="0.3"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5"/>
      <c r="V6" s="85"/>
      <c r="W6" s="85"/>
      <c r="X6" s="85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N6" s="83">
        <f t="shared" ca="1" si="0"/>
        <v>1</v>
      </c>
      <c r="AO6" s="83">
        <f t="shared" ca="1" si="1"/>
        <v>1</v>
      </c>
      <c r="AP6" s="83">
        <f t="shared" ca="1" si="1"/>
        <v>0</v>
      </c>
      <c r="AQ6" s="83">
        <f t="shared" ca="1" si="1"/>
        <v>0</v>
      </c>
      <c r="AR6" s="83">
        <f t="shared" ca="1" si="1"/>
        <v>1</v>
      </c>
      <c r="AS6" s="83">
        <f t="shared" ca="1" si="1"/>
        <v>1</v>
      </c>
      <c r="AT6" s="83">
        <f t="shared" ca="1" si="1"/>
        <v>1</v>
      </c>
      <c r="AU6" s="83">
        <f t="shared" ca="1" si="1"/>
        <v>0</v>
      </c>
      <c r="AV6" s="83">
        <f t="shared" ca="1" si="1"/>
        <v>0</v>
      </c>
      <c r="AW6" s="83">
        <f t="shared" ca="1" si="1"/>
        <v>0</v>
      </c>
      <c r="AX6" s="83">
        <f t="shared" ca="1" si="1"/>
        <v>1</v>
      </c>
      <c r="AY6" s="83">
        <f t="shared" ca="1" si="1"/>
        <v>1</v>
      </c>
      <c r="AZ6" s="83">
        <f t="shared" ca="1" si="1"/>
        <v>1</v>
      </c>
      <c r="BA6" s="83">
        <f t="shared" ca="1" si="1"/>
        <v>0</v>
      </c>
      <c r="BB6" s="83">
        <f t="shared" ca="1" si="1"/>
        <v>1</v>
      </c>
      <c r="BC6" s="83">
        <f t="shared" ca="1" si="1"/>
        <v>0</v>
      </c>
      <c r="BD6" s="83">
        <f t="shared" ca="1" si="1"/>
        <v>1</v>
      </c>
      <c r="BE6" s="83">
        <f t="shared" ca="1" si="2"/>
        <v>0</v>
      </c>
      <c r="BF6" s="83">
        <f t="shared" ca="1" si="2"/>
        <v>1</v>
      </c>
      <c r="BG6" s="83">
        <f t="shared" ca="1" si="2"/>
        <v>0</v>
      </c>
      <c r="BH6" s="83">
        <f t="shared" ca="1" si="2"/>
        <v>0</v>
      </c>
      <c r="BI6" s="83">
        <f t="shared" ca="1" si="2"/>
        <v>0</v>
      </c>
      <c r="BJ6" s="83">
        <f t="shared" ca="1" si="2"/>
        <v>1</v>
      </c>
      <c r="BK6" s="83">
        <f t="shared" ca="1" si="2"/>
        <v>0</v>
      </c>
      <c r="BL6" s="83">
        <f t="shared" ca="1" si="2"/>
        <v>0</v>
      </c>
      <c r="BM6" s="83">
        <f t="shared" ca="1" si="2"/>
        <v>0</v>
      </c>
      <c r="BN6" s="83">
        <f t="shared" ca="1" si="2"/>
        <v>0</v>
      </c>
      <c r="BO6" s="83">
        <f t="shared" ca="1" si="2"/>
        <v>0</v>
      </c>
    </row>
    <row r="7" spans="8:226" ht="18.600000000000001" customHeight="1" x14ac:dyDescent="0.3"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5"/>
      <c r="V7" s="85"/>
      <c r="W7" s="85"/>
      <c r="X7" s="85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N7" s="83">
        <f t="shared" ca="1" si="0"/>
        <v>1</v>
      </c>
      <c r="AO7" s="83">
        <f t="shared" ca="1" si="1"/>
        <v>0</v>
      </c>
      <c r="AP7" s="83">
        <f t="shared" ca="1" si="1"/>
        <v>1</v>
      </c>
      <c r="AQ7" s="83">
        <f t="shared" ca="1" si="1"/>
        <v>1</v>
      </c>
      <c r="AR7" s="83">
        <f t="shared" ca="1" si="1"/>
        <v>0</v>
      </c>
      <c r="AS7" s="83">
        <f t="shared" ca="1" si="1"/>
        <v>1</v>
      </c>
      <c r="AT7" s="83">
        <f t="shared" ca="1" si="1"/>
        <v>1</v>
      </c>
      <c r="AU7" s="83">
        <f t="shared" ca="1" si="1"/>
        <v>0</v>
      </c>
      <c r="AV7" s="83">
        <f t="shared" ca="1" si="1"/>
        <v>0</v>
      </c>
      <c r="AW7" s="83">
        <f t="shared" ca="1" si="1"/>
        <v>0</v>
      </c>
      <c r="AX7" s="83">
        <f t="shared" ca="1" si="1"/>
        <v>1</v>
      </c>
      <c r="AY7" s="83">
        <f t="shared" ca="1" si="1"/>
        <v>1</v>
      </c>
      <c r="AZ7" s="83">
        <f t="shared" ca="1" si="1"/>
        <v>1</v>
      </c>
      <c r="BA7" s="83">
        <f t="shared" ca="1" si="1"/>
        <v>1</v>
      </c>
      <c r="BB7" s="83">
        <f t="shared" ca="1" si="1"/>
        <v>1</v>
      </c>
      <c r="BC7" s="83">
        <f t="shared" ca="1" si="1"/>
        <v>1</v>
      </c>
      <c r="BD7" s="83">
        <f t="shared" ca="1" si="1"/>
        <v>0</v>
      </c>
      <c r="BE7" s="83">
        <f t="shared" ca="1" si="2"/>
        <v>0</v>
      </c>
      <c r="BF7" s="83">
        <f t="shared" ca="1" si="2"/>
        <v>0</v>
      </c>
      <c r="BG7" s="83">
        <f t="shared" ca="1" si="2"/>
        <v>1</v>
      </c>
      <c r="BH7" s="83">
        <f t="shared" ca="1" si="2"/>
        <v>1</v>
      </c>
      <c r="BI7" s="83">
        <f t="shared" ca="1" si="2"/>
        <v>1</v>
      </c>
      <c r="BJ7" s="83">
        <f t="shared" ca="1" si="2"/>
        <v>0</v>
      </c>
      <c r="BK7" s="83">
        <f t="shared" ca="1" si="2"/>
        <v>1</v>
      </c>
      <c r="BL7" s="83">
        <f t="shared" ca="1" si="2"/>
        <v>1</v>
      </c>
      <c r="BM7" s="83">
        <f t="shared" ca="1" si="2"/>
        <v>1</v>
      </c>
      <c r="BN7" s="83">
        <f t="shared" ca="1" si="2"/>
        <v>0</v>
      </c>
      <c r="BO7" s="83">
        <f t="shared" ca="1" si="2"/>
        <v>1</v>
      </c>
      <c r="CL7" s="158"/>
      <c r="CM7" s="158"/>
      <c r="CN7" s="158"/>
      <c r="CO7" s="158"/>
      <c r="CP7" s="158"/>
      <c r="CQ7" s="158"/>
      <c r="CR7" s="158"/>
      <c r="CS7" s="158"/>
      <c r="CT7" s="158"/>
      <c r="CU7" s="158"/>
      <c r="CV7" s="158"/>
      <c r="CW7" s="158"/>
      <c r="CX7" s="158"/>
      <c r="CY7" s="158"/>
      <c r="CZ7" s="158"/>
      <c r="DA7" s="158"/>
      <c r="DB7" s="158"/>
      <c r="DC7" s="158"/>
      <c r="DD7" s="158"/>
      <c r="DE7" s="158"/>
      <c r="DF7" s="158"/>
      <c r="DG7" s="158"/>
      <c r="DH7" s="158"/>
      <c r="DI7" s="158"/>
    </row>
    <row r="8" spans="8:226" ht="18.600000000000001" customHeight="1" thickBot="1" x14ac:dyDescent="0.35"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5"/>
      <c r="U8" s="85"/>
      <c r="V8" s="84"/>
      <c r="W8" s="85"/>
      <c r="X8" s="85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N8" s="83">
        <f t="shared" ca="1" si="0"/>
        <v>0</v>
      </c>
      <c r="AO8" s="83">
        <f t="shared" ca="1" si="1"/>
        <v>1</v>
      </c>
      <c r="AP8" s="83">
        <f t="shared" ca="1" si="1"/>
        <v>1</v>
      </c>
      <c r="AQ8" s="83">
        <f t="shared" ca="1" si="1"/>
        <v>0</v>
      </c>
      <c r="AR8" s="83">
        <f t="shared" ca="1" si="1"/>
        <v>0</v>
      </c>
      <c r="AS8" s="83">
        <f t="shared" ca="1" si="1"/>
        <v>0</v>
      </c>
      <c r="AT8" s="83">
        <f t="shared" ca="1" si="1"/>
        <v>0</v>
      </c>
      <c r="AU8" s="83">
        <f t="shared" ca="1" si="1"/>
        <v>1</v>
      </c>
      <c r="AV8" s="83">
        <f t="shared" ca="1" si="1"/>
        <v>1</v>
      </c>
      <c r="AW8" s="83">
        <f t="shared" ca="1" si="1"/>
        <v>0</v>
      </c>
      <c r="AX8" s="83">
        <f t="shared" ca="1" si="1"/>
        <v>1</v>
      </c>
      <c r="AY8" s="83">
        <f t="shared" ca="1" si="1"/>
        <v>0</v>
      </c>
      <c r="AZ8" s="83">
        <f t="shared" ca="1" si="1"/>
        <v>1</v>
      </c>
      <c r="BA8" s="83">
        <f t="shared" ca="1" si="1"/>
        <v>1</v>
      </c>
      <c r="BB8" s="83">
        <f t="shared" ca="1" si="1"/>
        <v>1</v>
      </c>
      <c r="BC8" s="83">
        <f t="shared" ca="1" si="1"/>
        <v>0</v>
      </c>
      <c r="BD8" s="83">
        <f t="shared" ca="1" si="1"/>
        <v>1</v>
      </c>
      <c r="BE8" s="83">
        <f t="shared" ca="1" si="2"/>
        <v>1</v>
      </c>
      <c r="BF8" s="83">
        <f t="shared" ca="1" si="2"/>
        <v>0</v>
      </c>
      <c r="BG8" s="83">
        <f t="shared" ca="1" si="2"/>
        <v>0</v>
      </c>
      <c r="BH8" s="83">
        <f t="shared" ca="1" si="2"/>
        <v>0</v>
      </c>
      <c r="BI8" s="83">
        <f t="shared" ca="1" si="2"/>
        <v>0</v>
      </c>
      <c r="BJ8" s="83">
        <f t="shared" ca="1" si="2"/>
        <v>0</v>
      </c>
      <c r="BK8" s="83">
        <f t="shared" ca="1" si="2"/>
        <v>0</v>
      </c>
      <c r="BL8" s="83">
        <f t="shared" ca="1" si="2"/>
        <v>1</v>
      </c>
      <c r="BM8" s="83">
        <f t="shared" ca="1" si="2"/>
        <v>1</v>
      </c>
      <c r="BN8" s="83">
        <f t="shared" ca="1" si="2"/>
        <v>1</v>
      </c>
      <c r="BO8" s="83">
        <f t="shared" ca="1" si="2"/>
        <v>1</v>
      </c>
      <c r="CL8" s="158"/>
      <c r="CM8" s="158"/>
      <c r="CN8" s="158"/>
      <c r="CO8" s="158"/>
      <c r="CP8" s="158"/>
      <c r="CQ8" s="158"/>
      <c r="CR8" s="158"/>
      <c r="CS8" s="158"/>
      <c r="CT8" s="158"/>
      <c r="CU8" s="158"/>
      <c r="CV8" s="158"/>
      <c r="CW8" s="158"/>
      <c r="CX8" s="158"/>
      <c r="CY8" s="158"/>
      <c r="CZ8" s="158"/>
      <c r="DA8" s="158"/>
      <c r="DB8" s="158"/>
      <c r="DC8" s="158"/>
      <c r="DD8" s="158"/>
      <c r="DE8" s="158"/>
      <c r="DF8" s="158"/>
      <c r="DG8" s="158"/>
      <c r="DH8" s="158"/>
      <c r="DI8" s="158"/>
    </row>
    <row r="9" spans="8:226" ht="18.600000000000001" customHeight="1" x14ac:dyDescent="0.3"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5"/>
      <c r="T9" s="85"/>
      <c r="U9" s="85"/>
      <c r="V9" s="84"/>
      <c r="W9" s="85"/>
      <c r="X9" s="85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N9" s="83">
        <f t="shared" ca="1" si="0"/>
        <v>1</v>
      </c>
      <c r="AO9" s="83">
        <f t="shared" ca="1" si="1"/>
        <v>0</v>
      </c>
      <c r="AP9" s="83">
        <f t="shared" ca="1" si="1"/>
        <v>0</v>
      </c>
      <c r="AQ9" s="83">
        <f t="shared" ca="1" si="1"/>
        <v>1</v>
      </c>
      <c r="AR9" s="83">
        <f t="shared" ca="1" si="1"/>
        <v>1</v>
      </c>
      <c r="AS9" s="83">
        <f t="shared" ca="1" si="1"/>
        <v>0</v>
      </c>
      <c r="AT9" s="83">
        <f t="shared" ca="1" si="1"/>
        <v>0</v>
      </c>
      <c r="AU9" s="83">
        <f t="shared" ca="1" si="1"/>
        <v>1</v>
      </c>
      <c r="AV9" s="83">
        <f t="shared" ca="1" si="1"/>
        <v>0</v>
      </c>
      <c r="AW9" s="83">
        <f t="shared" ca="1" si="1"/>
        <v>0</v>
      </c>
      <c r="AX9" s="83">
        <f t="shared" ca="1" si="1"/>
        <v>1</v>
      </c>
      <c r="AY9" s="83">
        <f t="shared" ca="1" si="1"/>
        <v>1</v>
      </c>
      <c r="AZ9" s="83">
        <f t="shared" ca="1" si="1"/>
        <v>0</v>
      </c>
      <c r="BA9" s="83">
        <f t="shared" ca="1" si="1"/>
        <v>0</v>
      </c>
      <c r="BB9" s="83">
        <f t="shared" ca="1" si="1"/>
        <v>1</v>
      </c>
      <c r="BC9" s="83">
        <f t="shared" ca="1" si="1"/>
        <v>1</v>
      </c>
      <c r="BD9" s="83">
        <f t="shared" ca="1" si="1"/>
        <v>0</v>
      </c>
      <c r="BE9" s="83">
        <f t="shared" ca="1" si="2"/>
        <v>1</v>
      </c>
      <c r="BF9" s="83">
        <f t="shared" ca="1" si="2"/>
        <v>0</v>
      </c>
      <c r="BG9" s="83">
        <f t="shared" ca="1" si="2"/>
        <v>0</v>
      </c>
      <c r="BH9" s="83">
        <f t="shared" ca="1" si="2"/>
        <v>0</v>
      </c>
      <c r="BI9" s="83">
        <f t="shared" ca="1" si="2"/>
        <v>0</v>
      </c>
      <c r="BJ9" s="83">
        <f t="shared" ca="1" si="2"/>
        <v>1</v>
      </c>
      <c r="BK9" s="83">
        <f t="shared" ca="1" si="2"/>
        <v>1</v>
      </c>
      <c r="BL9" s="83">
        <f t="shared" ca="1" si="2"/>
        <v>1</v>
      </c>
      <c r="BM9" s="83">
        <f t="shared" ca="1" si="2"/>
        <v>1</v>
      </c>
      <c r="BN9" s="83">
        <f t="shared" ca="1" si="2"/>
        <v>0</v>
      </c>
      <c r="BO9" s="83">
        <f t="shared" ca="1" si="2"/>
        <v>0</v>
      </c>
      <c r="CL9" s="158"/>
      <c r="CM9" s="158"/>
      <c r="CN9" s="158"/>
      <c r="CO9" s="158"/>
      <c r="CP9" s="158"/>
      <c r="CQ9" s="158"/>
      <c r="CR9" s="159"/>
      <c r="CS9" s="160"/>
      <c r="CT9" s="161"/>
      <c r="CU9" s="158"/>
      <c r="CV9" s="158"/>
      <c r="CW9" s="158"/>
      <c r="CX9" s="159"/>
      <c r="CY9" s="160"/>
      <c r="CZ9" s="161"/>
      <c r="DA9" s="158"/>
      <c r="DB9" s="159"/>
      <c r="DC9" s="160"/>
      <c r="DD9" s="161"/>
      <c r="DE9" s="158"/>
      <c r="DF9" s="159"/>
      <c r="DG9" s="160"/>
      <c r="DH9" s="161"/>
      <c r="DI9" s="158"/>
    </row>
    <row r="10" spans="8:226" ht="18.600000000000001" customHeight="1" thickBot="1" x14ac:dyDescent="0.35"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5"/>
      <c r="S10" s="85"/>
      <c r="T10" s="85"/>
      <c r="U10" s="84"/>
      <c r="V10" s="84"/>
      <c r="W10" s="85"/>
      <c r="X10" s="85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N10" s="83">
        <f t="shared" ca="1" si="0"/>
        <v>0</v>
      </c>
      <c r="AO10" s="83">
        <f t="shared" ca="1" si="1"/>
        <v>1</v>
      </c>
      <c r="AP10" s="83">
        <f t="shared" ca="1" si="1"/>
        <v>1</v>
      </c>
      <c r="AQ10" s="83">
        <f t="shared" ca="1" si="1"/>
        <v>1</v>
      </c>
      <c r="AR10" s="83">
        <f t="shared" ca="1" si="1"/>
        <v>1</v>
      </c>
      <c r="AS10" s="83">
        <f t="shared" ca="1" si="1"/>
        <v>1</v>
      </c>
      <c r="AT10" s="83">
        <f t="shared" ca="1" si="1"/>
        <v>1</v>
      </c>
      <c r="AU10" s="83">
        <f t="shared" ca="1" si="1"/>
        <v>0</v>
      </c>
      <c r="AV10" s="83">
        <f t="shared" ca="1" si="1"/>
        <v>1</v>
      </c>
      <c r="AW10" s="83">
        <f t="shared" ca="1" si="1"/>
        <v>0</v>
      </c>
      <c r="AX10" s="83">
        <f t="shared" ca="1" si="1"/>
        <v>1</v>
      </c>
      <c r="AY10" s="83">
        <f t="shared" ca="1" si="1"/>
        <v>1</v>
      </c>
      <c r="AZ10" s="83">
        <f t="shared" ca="1" si="1"/>
        <v>1</v>
      </c>
      <c r="BA10" s="83">
        <f t="shared" ca="1" si="1"/>
        <v>1</v>
      </c>
      <c r="BB10" s="83">
        <f t="shared" ca="1" si="1"/>
        <v>0</v>
      </c>
      <c r="BC10" s="83">
        <f t="shared" ca="1" si="1"/>
        <v>1</v>
      </c>
      <c r="BD10" s="83">
        <f t="shared" ca="1" si="1"/>
        <v>0</v>
      </c>
      <c r="BE10" s="83">
        <f t="shared" ca="1" si="2"/>
        <v>0</v>
      </c>
      <c r="BF10" s="83">
        <f t="shared" ca="1" si="2"/>
        <v>0</v>
      </c>
      <c r="BG10" s="83">
        <f t="shared" ca="1" si="2"/>
        <v>0</v>
      </c>
      <c r="BH10" s="83">
        <f t="shared" ca="1" si="2"/>
        <v>1</v>
      </c>
      <c r="BI10" s="83">
        <f t="shared" ca="1" si="2"/>
        <v>1</v>
      </c>
      <c r="BJ10" s="83">
        <f t="shared" ca="1" si="2"/>
        <v>0</v>
      </c>
      <c r="BK10" s="83">
        <f t="shared" ca="1" si="2"/>
        <v>0</v>
      </c>
      <c r="BL10" s="83">
        <f t="shared" ca="1" si="2"/>
        <v>0</v>
      </c>
      <c r="BM10" s="83">
        <f t="shared" ca="1" si="2"/>
        <v>0</v>
      </c>
      <c r="BN10" s="83">
        <f t="shared" ca="1" si="2"/>
        <v>0</v>
      </c>
      <c r="BO10" s="83">
        <f t="shared" ca="1" si="2"/>
        <v>1</v>
      </c>
      <c r="CL10" s="158"/>
      <c r="CM10" s="158"/>
      <c r="CN10" s="158"/>
      <c r="CO10" s="158"/>
      <c r="CP10" s="158"/>
      <c r="CQ10" s="158"/>
      <c r="CR10" s="162"/>
      <c r="CS10" s="163"/>
      <c r="CT10" s="164"/>
      <c r="CU10" s="158"/>
      <c r="CV10" s="158"/>
      <c r="CW10" s="158"/>
      <c r="CX10" s="162"/>
      <c r="CY10" s="163"/>
      <c r="CZ10" s="164"/>
      <c r="DA10" s="158"/>
      <c r="DB10" s="162"/>
      <c r="DC10" s="163"/>
      <c r="DD10" s="164"/>
      <c r="DE10" s="158"/>
      <c r="DF10" s="162"/>
      <c r="DG10" s="163"/>
      <c r="DH10" s="164"/>
      <c r="DI10" s="158"/>
    </row>
    <row r="11" spans="8:226" ht="18.600000000000001" customHeight="1" thickBot="1" x14ac:dyDescent="0.35">
      <c r="H11" s="84"/>
      <c r="I11" s="84"/>
      <c r="J11" s="84"/>
      <c r="K11" s="84"/>
      <c r="L11" s="84"/>
      <c r="M11" s="84"/>
      <c r="N11" s="84"/>
      <c r="O11" s="84"/>
      <c r="P11" s="84"/>
      <c r="Q11" s="85"/>
      <c r="R11" s="85"/>
      <c r="S11" s="85"/>
      <c r="T11" s="84"/>
      <c r="U11" s="84"/>
      <c r="V11" s="84"/>
      <c r="W11" s="85"/>
      <c r="X11" s="85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N11" s="83">
        <f t="shared" ca="1" si="0"/>
        <v>0</v>
      </c>
      <c r="AO11" s="83">
        <f t="shared" ca="1" si="1"/>
        <v>0</v>
      </c>
      <c r="AP11" s="83">
        <f t="shared" ca="1" si="1"/>
        <v>1</v>
      </c>
      <c r="AQ11" s="83">
        <f t="shared" ca="1" si="1"/>
        <v>0</v>
      </c>
      <c r="AR11" s="83">
        <f t="shared" ca="1" si="1"/>
        <v>0</v>
      </c>
      <c r="AS11" s="83">
        <f t="shared" ca="1" si="1"/>
        <v>1</v>
      </c>
      <c r="AT11" s="83">
        <f t="shared" ca="1" si="1"/>
        <v>0</v>
      </c>
      <c r="AU11" s="83">
        <f t="shared" ca="1" si="1"/>
        <v>0</v>
      </c>
      <c r="AV11" s="83">
        <f t="shared" ca="1" si="1"/>
        <v>0</v>
      </c>
      <c r="AW11" s="83">
        <f t="shared" ca="1" si="1"/>
        <v>0</v>
      </c>
      <c r="AX11" s="83">
        <f t="shared" ca="1" si="1"/>
        <v>1</v>
      </c>
      <c r="AY11" s="83">
        <f t="shared" ca="1" si="1"/>
        <v>1</v>
      </c>
      <c r="AZ11" s="83">
        <f t="shared" ca="1" si="1"/>
        <v>1</v>
      </c>
      <c r="BA11" s="83">
        <f t="shared" ca="1" si="1"/>
        <v>0</v>
      </c>
      <c r="BB11" s="83">
        <f t="shared" ca="1" si="1"/>
        <v>0</v>
      </c>
      <c r="BC11" s="83">
        <f t="shared" ca="1" si="1"/>
        <v>0</v>
      </c>
      <c r="BD11" s="83">
        <f t="shared" ca="1" si="1"/>
        <v>1</v>
      </c>
      <c r="BE11" s="83">
        <f t="shared" ca="1" si="2"/>
        <v>1</v>
      </c>
      <c r="BF11" s="83">
        <f t="shared" ca="1" si="2"/>
        <v>1</v>
      </c>
      <c r="BG11" s="83">
        <f t="shared" ca="1" si="2"/>
        <v>1</v>
      </c>
      <c r="BH11" s="83">
        <f t="shared" ca="1" si="2"/>
        <v>1</v>
      </c>
      <c r="BI11" s="83">
        <f t="shared" ca="1" si="2"/>
        <v>1</v>
      </c>
      <c r="BJ11" s="83">
        <f t="shared" ca="1" si="2"/>
        <v>1</v>
      </c>
      <c r="BK11" s="83">
        <f t="shared" ca="1" si="2"/>
        <v>0</v>
      </c>
      <c r="BL11" s="83">
        <f t="shared" ca="1" si="2"/>
        <v>1</v>
      </c>
      <c r="BM11" s="83">
        <f t="shared" ca="1" si="2"/>
        <v>0</v>
      </c>
      <c r="BN11" s="83">
        <f t="shared" ca="1" si="2"/>
        <v>1</v>
      </c>
      <c r="BO11" s="83">
        <f t="shared" ca="1" si="2"/>
        <v>0</v>
      </c>
      <c r="CL11" s="165"/>
      <c r="CM11" s="166"/>
      <c r="CN11" s="167"/>
      <c r="CO11" s="158"/>
      <c r="CP11" s="158"/>
      <c r="CQ11" s="158"/>
      <c r="CR11" s="168"/>
      <c r="CS11" s="169"/>
      <c r="CT11" s="170"/>
      <c r="CU11" s="158"/>
      <c r="CV11" s="158"/>
      <c r="CW11" s="158"/>
      <c r="CX11" s="168"/>
      <c r="CY11" s="169"/>
      <c r="CZ11" s="170"/>
      <c r="DA11" s="158"/>
      <c r="DB11" s="168"/>
      <c r="DC11" s="169"/>
      <c r="DD11" s="170"/>
      <c r="DE11" s="158"/>
      <c r="DF11" s="168"/>
      <c r="DG11" s="169"/>
      <c r="DH11" s="170"/>
      <c r="DI11" s="158"/>
    </row>
    <row r="12" spans="8:226" ht="18.600000000000001" customHeight="1" x14ac:dyDescent="0.3">
      <c r="H12" s="84"/>
      <c r="I12" s="84"/>
      <c r="J12" s="84"/>
      <c r="K12" s="84"/>
      <c r="L12" s="84"/>
      <c r="M12" s="84"/>
      <c r="N12" s="84"/>
      <c r="O12" s="84"/>
      <c r="P12" s="84"/>
      <c r="Q12" s="85"/>
      <c r="R12" s="85"/>
      <c r="S12" s="84"/>
      <c r="T12" s="84"/>
      <c r="U12" s="84"/>
      <c r="V12" s="84"/>
      <c r="W12" s="85"/>
      <c r="X12" s="85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N12" s="83">
        <f t="shared" ca="1" si="0"/>
        <v>1</v>
      </c>
      <c r="AO12" s="83">
        <f t="shared" ca="1" si="1"/>
        <v>1</v>
      </c>
      <c r="AP12" s="83">
        <f t="shared" ca="1" si="1"/>
        <v>1</v>
      </c>
      <c r="AQ12" s="83">
        <f t="shared" ca="1" si="1"/>
        <v>0</v>
      </c>
      <c r="AR12" s="83">
        <f t="shared" ca="1" si="1"/>
        <v>1</v>
      </c>
      <c r="AS12" s="83">
        <f t="shared" ca="1" si="1"/>
        <v>1</v>
      </c>
      <c r="AT12" s="83">
        <f t="shared" ca="1" si="1"/>
        <v>1</v>
      </c>
      <c r="AU12" s="83">
        <f t="shared" ca="1" si="1"/>
        <v>1</v>
      </c>
      <c r="AV12" s="83">
        <f t="shared" ca="1" si="1"/>
        <v>1</v>
      </c>
      <c r="AW12" s="83">
        <f t="shared" ca="1" si="1"/>
        <v>1</v>
      </c>
      <c r="AX12" s="83">
        <f t="shared" ca="1" si="1"/>
        <v>0</v>
      </c>
      <c r="AY12" s="83">
        <f t="shared" ca="1" si="1"/>
        <v>1</v>
      </c>
      <c r="AZ12" s="83">
        <f t="shared" ca="1" si="1"/>
        <v>0</v>
      </c>
      <c r="BA12" s="83">
        <f t="shared" ca="1" si="1"/>
        <v>1</v>
      </c>
      <c r="BB12" s="83">
        <f t="shared" ca="1" si="1"/>
        <v>1</v>
      </c>
      <c r="BC12" s="83">
        <f t="shared" ca="1" si="1"/>
        <v>0</v>
      </c>
      <c r="BD12" s="83">
        <f t="shared" ca="1" si="1"/>
        <v>1</v>
      </c>
      <c r="BE12" s="83">
        <f t="shared" ca="1" si="2"/>
        <v>1</v>
      </c>
      <c r="BF12" s="83">
        <f t="shared" ca="1" si="2"/>
        <v>0</v>
      </c>
      <c r="BG12" s="83">
        <f t="shared" ca="1" si="2"/>
        <v>1</v>
      </c>
      <c r="BH12" s="83">
        <f t="shared" ca="1" si="2"/>
        <v>0</v>
      </c>
      <c r="BI12" s="83">
        <f t="shared" ca="1" si="2"/>
        <v>1</v>
      </c>
      <c r="BJ12" s="83">
        <f t="shared" ca="1" si="2"/>
        <v>0</v>
      </c>
      <c r="BK12" s="83">
        <f t="shared" ca="1" si="2"/>
        <v>0</v>
      </c>
      <c r="BL12" s="83">
        <f t="shared" ca="1" si="2"/>
        <v>1</v>
      </c>
      <c r="BM12" s="83">
        <f t="shared" ca="1" si="2"/>
        <v>0</v>
      </c>
      <c r="BN12" s="83">
        <f t="shared" ca="1" si="2"/>
        <v>0</v>
      </c>
      <c r="BO12" s="83">
        <f t="shared" ca="1" si="2"/>
        <v>1</v>
      </c>
      <c r="BU12" t="s">
        <v>836</v>
      </c>
      <c r="BV12">
        <f>28*28</f>
        <v>784</v>
      </c>
      <c r="CL12" s="158"/>
      <c r="CM12" s="158"/>
      <c r="CN12" s="158"/>
      <c r="CO12" s="158"/>
      <c r="CP12" s="158"/>
      <c r="CQ12" s="158"/>
      <c r="CR12" s="158"/>
      <c r="CS12" s="158"/>
      <c r="CT12" s="158"/>
      <c r="CU12" s="158"/>
      <c r="CV12" s="158"/>
      <c r="CW12" s="158"/>
      <c r="CX12" s="158"/>
      <c r="CY12" s="158"/>
      <c r="CZ12" s="158"/>
      <c r="DA12" s="158"/>
      <c r="DB12" s="158"/>
      <c r="DC12" s="158"/>
      <c r="DD12" s="158"/>
      <c r="DE12" s="158"/>
      <c r="DF12" s="158"/>
      <c r="DG12" s="158"/>
      <c r="DH12" s="158"/>
      <c r="DI12" s="158"/>
    </row>
    <row r="13" spans="8:226" ht="18.600000000000001" customHeight="1" x14ac:dyDescent="0.3">
      <c r="H13" s="84"/>
      <c r="I13" s="84"/>
      <c r="J13" s="84"/>
      <c r="K13" s="84"/>
      <c r="L13" s="84"/>
      <c r="M13" s="84"/>
      <c r="N13" s="84"/>
      <c r="O13" s="84"/>
      <c r="P13" s="85"/>
      <c r="Q13" s="85"/>
      <c r="R13" s="84"/>
      <c r="S13" s="84"/>
      <c r="T13" s="84"/>
      <c r="U13" s="84"/>
      <c r="V13" s="84"/>
      <c r="W13" s="85"/>
      <c r="X13" s="85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N13" s="83">
        <f t="shared" ca="1" si="0"/>
        <v>1</v>
      </c>
      <c r="AO13" s="83">
        <f t="shared" ca="1" si="1"/>
        <v>0</v>
      </c>
      <c r="AP13" s="83">
        <f t="shared" ca="1" si="1"/>
        <v>0</v>
      </c>
      <c r="AQ13" s="83">
        <f t="shared" ca="1" si="1"/>
        <v>0</v>
      </c>
      <c r="AR13" s="83">
        <f t="shared" ca="1" si="1"/>
        <v>0</v>
      </c>
      <c r="AS13" s="83">
        <f t="shared" ca="1" si="1"/>
        <v>1</v>
      </c>
      <c r="AT13" s="83">
        <f t="shared" ca="1" si="1"/>
        <v>0</v>
      </c>
      <c r="AU13" s="83">
        <f t="shared" ca="1" si="1"/>
        <v>0</v>
      </c>
      <c r="AV13" s="83">
        <f t="shared" ca="1" si="1"/>
        <v>1</v>
      </c>
      <c r="AW13" s="83">
        <f t="shared" ca="1" si="1"/>
        <v>1</v>
      </c>
      <c r="AX13" s="83">
        <f t="shared" ca="1" si="1"/>
        <v>1</v>
      </c>
      <c r="AY13" s="83">
        <f t="shared" ca="1" si="1"/>
        <v>0</v>
      </c>
      <c r="AZ13" s="83">
        <f t="shared" ca="1" si="1"/>
        <v>1</v>
      </c>
      <c r="BA13" s="83">
        <f t="shared" ca="1" si="1"/>
        <v>0</v>
      </c>
      <c r="BB13" s="83">
        <f t="shared" ca="1" si="1"/>
        <v>0</v>
      </c>
      <c r="BC13" s="83">
        <f t="shared" ca="1" si="1"/>
        <v>0</v>
      </c>
      <c r="BD13" s="83">
        <f t="shared" ca="1" si="1"/>
        <v>1</v>
      </c>
      <c r="BE13" s="83">
        <f t="shared" ca="1" si="2"/>
        <v>1</v>
      </c>
      <c r="BF13" s="83">
        <f t="shared" ca="1" si="2"/>
        <v>1</v>
      </c>
      <c r="BG13" s="83">
        <f t="shared" ca="1" si="2"/>
        <v>1</v>
      </c>
      <c r="BH13" s="83">
        <f t="shared" ca="1" si="2"/>
        <v>1</v>
      </c>
      <c r="BI13" s="83">
        <f t="shared" ca="1" si="2"/>
        <v>0</v>
      </c>
      <c r="BJ13" s="83">
        <f t="shared" ca="1" si="2"/>
        <v>1</v>
      </c>
      <c r="BK13" s="83">
        <f t="shared" ca="1" si="2"/>
        <v>0</v>
      </c>
      <c r="BL13" s="83">
        <f t="shared" ca="1" si="2"/>
        <v>0</v>
      </c>
      <c r="BM13" s="83">
        <f t="shared" ca="1" si="2"/>
        <v>1</v>
      </c>
      <c r="BN13" s="83">
        <f t="shared" ca="1" si="2"/>
        <v>1</v>
      </c>
      <c r="BO13" s="83">
        <f t="shared" ca="1" si="2"/>
        <v>1</v>
      </c>
      <c r="CL13" s="158"/>
      <c r="CM13" s="158"/>
      <c r="CN13" s="158"/>
      <c r="CO13" s="158"/>
      <c r="CP13" s="158"/>
      <c r="CQ13" s="158"/>
      <c r="CR13" s="158"/>
      <c r="CS13" s="158"/>
      <c r="CT13" s="158"/>
      <c r="CU13" s="158"/>
      <c r="CV13" s="158"/>
      <c r="CW13" s="158"/>
      <c r="CX13" s="158"/>
      <c r="CY13" s="158"/>
      <c r="CZ13" s="158"/>
      <c r="DA13" s="158"/>
      <c r="DB13" s="158"/>
      <c r="DC13" s="158"/>
      <c r="DD13" s="158"/>
      <c r="DE13" s="158"/>
      <c r="DF13" s="158"/>
      <c r="DG13" s="158"/>
      <c r="DH13" s="158"/>
      <c r="DI13" s="158"/>
    </row>
    <row r="14" spans="8:226" ht="18.600000000000001" customHeight="1" x14ac:dyDescent="0.3">
      <c r="H14" s="84"/>
      <c r="I14" s="84"/>
      <c r="J14" s="84"/>
      <c r="K14" s="84"/>
      <c r="L14" s="84"/>
      <c r="M14" s="84"/>
      <c r="N14" s="84"/>
      <c r="O14" s="85"/>
      <c r="P14" s="85"/>
      <c r="Q14" s="85"/>
      <c r="R14" s="84"/>
      <c r="S14" s="84"/>
      <c r="T14" s="84"/>
      <c r="U14" s="84"/>
      <c r="V14" s="84"/>
      <c r="W14" s="85"/>
      <c r="X14" s="85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N14" s="83">
        <f t="shared" ca="1" si="0"/>
        <v>1</v>
      </c>
      <c r="AO14" s="83">
        <f t="shared" ca="1" si="1"/>
        <v>0</v>
      </c>
      <c r="AP14" s="83">
        <f t="shared" ca="1" si="1"/>
        <v>1</v>
      </c>
      <c r="AQ14" s="83">
        <f t="shared" ca="1" si="1"/>
        <v>1</v>
      </c>
      <c r="AR14" s="83">
        <f t="shared" ca="1" si="1"/>
        <v>0</v>
      </c>
      <c r="AS14" s="83">
        <f t="shared" ca="1" si="1"/>
        <v>1</v>
      </c>
      <c r="AT14" s="83">
        <f t="shared" ca="1" si="1"/>
        <v>1</v>
      </c>
      <c r="AU14" s="83">
        <f t="shared" ca="1" si="1"/>
        <v>1</v>
      </c>
      <c r="AV14" s="83">
        <f t="shared" ca="1" si="1"/>
        <v>1</v>
      </c>
      <c r="AW14" s="83">
        <f t="shared" ca="1" si="1"/>
        <v>1</v>
      </c>
      <c r="AX14" s="83">
        <f t="shared" ca="1" si="1"/>
        <v>1</v>
      </c>
      <c r="AY14" s="83">
        <f t="shared" ca="1" si="1"/>
        <v>1</v>
      </c>
      <c r="AZ14" s="83">
        <f t="shared" ca="1" si="1"/>
        <v>0</v>
      </c>
      <c r="BA14" s="83">
        <f t="shared" ca="1" si="1"/>
        <v>1</v>
      </c>
      <c r="BB14" s="83">
        <f t="shared" ca="1" si="1"/>
        <v>0</v>
      </c>
      <c r="BC14" s="83">
        <f t="shared" ca="1" si="1"/>
        <v>1</v>
      </c>
      <c r="BD14" s="83">
        <f t="shared" ca="1" si="1"/>
        <v>1</v>
      </c>
      <c r="BE14" s="83">
        <f t="shared" ca="1" si="2"/>
        <v>0</v>
      </c>
      <c r="BF14" s="83">
        <f t="shared" ca="1" si="2"/>
        <v>0</v>
      </c>
      <c r="BG14" s="83">
        <f t="shared" ca="1" si="2"/>
        <v>0</v>
      </c>
      <c r="BH14" s="83">
        <f t="shared" ca="1" si="2"/>
        <v>1</v>
      </c>
      <c r="BI14" s="83">
        <f t="shared" ca="1" si="2"/>
        <v>1</v>
      </c>
      <c r="BJ14" s="83">
        <f t="shared" ca="1" si="2"/>
        <v>0</v>
      </c>
      <c r="BK14" s="83">
        <f t="shared" ca="1" si="2"/>
        <v>1</v>
      </c>
      <c r="BL14" s="83">
        <f t="shared" ca="1" si="2"/>
        <v>0</v>
      </c>
      <c r="BM14" s="83">
        <f t="shared" ca="1" si="2"/>
        <v>1</v>
      </c>
      <c r="BN14" s="83">
        <f t="shared" ca="1" si="2"/>
        <v>1</v>
      </c>
      <c r="BO14" s="83">
        <f t="shared" ca="1" si="2"/>
        <v>0</v>
      </c>
      <c r="BU14" t="s">
        <v>837</v>
      </c>
      <c r="BV14">
        <f>2^784</f>
        <v>1.0174582569701926E+236</v>
      </c>
      <c r="CL14" s="158"/>
      <c r="CM14" s="158"/>
      <c r="CN14" s="158"/>
      <c r="CO14" s="158"/>
      <c r="CP14" s="158"/>
      <c r="CQ14" s="158"/>
      <c r="CR14" s="158"/>
      <c r="CS14" s="158"/>
      <c r="CT14" s="158"/>
      <c r="CU14" s="158"/>
      <c r="CV14" s="158"/>
      <c r="CW14" s="158"/>
      <c r="CX14" s="158"/>
      <c r="CY14" s="158"/>
      <c r="CZ14" s="158"/>
      <c r="DA14" s="158"/>
      <c r="DB14" s="158"/>
      <c r="DC14" s="158"/>
      <c r="DD14" s="158"/>
      <c r="DE14" s="158"/>
      <c r="DF14" s="158"/>
      <c r="DG14" s="158"/>
      <c r="DH14" s="158"/>
      <c r="DI14" s="158"/>
    </row>
    <row r="15" spans="8:226" ht="18.600000000000001" customHeight="1" x14ac:dyDescent="0.3">
      <c r="H15" s="84"/>
      <c r="I15" s="84"/>
      <c r="J15" s="84"/>
      <c r="K15" s="84"/>
      <c r="L15" s="84"/>
      <c r="M15" s="84"/>
      <c r="N15" s="84"/>
      <c r="O15" s="85"/>
      <c r="P15" s="85"/>
      <c r="Q15" s="84"/>
      <c r="R15" s="84"/>
      <c r="S15" s="84"/>
      <c r="T15" s="84"/>
      <c r="U15" s="84"/>
      <c r="V15" s="84"/>
      <c r="W15" s="85"/>
      <c r="X15" s="85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N15" s="83">
        <f t="shared" ca="1" si="0"/>
        <v>0</v>
      </c>
      <c r="AO15" s="83">
        <f t="shared" ca="1" si="1"/>
        <v>0</v>
      </c>
      <c r="AP15" s="83">
        <f t="shared" ca="1" si="1"/>
        <v>1</v>
      </c>
      <c r="AQ15" s="83">
        <f t="shared" ca="1" si="1"/>
        <v>1</v>
      </c>
      <c r="AR15" s="83">
        <f t="shared" ca="1" si="1"/>
        <v>0</v>
      </c>
      <c r="AS15" s="83">
        <f t="shared" ca="1" si="1"/>
        <v>0</v>
      </c>
      <c r="AT15" s="83">
        <f t="shared" ca="1" si="1"/>
        <v>0</v>
      </c>
      <c r="AU15" s="83">
        <f t="shared" ca="1" si="1"/>
        <v>0</v>
      </c>
      <c r="AV15" s="83">
        <f t="shared" ca="1" si="1"/>
        <v>1</v>
      </c>
      <c r="AW15" s="83">
        <f t="shared" ca="1" si="1"/>
        <v>0</v>
      </c>
      <c r="AX15" s="83">
        <f t="shared" ca="1" si="1"/>
        <v>0</v>
      </c>
      <c r="AY15" s="83">
        <f t="shared" ca="1" si="1"/>
        <v>0</v>
      </c>
      <c r="AZ15" s="83">
        <f t="shared" ca="1" si="1"/>
        <v>0</v>
      </c>
      <c r="BA15" s="83">
        <f t="shared" ca="1" si="1"/>
        <v>1</v>
      </c>
      <c r="BB15" s="83">
        <f t="shared" ca="1" si="1"/>
        <v>1</v>
      </c>
      <c r="BC15" s="83">
        <f t="shared" ca="1" si="1"/>
        <v>0</v>
      </c>
      <c r="BD15" s="83">
        <f t="shared" ca="1" si="1"/>
        <v>1</v>
      </c>
      <c r="BE15" s="83">
        <f t="shared" ca="1" si="2"/>
        <v>1</v>
      </c>
      <c r="BF15" s="83">
        <f t="shared" ca="1" si="2"/>
        <v>1</v>
      </c>
      <c r="BG15" s="83">
        <f t="shared" ca="1" si="2"/>
        <v>1</v>
      </c>
      <c r="BH15" s="83">
        <f t="shared" ca="1" si="2"/>
        <v>0</v>
      </c>
      <c r="BI15" s="83">
        <f t="shared" ca="1" si="2"/>
        <v>0</v>
      </c>
      <c r="BJ15" s="83">
        <f t="shared" ca="1" si="2"/>
        <v>0</v>
      </c>
      <c r="BK15" s="83">
        <f t="shared" ca="1" si="2"/>
        <v>0</v>
      </c>
      <c r="BL15" s="83">
        <f t="shared" ca="1" si="2"/>
        <v>1</v>
      </c>
      <c r="BM15" s="83">
        <f t="shared" ca="1" si="2"/>
        <v>1</v>
      </c>
      <c r="BN15" s="83">
        <f t="shared" ca="1" si="2"/>
        <v>0</v>
      </c>
      <c r="BO15" s="83">
        <f t="shared" ca="1" si="2"/>
        <v>1</v>
      </c>
      <c r="CL15" s="158"/>
      <c r="CM15" s="158"/>
      <c r="CN15" s="158"/>
      <c r="CO15" s="158"/>
      <c r="CP15" s="158"/>
      <c r="CQ15" s="158"/>
      <c r="CR15" s="158"/>
      <c r="CS15" s="158"/>
      <c r="CT15" s="158"/>
      <c r="CU15" s="158"/>
      <c r="CV15" s="158"/>
      <c r="CW15" s="158"/>
      <c r="CX15" s="158"/>
      <c r="CY15" s="158"/>
      <c r="CZ15" s="158"/>
      <c r="DA15" s="158"/>
      <c r="DB15" s="158"/>
      <c r="DC15" s="158"/>
      <c r="DD15" s="158"/>
      <c r="DE15" s="158"/>
      <c r="DF15" s="158"/>
      <c r="DG15" s="158"/>
      <c r="DH15" s="158"/>
      <c r="DI15" s="158"/>
    </row>
    <row r="16" spans="8:226" ht="18.600000000000001" customHeight="1" x14ac:dyDescent="0.3">
      <c r="H16" s="84"/>
      <c r="I16" s="84"/>
      <c r="J16" s="84"/>
      <c r="K16" s="84"/>
      <c r="L16" s="84"/>
      <c r="M16" s="84"/>
      <c r="N16" s="85"/>
      <c r="O16" s="85"/>
      <c r="P16" s="84"/>
      <c r="Q16" s="84"/>
      <c r="R16" s="84"/>
      <c r="S16" s="84"/>
      <c r="T16" s="84"/>
      <c r="U16" s="84"/>
      <c r="V16" s="84"/>
      <c r="W16" s="85"/>
      <c r="X16" s="85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N16" s="83">
        <f t="shared" ca="1" si="0"/>
        <v>1</v>
      </c>
      <c r="AO16" s="83">
        <f t="shared" ca="1" si="1"/>
        <v>1</v>
      </c>
      <c r="AP16" s="83">
        <f t="shared" ca="1" si="1"/>
        <v>1</v>
      </c>
      <c r="AQ16" s="83">
        <f t="shared" ca="1" si="1"/>
        <v>0</v>
      </c>
      <c r="AR16" s="83">
        <f t="shared" ca="1" si="1"/>
        <v>0</v>
      </c>
      <c r="AS16" s="83">
        <f t="shared" ca="1" si="1"/>
        <v>1</v>
      </c>
      <c r="AT16" s="83">
        <f t="shared" ca="1" si="1"/>
        <v>1</v>
      </c>
      <c r="AU16" s="83">
        <f t="shared" ca="1" si="1"/>
        <v>1</v>
      </c>
      <c r="AV16" s="83">
        <f t="shared" ca="1" si="1"/>
        <v>1</v>
      </c>
      <c r="AW16" s="83">
        <f t="shared" ca="1" si="1"/>
        <v>1</v>
      </c>
      <c r="AX16" s="83">
        <f t="shared" ca="1" si="1"/>
        <v>0</v>
      </c>
      <c r="AY16" s="83">
        <f t="shared" ca="1" si="1"/>
        <v>1</v>
      </c>
      <c r="AZ16" s="83">
        <f t="shared" ca="1" si="1"/>
        <v>0</v>
      </c>
      <c r="BA16" s="83">
        <f t="shared" ca="1" si="1"/>
        <v>1</v>
      </c>
      <c r="BB16" s="83">
        <f t="shared" ca="1" si="1"/>
        <v>1</v>
      </c>
      <c r="BC16" s="83">
        <f t="shared" ca="1" si="1"/>
        <v>0</v>
      </c>
      <c r="BD16" s="83">
        <f t="shared" ca="1" si="1"/>
        <v>1</v>
      </c>
      <c r="BE16" s="83">
        <f t="shared" ca="1" si="2"/>
        <v>0</v>
      </c>
      <c r="BF16" s="83">
        <f t="shared" ca="1" si="2"/>
        <v>0</v>
      </c>
      <c r="BG16" s="83">
        <f t="shared" ca="1" si="2"/>
        <v>0</v>
      </c>
      <c r="BH16" s="83">
        <f t="shared" ca="1" si="2"/>
        <v>1</v>
      </c>
      <c r="BI16" s="83">
        <f t="shared" ca="1" si="2"/>
        <v>1</v>
      </c>
      <c r="BJ16" s="83">
        <f t="shared" ca="1" si="2"/>
        <v>0</v>
      </c>
      <c r="BK16" s="83">
        <f t="shared" ca="1" si="2"/>
        <v>1</v>
      </c>
      <c r="BL16" s="83">
        <f t="shared" ca="1" si="2"/>
        <v>0</v>
      </c>
      <c r="BM16" s="83">
        <f t="shared" ca="1" si="2"/>
        <v>0</v>
      </c>
      <c r="BN16" s="83">
        <f t="shared" ca="1" si="2"/>
        <v>0</v>
      </c>
      <c r="BO16" s="83">
        <f t="shared" ca="1" si="2"/>
        <v>0</v>
      </c>
      <c r="BU16" t="s">
        <v>838</v>
      </c>
      <c r="BV16">
        <v>70000</v>
      </c>
    </row>
    <row r="17" spans="5:74" ht="18.600000000000001" customHeight="1" x14ac:dyDescent="0.3">
      <c r="H17" s="84"/>
      <c r="I17" s="84"/>
      <c r="J17" s="84"/>
      <c r="K17" s="84"/>
      <c r="L17" s="84"/>
      <c r="M17" s="85"/>
      <c r="N17" s="85"/>
      <c r="O17" s="85"/>
      <c r="P17" s="84"/>
      <c r="Q17" s="84"/>
      <c r="R17" s="84"/>
      <c r="S17" s="84"/>
      <c r="T17" s="84"/>
      <c r="U17" s="84"/>
      <c r="V17" s="84"/>
      <c r="W17" s="85"/>
      <c r="X17" s="85"/>
      <c r="Y17" s="85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N17" s="83">
        <f t="shared" ca="1" si="0"/>
        <v>1</v>
      </c>
      <c r="AO17" s="83">
        <f t="shared" ca="1" si="1"/>
        <v>0</v>
      </c>
      <c r="AP17" s="83">
        <f t="shared" ca="1" si="1"/>
        <v>0</v>
      </c>
      <c r="AQ17" s="83">
        <f t="shared" ca="1" si="1"/>
        <v>1</v>
      </c>
      <c r="AR17" s="83">
        <f t="shared" ca="1" si="1"/>
        <v>1</v>
      </c>
      <c r="AS17" s="83">
        <f t="shared" ca="1" si="1"/>
        <v>1</v>
      </c>
      <c r="AT17" s="83">
        <f t="shared" ca="1" si="1"/>
        <v>1</v>
      </c>
      <c r="AU17" s="83">
        <f t="shared" ca="1" si="1"/>
        <v>1</v>
      </c>
      <c r="AV17" s="83">
        <f t="shared" ca="1" si="1"/>
        <v>0</v>
      </c>
      <c r="AW17" s="83">
        <f t="shared" ca="1" si="1"/>
        <v>1</v>
      </c>
      <c r="AX17" s="83">
        <f t="shared" ca="1" si="1"/>
        <v>0</v>
      </c>
      <c r="AY17" s="83">
        <f t="shared" ca="1" si="1"/>
        <v>1</v>
      </c>
      <c r="AZ17" s="83">
        <f t="shared" ca="1" si="1"/>
        <v>1</v>
      </c>
      <c r="BA17" s="83">
        <f t="shared" ca="1" si="1"/>
        <v>0</v>
      </c>
      <c r="BB17" s="83">
        <f t="shared" ca="1" si="1"/>
        <v>1</v>
      </c>
      <c r="BC17" s="83">
        <f t="shared" ca="1" si="1"/>
        <v>1</v>
      </c>
      <c r="BD17" s="83">
        <f t="shared" ca="1" si="1"/>
        <v>0</v>
      </c>
      <c r="BE17" s="83">
        <f t="shared" ca="1" si="2"/>
        <v>1</v>
      </c>
      <c r="BF17" s="83">
        <f t="shared" ca="1" si="2"/>
        <v>0</v>
      </c>
      <c r="BG17" s="83">
        <f t="shared" ca="1" si="2"/>
        <v>1</v>
      </c>
      <c r="BH17" s="83">
        <f t="shared" ca="1" si="2"/>
        <v>0</v>
      </c>
      <c r="BI17" s="83">
        <f t="shared" ca="1" si="2"/>
        <v>0</v>
      </c>
      <c r="BJ17" s="83">
        <f t="shared" ca="1" si="2"/>
        <v>0</v>
      </c>
      <c r="BK17" s="83">
        <f t="shared" ca="1" si="2"/>
        <v>0</v>
      </c>
      <c r="BL17" s="83">
        <f t="shared" ca="1" si="2"/>
        <v>0</v>
      </c>
      <c r="BM17" s="83">
        <f t="shared" ca="1" si="2"/>
        <v>1</v>
      </c>
      <c r="BN17" s="83">
        <f t="shared" ca="1" si="2"/>
        <v>0</v>
      </c>
      <c r="BO17" s="83">
        <f t="shared" ca="1" si="2"/>
        <v>1</v>
      </c>
    </row>
    <row r="18" spans="5:74" ht="18.600000000000001" customHeight="1" x14ac:dyDescent="0.3">
      <c r="H18" s="84"/>
      <c r="I18" s="84"/>
      <c r="J18" s="84"/>
      <c r="K18" s="84"/>
      <c r="L18" s="85"/>
      <c r="M18" s="85"/>
      <c r="N18" s="85"/>
      <c r="O18" s="84"/>
      <c r="P18" s="84"/>
      <c r="Q18" s="84"/>
      <c r="R18" s="84"/>
      <c r="S18" s="84"/>
      <c r="T18" s="84"/>
      <c r="U18" s="84"/>
      <c r="V18" s="84"/>
      <c r="W18" s="84"/>
      <c r="X18" s="85"/>
      <c r="Y18" s="85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N18" s="83">
        <f t="shared" ca="1" si="0"/>
        <v>0</v>
      </c>
      <c r="AO18" s="83">
        <f t="shared" ca="1" si="1"/>
        <v>1</v>
      </c>
      <c r="AP18" s="83">
        <f t="shared" ca="1" si="1"/>
        <v>1</v>
      </c>
      <c r="AQ18" s="83">
        <f t="shared" ca="1" si="1"/>
        <v>1</v>
      </c>
      <c r="AR18" s="83">
        <f t="shared" ca="1" si="1"/>
        <v>1</v>
      </c>
      <c r="AS18" s="83">
        <f t="shared" ca="1" si="1"/>
        <v>1</v>
      </c>
      <c r="AT18" s="83">
        <f t="shared" ca="1" si="1"/>
        <v>0</v>
      </c>
      <c r="AU18" s="83">
        <f t="shared" ca="1" si="1"/>
        <v>0</v>
      </c>
      <c r="AV18" s="83">
        <f t="shared" ca="1" si="1"/>
        <v>1</v>
      </c>
      <c r="AW18" s="83">
        <f t="shared" ca="1" si="1"/>
        <v>1</v>
      </c>
      <c r="AX18" s="83">
        <f t="shared" ca="1" si="1"/>
        <v>0</v>
      </c>
      <c r="AY18" s="83">
        <f t="shared" ca="1" si="1"/>
        <v>1</v>
      </c>
      <c r="AZ18" s="83">
        <f t="shared" ca="1" si="1"/>
        <v>1</v>
      </c>
      <c r="BA18" s="83">
        <f t="shared" ca="1" si="1"/>
        <v>0</v>
      </c>
      <c r="BB18" s="83">
        <f t="shared" ca="1" si="1"/>
        <v>0</v>
      </c>
      <c r="BC18" s="83">
        <f t="shared" ca="1" si="1"/>
        <v>0</v>
      </c>
      <c r="BD18" s="83">
        <f t="shared" ref="BD18:BO30" ca="1" si="3">RANDBETWEEN(0,1)</f>
        <v>1</v>
      </c>
      <c r="BE18" s="83">
        <f t="shared" ca="1" si="2"/>
        <v>0</v>
      </c>
      <c r="BF18" s="83">
        <f t="shared" ca="1" si="2"/>
        <v>1</v>
      </c>
      <c r="BG18" s="83">
        <f t="shared" ca="1" si="2"/>
        <v>0</v>
      </c>
      <c r="BH18" s="83">
        <f t="shared" ca="1" si="2"/>
        <v>0</v>
      </c>
      <c r="BI18" s="83">
        <f t="shared" ca="1" si="2"/>
        <v>0</v>
      </c>
      <c r="BJ18" s="83">
        <f t="shared" ca="1" si="2"/>
        <v>1</v>
      </c>
      <c r="BK18" s="83">
        <f t="shared" ca="1" si="2"/>
        <v>0</v>
      </c>
      <c r="BL18" s="83">
        <f t="shared" ca="1" si="2"/>
        <v>1</v>
      </c>
      <c r="BM18" s="83">
        <f t="shared" ca="1" si="2"/>
        <v>1</v>
      </c>
      <c r="BN18" s="83">
        <f t="shared" ca="1" si="2"/>
        <v>1</v>
      </c>
      <c r="BO18" s="83">
        <f t="shared" ca="1" si="2"/>
        <v>0</v>
      </c>
      <c r="BU18" t="s">
        <v>839</v>
      </c>
      <c r="BV18">
        <f>BV16/BV14</f>
        <v>6.8798891276824849E-232</v>
      </c>
    </row>
    <row r="19" spans="5:74" ht="18.600000000000001" customHeight="1" x14ac:dyDescent="0.3">
      <c r="E19" s="82"/>
      <c r="H19" s="84"/>
      <c r="I19" s="84"/>
      <c r="J19" s="84"/>
      <c r="K19" s="85"/>
      <c r="L19" s="85"/>
      <c r="M19" s="85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5"/>
      <c r="Y19" s="85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N19" s="83">
        <f t="shared" ca="1" si="0"/>
        <v>0</v>
      </c>
      <c r="AO19" s="83">
        <f t="shared" ref="AO19:BC19" ca="1" si="4">RANDBETWEEN(0,1)</f>
        <v>1</v>
      </c>
      <c r="AP19" s="83">
        <f t="shared" ca="1" si="4"/>
        <v>1</v>
      </c>
      <c r="AQ19" s="83">
        <f t="shared" ca="1" si="4"/>
        <v>0</v>
      </c>
      <c r="AR19" s="83">
        <f t="shared" ca="1" si="4"/>
        <v>0</v>
      </c>
      <c r="AS19" s="83">
        <f t="shared" ca="1" si="4"/>
        <v>0</v>
      </c>
      <c r="AT19" s="83">
        <f t="shared" ca="1" si="4"/>
        <v>1</v>
      </c>
      <c r="AU19" s="83">
        <f t="shared" ca="1" si="4"/>
        <v>0</v>
      </c>
      <c r="AV19" s="83">
        <f t="shared" ca="1" si="4"/>
        <v>0</v>
      </c>
      <c r="AW19" s="83">
        <f t="shared" ca="1" si="4"/>
        <v>0</v>
      </c>
      <c r="AX19" s="83">
        <f t="shared" ca="1" si="4"/>
        <v>1</v>
      </c>
      <c r="AY19" s="83">
        <f t="shared" ca="1" si="4"/>
        <v>0</v>
      </c>
      <c r="AZ19" s="83">
        <f t="shared" ca="1" si="4"/>
        <v>1</v>
      </c>
      <c r="BA19" s="83">
        <f t="shared" ca="1" si="4"/>
        <v>1</v>
      </c>
      <c r="BB19" s="83">
        <f t="shared" ca="1" si="4"/>
        <v>1</v>
      </c>
      <c r="BC19" s="83">
        <f t="shared" ca="1" si="4"/>
        <v>0</v>
      </c>
      <c r="BD19" s="83">
        <f t="shared" ca="1" si="3"/>
        <v>1</v>
      </c>
      <c r="BE19" s="83">
        <f t="shared" ca="1" si="3"/>
        <v>0</v>
      </c>
      <c r="BF19" s="83">
        <f t="shared" ca="1" si="3"/>
        <v>0</v>
      </c>
      <c r="BG19" s="83">
        <f t="shared" ca="1" si="3"/>
        <v>1</v>
      </c>
      <c r="BH19" s="83">
        <f t="shared" ca="1" si="3"/>
        <v>1</v>
      </c>
      <c r="BI19" s="83">
        <f t="shared" ca="1" si="3"/>
        <v>1</v>
      </c>
      <c r="BJ19" s="83">
        <f t="shared" ca="1" si="3"/>
        <v>0</v>
      </c>
      <c r="BK19" s="83">
        <f t="shared" ca="1" si="3"/>
        <v>0</v>
      </c>
      <c r="BL19" s="83">
        <f t="shared" ca="1" si="3"/>
        <v>1</v>
      </c>
      <c r="BM19" s="83">
        <f t="shared" ca="1" si="3"/>
        <v>1</v>
      </c>
      <c r="BN19" s="83">
        <f t="shared" ca="1" si="3"/>
        <v>0</v>
      </c>
      <c r="BO19" s="83">
        <f t="shared" ca="1" si="3"/>
        <v>0</v>
      </c>
      <c r="BV19">
        <f>BV14/BV16</f>
        <v>1.4535117956717037E+231</v>
      </c>
    </row>
    <row r="20" spans="5:74" ht="18.600000000000001" customHeight="1" x14ac:dyDescent="0.3">
      <c r="H20" s="84"/>
      <c r="I20" s="84"/>
      <c r="J20" s="84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4"/>
      <c r="V20" s="84"/>
      <c r="W20" s="84"/>
      <c r="X20" s="85"/>
      <c r="Y20" s="85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N20" s="83">
        <f t="shared" ref="AN20:BC30" ca="1" si="5">RANDBETWEEN(0,1)</f>
        <v>0</v>
      </c>
      <c r="AO20" s="83">
        <f t="shared" ca="1" si="5"/>
        <v>1</v>
      </c>
      <c r="AP20" s="83">
        <f t="shared" ca="1" si="5"/>
        <v>1</v>
      </c>
      <c r="AQ20" s="83">
        <f t="shared" ca="1" si="5"/>
        <v>1</v>
      </c>
      <c r="AR20" s="83">
        <f t="shared" ca="1" si="5"/>
        <v>1</v>
      </c>
      <c r="AS20" s="83">
        <f t="shared" ca="1" si="5"/>
        <v>0</v>
      </c>
      <c r="AT20" s="83">
        <f t="shared" ca="1" si="5"/>
        <v>0</v>
      </c>
      <c r="AU20" s="83">
        <f t="shared" ca="1" si="5"/>
        <v>0</v>
      </c>
      <c r="AV20" s="83">
        <f t="shared" ca="1" si="5"/>
        <v>1</v>
      </c>
      <c r="AW20" s="83">
        <f t="shared" ca="1" si="5"/>
        <v>0</v>
      </c>
      <c r="AX20" s="83">
        <f t="shared" ca="1" si="5"/>
        <v>0</v>
      </c>
      <c r="AY20" s="83">
        <f t="shared" ca="1" si="5"/>
        <v>0</v>
      </c>
      <c r="AZ20" s="83">
        <f t="shared" ca="1" si="5"/>
        <v>1</v>
      </c>
      <c r="BA20" s="83">
        <f t="shared" ca="1" si="5"/>
        <v>0</v>
      </c>
      <c r="BB20" s="83">
        <f t="shared" ca="1" si="5"/>
        <v>0</v>
      </c>
      <c r="BC20" s="83">
        <f t="shared" ca="1" si="5"/>
        <v>1</v>
      </c>
      <c r="BD20" s="83">
        <f t="shared" ca="1" si="3"/>
        <v>1</v>
      </c>
      <c r="BE20" s="83">
        <f t="shared" ca="1" si="3"/>
        <v>1</v>
      </c>
      <c r="BF20" s="83">
        <f t="shared" ca="1" si="3"/>
        <v>1</v>
      </c>
      <c r="BG20" s="83">
        <f t="shared" ca="1" si="3"/>
        <v>0</v>
      </c>
      <c r="BH20" s="83">
        <f t="shared" ca="1" si="3"/>
        <v>1</v>
      </c>
      <c r="BI20" s="83">
        <f t="shared" ca="1" si="3"/>
        <v>0</v>
      </c>
      <c r="BJ20" s="83">
        <f t="shared" ca="1" si="3"/>
        <v>1</v>
      </c>
      <c r="BK20" s="83">
        <f t="shared" ca="1" si="3"/>
        <v>1</v>
      </c>
      <c r="BL20" s="83">
        <f t="shared" ca="1" si="3"/>
        <v>1</v>
      </c>
      <c r="BM20" s="83">
        <f t="shared" ca="1" si="3"/>
        <v>0</v>
      </c>
      <c r="BN20" s="83">
        <f t="shared" ca="1" si="3"/>
        <v>0</v>
      </c>
      <c r="BO20" s="83">
        <f t="shared" ca="1" si="3"/>
        <v>1</v>
      </c>
    </row>
    <row r="21" spans="5:74" ht="18.600000000000001" customHeight="1" x14ac:dyDescent="0.3">
      <c r="H21" s="84"/>
      <c r="I21" s="84"/>
      <c r="J21" s="84"/>
      <c r="K21" s="84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4"/>
      <c r="AB21" s="84"/>
      <c r="AC21" s="84"/>
      <c r="AD21" s="84"/>
      <c r="AE21" s="84"/>
      <c r="AF21" s="84"/>
      <c r="AG21" s="84"/>
      <c r="AH21" s="84"/>
      <c r="AI21" s="84"/>
      <c r="AN21" s="83">
        <f t="shared" ca="1" si="5"/>
        <v>0</v>
      </c>
      <c r="AO21" s="83">
        <f t="shared" ca="1" si="5"/>
        <v>0</v>
      </c>
      <c r="AP21" s="83">
        <f t="shared" ca="1" si="5"/>
        <v>0</v>
      </c>
      <c r="AQ21" s="83">
        <f t="shared" ca="1" si="5"/>
        <v>0</v>
      </c>
      <c r="AR21" s="83">
        <f t="shared" ca="1" si="5"/>
        <v>0</v>
      </c>
      <c r="AS21" s="83">
        <f t="shared" ca="1" si="5"/>
        <v>0</v>
      </c>
      <c r="AT21" s="83">
        <f t="shared" ca="1" si="5"/>
        <v>1</v>
      </c>
      <c r="AU21" s="83">
        <f t="shared" ca="1" si="5"/>
        <v>0</v>
      </c>
      <c r="AV21" s="83">
        <f t="shared" ca="1" si="5"/>
        <v>1</v>
      </c>
      <c r="AW21" s="83">
        <f t="shared" ca="1" si="5"/>
        <v>0</v>
      </c>
      <c r="AX21" s="83">
        <f t="shared" ca="1" si="5"/>
        <v>1</v>
      </c>
      <c r="AY21" s="83">
        <f t="shared" ca="1" si="5"/>
        <v>0</v>
      </c>
      <c r="AZ21" s="83">
        <f t="shared" ca="1" si="5"/>
        <v>1</v>
      </c>
      <c r="BA21" s="83">
        <f t="shared" ca="1" si="5"/>
        <v>1</v>
      </c>
      <c r="BB21" s="83">
        <f t="shared" ca="1" si="5"/>
        <v>1</v>
      </c>
      <c r="BC21" s="83">
        <f t="shared" ca="1" si="5"/>
        <v>1</v>
      </c>
      <c r="BD21" s="83">
        <f t="shared" ca="1" si="3"/>
        <v>1</v>
      </c>
      <c r="BE21" s="83">
        <f t="shared" ca="1" si="3"/>
        <v>1</v>
      </c>
      <c r="BF21" s="83">
        <f t="shared" ca="1" si="3"/>
        <v>1</v>
      </c>
      <c r="BG21" s="83">
        <f t="shared" ca="1" si="3"/>
        <v>0</v>
      </c>
      <c r="BH21" s="83">
        <f t="shared" ca="1" si="3"/>
        <v>1</v>
      </c>
      <c r="BI21" s="83">
        <f t="shared" ca="1" si="3"/>
        <v>1</v>
      </c>
      <c r="BJ21" s="83">
        <f t="shared" ca="1" si="3"/>
        <v>1</v>
      </c>
      <c r="BK21" s="83">
        <f t="shared" ca="1" si="3"/>
        <v>0</v>
      </c>
      <c r="BL21" s="83">
        <f t="shared" ca="1" si="3"/>
        <v>1</v>
      </c>
      <c r="BM21" s="83">
        <f t="shared" ca="1" si="3"/>
        <v>1</v>
      </c>
      <c r="BN21" s="83">
        <f t="shared" ca="1" si="3"/>
        <v>0</v>
      </c>
      <c r="BO21" s="83">
        <f t="shared" ca="1" si="3"/>
        <v>1</v>
      </c>
    </row>
    <row r="22" spans="5:74" ht="18.600000000000001" customHeight="1" x14ac:dyDescent="0.3"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4"/>
      <c r="AF22" s="84"/>
      <c r="AG22" s="84"/>
      <c r="AH22" s="84"/>
      <c r="AI22" s="84"/>
      <c r="AN22" s="83">
        <f t="shared" ca="1" si="5"/>
        <v>1</v>
      </c>
      <c r="AO22" s="83">
        <f t="shared" ca="1" si="5"/>
        <v>1</v>
      </c>
      <c r="AP22" s="83">
        <f t="shared" ca="1" si="5"/>
        <v>1</v>
      </c>
      <c r="AQ22" s="83">
        <f t="shared" ca="1" si="5"/>
        <v>1</v>
      </c>
      <c r="AR22" s="83">
        <f t="shared" ca="1" si="5"/>
        <v>1</v>
      </c>
      <c r="AS22" s="83">
        <f t="shared" ca="1" si="5"/>
        <v>0</v>
      </c>
      <c r="AT22" s="83">
        <f t="shared" ca="1" si="5"/>
        <v>1</v>
      </c>
      <c r="AU22" s="83">
        <f t="shared" ca="1" si="5"/>
        <v>0</v>
      </c>
      <c r="AV22" s="83">
        <f t="shared" ca="1" si="5"/>
        <v>0</v>
      </c>
      <c r="AW22" s="83">
        <f t="shared" ca="1" si="5"/>
        <v>0</v>
      </c>
      <c r="AX22" s="83">
        <f t="shared" ca="1" si="5"/>
        <v>0</v>
      </c>
      <c r="AY22" s="83">
        <f t="shared" ca="1" si="5"/>
        <v>1</v>
      </c>
      <c r="AZ22" s="83">
        <f t="shared" ca="1" si="5"/>
        <v>1</v>
      </c>
      <c r="BA22" s="83">
        <f t="shared" ca="1" si="5"/>
        <v>1</v>
      </c>
      <c r="BB22" s="83">
        <f t="shared" ca="1" si="5"/>
        <v>1</v>
      </c>
      <c r="BC22" s="83">
        <f t="shared" ca="1" si="5"/>
        <v>1</v>
      </c>
      <c r="BD22" s="83">
        <f t="shared" ca="1" si="3"/>
        <v>1</v>
      </c>
      <c r="BE22" s="83">
        <f t="shared" ca="1" si="3"/>
        <v>1</v>
      </c>
      <c r="BF22" s="83">
        <f t="shared" ca="1" si="3"/>
        <v>0</v>
      </c>
      <c r="BG22" s="83">
        <f t="shared" ca="1" si="3"/>
        <v>0</v>
      </c>
      <c r="BH22" s="83">
        <f t="shared" ca="1" si="3"/>
        <v>0</v>
      </c>
      <c r="BI22" s="83">
        <f t="shared" ca="1" si="3"/>
        <v>0</v>
      </c>
      <c r="BJ22" s="83">
        <f t="shared" ca="1" si="3"/>
        <v>1</v>
      </c>
      <c r="BK22" s="83">
        <f t="shared" ca="1" si="3"/>
        <v>0</v>
      </c>
      <c r="BL22" s="83">
        <f t="shared" ca="1" si="3"/>
        <v>0</v>
      </c>
      <c r="BM22" s="83">
        <f t="shared" ca="1" si="3"/>
        <v>0</v>
      </c>
      <c r="BN22" s="83">
        <f t="shared" ca="1" si="3"/>
        <v>0</v>
      </c>
      <c r="BO22" s="83">
        <f t="shared" ca="1" si="3"/>
        <v>0</v>
      </c>
    </row>
    <row r="23" spans="5:74" ht="18.600000000000001" customHeight="1" x14ac:dyDescent="0.3"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5"/>
      <c r="Y23" s="85"/>
      <c r="Z23" s="84"/>
      <c r="AA23" s="85"/>
      <c r="AB23" s="85"/>
      <c r="AC23" s="85"/>
      <c r="AD23" s="85"/>
      <c r="AE23" s="85"/>
      <c r="AF23" s="85"/>
      <c r="AG23" s="84"/>
      <c r="AH23" s="84"/>
      <c r="AI23" s="84"/>
      <c r="AN23" s="83">
        <f t="shared" ca="1" si="5"/>
        <v>0</v>
      </c>
      <c r="AO23" s="83">
        <f t="shared" ca="1" si="5"/>
        <v>1</v>
      </c>
      <c r="AP23" s="83">
        <f t="shared" ca="1" si="5"/>
        <v>1</v>
      </c>
      <c r="AQ23" s="83">
        <f t="shared" ca="1" si="5"/>
        <v>1</v>
      </c>
      <c r="AR23" s="83">
        <f t="shared" ca="1" si="5"/>
        <v>1</v>
      </c>
      <c r="AS23" s="83">
        <f t="shared" ca="1" si="5"/>
        <v>1</v>
      </c>
      <c r="AT23" s="83">
        <f t="shared" ca="1" si="5"/>
        <v>0</v>
      </c>
      <c r="AU23" s="83">
        <f t="shared" ca="1" si="5"/>
        <v>1</v>
      </c>
      <c r="AV23" s="83">
        <f t="shared" ca="1" si="5"/>
        <v>0</v>
      </c>
      <c r="AW23" s="83">
        <f t="shared" ca="1" si="5"/>
        <v>1</v>
      </c>
      <c r="AX23" s="83">
        <f t="shared" ca="1" si="5"/>
        <v>0</v>
      </c>
      <c r="AY23" s="83">
        <f t="shared" ca="1" si="5"/>
        <v>1</v>
      </c>
      <c r="AZ23" s="83">
        <f t="shared" ca="1" si="5"/>
        <v>0</v>
      </c>
      <c r="BA23" s="83">
        <f t="shared" ca="1" si="5"/>
        <v>1</v>
      </c>
      <c r="BB23" s="83">
        <f t="shared" ca="1" si="5"/>
        <v>0</v>
      </c>
      <c r="BC23" s="83">
        <f t="shared" ca="1" si="5"/>
        <v>1</v>
      </c>
      <c r="BD23" s="83">
        <f t="shared" ca="1" si="3"/>
        <v>0</v>
      </c>
      <c r="BE23" s="83">
        <f t="shared" ca="1" si="3"/>
        <v>0</v>
      </c>
      <c r="BF23" s="83">
        <f t="shared" ca="1" si="3"/>
        <v>1</v>
      </c>
      <c r="BG23" s="83">
        <f t="shared" ca="1" si="3"/>
        <v>0</v>
      </c>
      <c r="BH23" s="83">
        <f t="shared" ca="1" si="3"/>
        <v>1</v>
      </c>
      <c r="BI23" s="83">
        <f t="shared" ca="1" si="3"/>
        <v>1</v>
      </c>
      <c r="BJ23" s="83">
        <f t="shared" ca="1" si="3"/>
        <v>1</v>
      </c>
      <c r="BK23" s="83">
        <f t="shared" ca="1" si="3"/>
        <v>1</v>
      </c>
      <c r="BL23" s="83">
        <f t="shared" ca="1" si="3"/>
        <v>1</v>
      </c>
      <c r="BM23" s="83">
        <f t="shared" ca="1" si="3"/>
        <v>1</v>
      </c>
      <c r="BN23" s="83">
        <f t="shared" ca="1" si="3"/>
        <v>1</v>
      </c>
      <c r="BO23" s="83">
        <f t="shared" ca="1" si="3"/>
        <v>0</v>
      </c>
    </row>
    <row r="24" spans="5:74" ht="18.600000000000001" customHeight="1" x14ac:dyDescent="0.3"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5"/>
      <c r="Y24" s="85"/>
      <c r="Z24" s="84"/>
      <c r="AA24" s="84"/>
      <c r="AB24" s="84"/>
      <c r="AC24" s="84"/>
      <c r="AD24" s="85"/>
      <c r="AE24" s="85"/>
      <c r="AF24" s="85"/>
      <c r="AG24" s="84"/>
      <c r="AH24" s="84"/>
      <c r="AI24" s="84"/>
      <c r="AN24" s="83">
        <f t="shared" ca="1" si="5"/>
        <v>0</v>
      </c>
      <c r="AO24" s="83">
        <f t="shared" ca="1" si="5"/>
        <v>0</v>
      </c>
      <c r="AP24" s="83">
        <f t="shared" ca="1" si="5"/>
        <v>0</v>
      </c>
      <c r="AQ24" s="83">
        <f t="shared" ca="1" si="5"/>
        <v>1</v>
      </c>
      <c r="AR24" s="83">
        <f t="shared" ca="1" si="5"/>
        <v>1</v>
      </c>
      <c r="AS24" s="83">
        <f t="shared" ca="1" si="5"/>
        <v>0</v>
      </c>
      <c r="AT24" s="83">
        <f t="shared" ca="1" si="5"/>
        <v>0</v>
      </c>
      <c r="AU24" s="83">
        <f t="shared" ca="1" si="5"/>
        <v>1</v>
      </c>
      <c r="AV24" s="83">
        <f t="shared" ca="1" si="5"/>
        <v>1</v>
      </c>
      <c r="AW24" s="83">
        <f t="shared" ca="1" si="5"/>
        <v>1</v>
      </c>
      <c r="AX24" s="83">
        <f t="shared" ca="1" si="5"/>
        <v>1</v>
      </c>
      <c r="AY24" s="83">
        <f t="shared" ca="1" si="5"/>
        <v>0</v>
      </c>
      <c r="AZ24" s="83">
        <f t="shared" ca="1" si="5"/>
        <v>0</v>
      </c>
      <c r="BA24" s="83">
        <f t="shared" ca="1" si="5"/>
        <v>0</v>
      </c>
      <c r="BB24" s="83">
        <f t="shared" ca="1" si="5"/>
        <v>0</v>
      </c>
      <c r="BC24" s="83">
        <f t="shared" ca="1" si="5"/>
        <v>1</v>
      </c>
      <c r="BD24" s="83">
        <f t="shared" ca="1" si="3"/>
        <v>0</v>
      </c>
      <c r="BE24" s="83">
        <f t="shared" ca="1" si="3"/>
        <v>1</v>
      </c>
      <c r="BF24" s="83">
        <f t="shared" ca="1" si="3"/>
        <v>0</v>
      </c>
      <c r="BG24" s="83">
        <f t="shared" ca="1" si="3"/>
        <v>1</v>
      </c>
      <c r="BH24" s="83">
        <f t="shared" ca="1" si="3"/>
        <v>1</v>
      </c>
      <c r="BI24" s="83">
        <f t="shared" ca="1" si="3"/>
        <v>0</v>
      </c>
      <c r="BJ24" s="83">
        <f t="shared" ca="1" si="3"/>
        <v>0</v>
      </c>
      <c r="BK24" s="83">
        <f t="shared" ca="1" si="3"/>
        <v>1</v>
      </c>
      <c r="BL24" s="83">
        <f t="shared" ca="1" si="3"/>
        <v>1</v>
      </c>
      <c r="BM24" s="83">
        <f t="shared" ca="1" si="3"/>
        <v>1</v>
      </c>
      <c r="BN24" s="83">
        <f t="shared" ca="1" si="3"/>
        <v>1</v>
      </c>
      <c r="BO24" s="83">
        <f t="shared" ca="1" si="3"/>
        <v>0</v>
      </c>
    </row>
    <row r="25" spans="5:74" ht="18.600000000000001" customHeight="1" x14ac:dyDescent="0.3"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5"/>
      <c r="Y25" s="85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N25" s="83">
        <f t="shared" ca="1" si="5"/>
        <v>0</v>
      </c>
      <c r="AO25" s="83">
        <f t="shared" ca="1" si="5"/>
        <v>1</v>
      </c>
      <c r="AP25" s="83">
        <f t="shared" ca="1" si="5"/>
        <v>0</v>
      </c>
      <c r="AQ25" s="83">
        <f t="shared" ca="1" si="5"/>
        <v>1</v>
      </c>
      <c r="AR25" s="83">
        <f t="shared" ca="1" si="5"/>
        <v>1</v>
      </c>
      <c r="AS25" s="83">
        <f t="shared" ca="1" si="5"/>
        <v>1</v>
      </c>
      <c r="AT25" s="83">
        <f t="shared" ca="1" si="5"/>
        <v>0</v>
      </c>
      <c r="AU25" s="83">
        <f t="shared" ca="1" si="5"/>
        <v>1</v>
      </c>
      <c r="AV25" s="83">
        <f t="shared" ca="1" si="5"/>
        <v>1</v>
      </c>
      <c r="AW25" s="83">
        <f t="shared" ca="1" si="5"/>
        <v>1</v>
      </c>
      <c r="AX25" s="83">
        <f t="shared" ca="1" si="5"/>
        <v>1</v>
      </c>
      <c r="AY25" s="83">
        <f t="shared" ca="1" si="5"/>
        <v>1</v>
      </c>
      <c r="AZ25" s="83">
        <f t="shared" ca="1" si="5"/>
        <v>1</v>
      </c>
      <c r="BA25" s="83">
        <f t="shared" ca="1" si="5"/>
        <v>0</v>
      </c>
      <c r="BB25" s="83">
        <f t="shared" ca="1" si="5"/>
        <v>1</v>
      </c>
      <c r="BC25" s="83">
        <f t="shared" ca="1" si="5"/>
        <v>0</v>
      </c>
      <c r="BD25" s="83">
        <f t="shared" ca="1" si="3"/>
        <v>1</v>
      </c>
      <c r="BE25" s="83">
        <f t="shared" ca="1" si="3"/>
        <v>1</v>
      </c>
      <c r="BF25" s="83">
        <f t="shared" ca="1" si="3"/>
        <v>0</v>
      </c>
      <c r="BG25" s="83">
        <f t="shared" ca="1" si="3"/>
        <v>0</v>
      </c>
      <c r="BH25" s="83">
        <f t="shared" ca="1" si="3"/>
        <v>0</v>
      </c>
      <c r="BI25" s="83">
        <f t="shared" ca="1" si="3"/>
        <v>1</v>
      </c>
      <c r="BJ25" s="83">
        <f t="shared" ca="1" si="3"/>
        <v>1</v>
      </c>
      <c r="BK25" s="83">
        <f t="shared" ca="1" si="3"/>
        <v>0</v>
      </c>
      <c r="BL25" s="83">
        <f t="shared" ca="1" si="3"/>
        <v>0</v>
      </c>
      <c r="BM25" s="83">
        <f t="shared" ca="1" si="3"/>
        <v>0</v>
      </c>
      <c r="BN25" s="83">
        <f t="shared" ca="1" si="3"/>
        <v>0</v>
      </c>
      <c r="BO25" s="83">
        <f t="shared" ca="1" si="3"/>
        <v>0</v>
      </c>
    </row>
    <row r="26" spans="5:74" ht="18.600000000000001" customHeight="1" x14ac:dyDescent="0.3"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5"/>
      <c r="Y26" s="85"/>
      <c r="Z26" s="84"/>
      <c r="AA26" s="84"/>
      <c r="AB26" s="84"/>
      <c r="AC26" s="84"/>
      <c r="AD26" s="84"/>
      <c r="AE26" s="84"/>
      <c r="AF26" s="84"/>
      <c r="AG26" s="84"/>
      <c r="AH26" s="84"/>
      <c r="AI26" s="84"/>
      <c r="AN26" s="83">
        <f t="shared" ca="1" si="5"/>
        <v>0</v>
      </c>
      <c r="AO26" s="83">
        <f t="shared" ca="1" si="5"/>
        <v>1</v>
      </c>
      <c r="AP26" s="83">
        <f t="shared" ca="1" si="5"/>
        <v>0</v>
      </c>
      <c r="AQ26" s="83">
        <f t="shared" ca="1" si="5"/>
        <v>0</v>
      </c>
      <c r="AR26" s="83">
        <f t="shared" ca="1" si="5"/>
        <v>0</v>
      </c>
      <c r="AS26" s="83">
        <f t="shared" ca="1" si="5"/>
        <v>1</v>
      </c>
      <c r="AT26" s="83">
        <f t="shared" ca="1" si="5"/>
        <v>1</v>
      </c>
      <c r="AU26" s="83">
        <f t="shared" ca="1" si="5"/>
        <v>1</v>
      </c>
      <c r="AV26" s="83">
        <f t="shared" ca="1" si="5"/>
        <v>0</v>
      </c>
      <c r="AW26" s="83">
        <f t="shared" ca="1" si="5"/>
        <v>0</v>
      </c>
      <c r="AX26" s="83">
        <f t="shared" ca="1" si="5"/>
        <v>1</v>
      </c>
      <c r="AY26" s="83">
        <f t="shared" ca="1" si="5"/>
        <v>1</v>
      </c>
      <c r="AZ26" s="83">
        <f t="shared" ca="1" si="5"/>
        <v>0</v>
      </c>
      <c r="BA26" s="83">
        <f t="shared" ca="1" si="5"/>
        <v>0</v>
      </c>
      <c r="BB26" s="83">
        <f t="shared" ca="1" si="5"/>
        <v>0</v>
      </c>
      <c r="BC26" s="83">
        <f t="shared" ca="1" si="5"/>
        <v>1</v>
      </c>
      <c r="BD26" s="83">
        <f t="shared" ca="1" si="3"/>
        <v>0</v>
      </c>
      <c r="BE26" s="83">
        <f t="shared" ca="1" si="3"/>
        <v>1</v>
      </c>
      <c r="BF26" s="83">
        <f t="shared" ca="1" si="3"/>
        <v>0</v>
      </c>
      <c r="BG26" s="83">
        <f t="shared" ca="1" si="3"/>
        <v>0</v>
      </c>
      <c r="BH26" s="83">
        <f t="shared" ca="1" si="3"/>
        <v>0</v>
      </c>
      <c r="BI26" s="83">
        <f t="shared" ca="1" si="3"/>
        <v>1</v>
      </c>
      <c r="BJ26" s="83">
        <f t="shared" ca="1" si="3"/>
        <v>1</v>
      </c>
      <c r="BK26" s="83">
        <f t="shared" ca="1" si="3"/>
        <v>0</v>
      </c>
      <c r="BL26" s="83">
        <f t="shared" ca="1" si="3"/>
        <v>0</v>
      </c>
      <c r="BM26" s="83">
        <f t="shared" ca="1" si="3"/>
        <v>1</v>
      </c>
      <c r="BN26" s="83">
        <f t="shared" ca="1" si="3"/>
        <v>1</v>
      </c>
      <c r="BO26" s="83">
        <f t="shared" ca="1" si="3"/>
        <v>0</v>
      </c>
    </row>
    <row r="27" spans="5:74" ht="18.600000000000001" customHeight="1" x14ac:dyDescent="0.3"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5"/>
      <c r="Y27" s="85"/>
      <c r="Z27" s="84"/>
      <c r="AA27" s="84"/>
      <c r="AB27" s="84"/>
      <c r="AC27" s="84"/>
      <c r="AD27" s="84"/>
      <c r="AE27" s="84"/>
      <c r="AF27" s="84"/>
      <c r="AG27" s="84"/>
      <c r="AH27" s="84"/>
      <c r="AI27" s="84"/>
      <c r="AN27" s="83">
        <f t="shared" ca="1" si="5"/>
        <v>1</v>
      </c>
      <c r="AO27" s="83">
        <f t="shared" ca="1" si="5"/>
        <v>0</v>
      </c>
      <c r="AP27" s="83">
        <f t="shared" ca="1" si="5"/>
        <v>1</v>
      </c>
      <c r="AQ27" s="83">
        <f t="shared" ca="1" si="5"/>
        <v>1</v>
      </c>
      <c r="AR27" s="83">
        <f t="shared" ca="1" si="5"/>
        <v>0</v>
      </c>
      <c r="AS27" s="83">
        <f t="shared" ca="1" si="5"/>
        <v>0</v>
      </c>
      <c r="AT27" s="83">
        <f t="shared" ca="1" si="5"/>
        <v>0</v>
      </c>
      <c r="AU27" s="83">
        <f t="shared" ca="1" si="5"/>
        <v>1</v>
      </c>
      <c r="AV27" s="83">
        <f t="shared" ca="1" si="5"/>
        <v>0</v>
      </c>
      <c r="AW27" s="83">
        <f t="shared" ca="1" si="5"/>
        <v>0</v>
      </c>
      <c r="AX27" s="83">
        <f t="shared" ca="1" si="5"/>
        <v>0</v>
      </c>
      <c r="AY27" s="83">
        <f t="shared" ca="1" si="5"/>
        <v>1</v>
      </c>
      <c r="AZ27" s="83">
        <f t="shared" ca="1" si="5"/>
        <v>1</v>
      </c>
      <c r="BA27" s="83">
        <f t="shared" ca="1" si="5"/>
        <v>0</v>
      </c>
      <c r="BB27" s="83">
        <f t="shared" ca="1" si="5"/>
        <v>0</v>
      </c>
      <c r="BC27" s="83">
        <f t="shared" ca="1" si="5"/>
        <v>0</v>
      </c>
      <c r="BD27" s="83">
        <f t="shared" ca="1" si="3"/>
        <v>0</v>
      </c>
      <c r="BE27" s="83">
        <f t="shared" ca="1" si="3"/>
        <v>1</v>
      </c>
      <c r="BF27" s="83">
        <f t="shared" ca="1" si="3"/>
        <v>1</v>
      </c>
      <c r="BG27" s="83">
        <f t="shared" ca="1" si="3"/>
        <v>0</v>
      </c>
      <c r="BH27" s="83">
        <f t="shared" ca="1" si="3"/>
        <v>1</v>
      </c>
      <c r="BI27" s="83">
        <f t="shared" ca="1" si="3"/>
        <v>1</v>
      </c>
      <c r="BJ27" s="83">
        <f t="shared" ca="1" si="3"/>
        <v>1</v>
      </c>
      <c r="BK27" s="83">
        <f t="shared" ca="1" si="3"/>
        <v>1</v>
      </c>
      <c r="BL27" s="83">
        <f t="shared" ca="1" si="3"/>
        <v>0</v>
      </c>
      <c r="BM27" s="83">
        <f t="shared" ca="1" si="3"/>
        <v>1</v>
      </c>
      <c r="BN27" s="83">
        <f t="shared" ca="1" si="3"/>
        <v>0</v>
      </c>
      <c r="BO27" s="83">
        <f t="shared" ca="1" si="3"/>
        <v>1</v>
      </c>
    </row>
    <row r="28" spans="5:74" ht="18.600000000000001" customHeight="1" x14ac:dyDescent="0.3"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5"/>
      <c r="Y28" s="85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N28" s="83">
        <f t="shared" ca="1" si="5"/>
        <v>0</v>
      </c>
      <c r="AO28" s="83">
        <f t="shared" ca="1" si="5"/>
        <v>1</v>
      </c>
      <c r="AP28" s="83">
        <f t="shared" ca="1" si="5"/>
        <v>0</v>
      </c>
      <c r="AQ28" s="83">
        <f t="shared" ca="1" si="5"/>
        <v>0</v>
      </c>
      <c r="AR28" s="83">
        <f t="shared" ca="1" si="5"/>
        <v>0</v>
      </c>
      <c r="AS28" s="83">
        <f t="shared" ca="1" si="5"/>
        <v>1</v>
      </c>
      <c r="AT28" s="83">
        <f t="shared" ca="1" si="5"/>
        <v>1</v>
      </c>
      <c r="AU28" s="83">
        <f t="shared" ca="1" si="5"/>
        <v>0</v>
      </c>
      <c r="AV28" s="83">
        <f t="shared" ca="1" si="5"/>
        <v>1</v>
      </c>
      <c r="AW28" s="83">
        <f t="shared" ca="1" si="5"/>
        <v>1</v>
      </c>
      <c r="AX28" s="83">
        <f t="shared" ca="1" si="5"/>
        <v>0</v>
      </c>
      <c r="AY28" s="83">
        <f t="shared" ca="1" si="5"/>
        <v>0</v>
      </c>
      <c r="AZ28" s="83">
        <f t="shared" ca="1" si="5"/>
        <v>0</v>
      </c>
      <c r="BA28" s="83">
        <f t="shared" ca="1" si="5"/>
        <v>1</v>
      </c>
      <c r="BB28" s="83">
        <f t="shared" ca="1" si="5"/>
        <v>1</v>
      </c>
      <c r="BC28" s="83">
        <f t="shared" ca="1" si="5"/>
        <v>0</v>
      </c>
      <c r="BD28" s="83">
        <f t="shared" ca="1" si="3"/>
        <v>0</v>
      </c>
      <c r="BE28" s="83">
        <f t="shared" ca="1" si="3"/>
        <v>1</v>
      </c>
      <c r="BF28" s="83">
        <f t="shared" ca="1" si="3"/>
        <v>1</v>
      </c>
      <c r="BG28" s="83">
        <f t="shared" ca="1" si="3"/>
        <v>1</v>
      </c>
      <c r="BH28" s="83">
        <f t="shared" ca="1" si="3"/>
        <v>0</v>
      </c>
      <c r="BI28" s="83">
        <f t="shared" ca="1" si="3"/>
        <v>1</v>
      </c>
      <c r="BJ28" s="83">
        <f t="shared" ca="1" si="3"/>
        <v>1</v>
      </c>
      <c r="BK28" s="83">
        <f t="shared" ca="1" si="3"/>
        <v>1</v>
      </c>
      <c r="BL28" s="83">
        <f t="shared" ca="1" si="3"/>
        <v>0</v>
      </c>
      <c r="BM28" s="83">
        <f t="shared" ca="1" si="3"/>
        <v>1</v>
      </c>
      <c r="BN28" s="83">
        <f t="shared" ca="1" si="3"/>
        <v>1</v>
      </c>
      <c r="BO28" s="83">
        <f t="shared" ca="1" si="3"/>
        <v>0</v>
      </c>
    </row>
    <row r="29" spans="5:74" ht="18.600000000000001" customHeight="1" x14ac:dyDescent="0.3"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5"/>
      <c r="Y29" s="85"/>
      <c r="Z29" s="84"/>
      <c r="AA29" s="84"/>
      <c r="AB29" s="84"/>
      <c r="AC29" s="84"/>
      <c r="AD29" s="84"/>
      <c r="AE29" s="84"/>
      <c r="AF29" s="84"/>
      <c r="AG29" s="84"/>
      <c r="AH29" s="84"/>
      <c r="AI29" s="84"/>
      <c r="AN29" s="83">
        <f t="shared" ca="1" si="5"/>
        <v>0</v>
      </c>
      <c r="AO29" s="83">
        <f t="shared" ca="1" si="5"/>
        <v>1</v>
      </c>
      <c r="AP29" s="83">
        <f t="shared" ca="1" si="5"/>
        <v>1</v>
      </c>
      <c r="AQ29" s="83">
        <f t="shared" ca="1" si="5"/>
        <v>0</v>
      </c>
      <c r="AR29" s="83">
        <f t="shared" ca="1" si="5"/>
        <v>1</v>
      </c>
      <c r="AS29" s="83">
        <f t="shared" ca="1" si="5"/>
        <v>1</v>
      </c>
      <c r="AT29" s="83">
        <f t="shared" ca="1" si="5"/>
        <v>1</v>
      </c>
      <c r="AU29" s="83">
        <f t="shared" ca="1" si="5"/>
        <v>1</v>
      </c>
      <c r="AV29" s="83">
        <f t="shared" ca="1" si="5"/>
        <v>1</v>
      </c>
      <c r="AW29" s="83">
        <f t="shared" ca="1" si="5"/>
        <v>1</v>
      </c>
      <c r="AX29" s="83">
        <f t="shared" ca="1" si="5"/>
        <v>1</v>
      </c>
      <c r="AY29" s="83">
        <f t="shared" ca="1" si="5"/>
        <v>1</v>
      </c>
      <c r="AZ29" s="83">
        <f t="shared" ca="1" si="5"/>
        <v>0</v>
      </c>
      <c r="BA29" s="83">
        <f t="shared" ca="1" si="5"/>
        <v>1</v>
      </c>
      <c r="BB29" s="83">
        <f t="shared" ca="1" si="5"/>
        <v>1</v>
      </c>
      <c r="BC29" s="83">
        <f t="shared" ca="1" si="5"/>
        <v>1</v>
      </c>
      <c r="BD29" s="83">
        <f t="shared" ca="1" si="3"/>
        <v>0</v>
      </c>
      <c r="BE29" s="83">
        <f t="shared" ca="1" si="3"/>
        <v>0</v>
      </c>
      <c r="BF29" s="83">
        <f t="shared" ca="1" si="3"/>
        <v>0</v>
      </c>
      <c r="BG29" s="83">
        <f t="shared" ca="1" si="3"/>
        <v>0</v>
      </c>
      <c r="BH29" s="83">
        <f t="shared" ca="1" si="3"/>
        <v>1</v>
      </c>
      <c r="BI29" s="83">
        <f t="shared" ca="1" si="3"/>
        <v>0</v>
      </c>
      <c r="BJ29" s="83">
        <f t="shared" ca="1" si="3"/>
        <v>0</v>
      </c>
      <c r="BK29" s="83">
        <f t="shared" ca="1" si="3"/>
        <v>1</v>
      </c>
      <c r="BL29" s="83">
        <f t="shared" ca="1" si="3"/>
        <v>0</v>
      </c>
      <c r="BM29" s="83">
        <f t="shared" ca="1" si="3"/>
        <v>1</v>
      </c>
      <c r="BN29" s="83">
        <f t="shared" ca="1" si="3"/>
        <v>1</v>
      </c>
      <c r="BO29" s="83">
        <f t="shared" ca="1" si="3"/>
        <v>0</v>
      </c>
    </row>
    <row r="30" spans="5:74" ht="18.600000000000001" customHeight="1" x14ac:dyDescent="0.3"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  <c r="AI30" s="84"/>
      <c r="AN30" s="83">
        <f t="shared" ca="1" si="5"/>
        <v>0</v>
      </c>
      <c r="AO30" s="83">
        <f t="shared" ca="1" si="5"/>
        <v>0</v>
      </c>
      <c r="AP30" s="83">
        <f t="shared" ca="1" si="5"/>
        <v>0</v>
      </c>
      <c r="AQ30" s="83">
        <f t="shared" ca="1" si="5"/>
        <v>0</v>
      </c>
      <c r="AR30" s="83">
        <f t="shared" ca="1" si="5"/>
        <v>0</v>
      </c>
      <c r="AS30" s="83">
        <f t="shared" ca="1" si="5"/>
        <v>1</v>
      </c>
      <c r="AT30" s="83">
        <f t="shared" ca="1" si="5"/>
        <v>1</v>
      </c>
      <c r="AU30" s="83">
        <f t="shared" ca="1" si="5"/>
        <v>1</v>
      </c>
      <c r="AV30" s="83">
        <f t="shared" ca="1" si="5"/>
        <v>1</v>
      </c>
      <c r="AW30" s="83">
        <f t="shared" ca="1" si="5"/>
        <v>0</v>
      </c>
      <c r="AX30" s="83">
        <f t="shared" ca="1" si="5"/>
        <v>0</v>
      </c>
      <c r="AY30" s="83">
        <f t="shared" ca="1" si="5"/>
        <v>1</v>
      </c>
      <c r="AZ30" s="83">
        <f t="shared" ca="1" si="5"/>
        <v>1</v>
      </c>
      <c r="BA30" s="83">
        <f t="shared" ca="1" si="5"/>
        <v>0</v>
      </c>
      <c r="BB30" s="83">
        <f t="shared" ca="1" si="5"/>
        <v>0</v>
      </c>
      <c r="BC30" s="83">
        <f t="shared" ca="1" si="5"/>
        <v>0</v>
      </c>
      <c r="BD30" s="83">
        <f t="shared" ca="1" si="3"/>
        <v>0</v>
      </c>
      <c r="BE30" s="83">
        <f t="shared" ca="1" si="3"/>
        <v>0</v>
      </c>
      <c r="BF30" s="83">
        <f t="shared" ca="1" si="3"/>
        <v>0</v>
      </c>
      <c r="BG30" s="83">
        <f t="shared" ca="1" si="3"/>
        <v>1</v>
      </c>
      <c r="BH30" s="83">
        <f t="shared" ca="1" si="3"/>
        <v>0</v>
      </c>
      <c r="BI30" s="83">
        <f t="shared" ca="1" si="3"/>
        <v>1</v>
      </c>
      <c r="BJ30" s="83">
        <f t="shared" ca="1" si="3"/>
        <v>1</v>
      </c>
      <c r="BK30" s="83">
        <f t="shared" ca="1" si="3"/>
        <v>0</v>
      </c>
      <c r="BL30" s="83">
        <f t="shared" ca="1" si="3"/>
        <v>1</v>
      </c>
      <c r="BM30" s="83">
        <f t="shared" ca="1" si="3"/>
        <v>0</v>
      </c>
      <c r="BN30" s="83">
        <f t="shared" ca="1" si="3"/>
        <v>1</v>
      </c>
      <c r="BO30" s="83">
        <f t="shared" ca="1" si="3"/>
        <v>0</v>
      </c>
    </row>
  </sheetData>
  <mergeCells count="4">
    <mergeCell ref="DK2:EL2"/>
    <mergeCell ref="EM2:FN2"/>
    <mergeCell ref="FO2:GP2"/>
    <mergeCell ref="GQ2:HR2"/>
  </mergeCells>
  <conditionalFormatting sqref="AN3:BO30">
    <cfRule type="cellIs" dxfId="1" priority="1" operator="equal">
      <formula>1</formula>
    </cfRule>
    <cfRule type="cellIs" dxfId="0" priority="2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6"/>
  <sheetViews>
    <sheetView zoomScale="80" zoomScaleNormal="80" workbookViewId="0">
      <selection activeCell="O23" sqref="O23"/>
    </sheetView>
  </sheetViews>
  <sheetFormatPr defaultRowHeight="15" x14ac:dyDescent="0.25"/>
  <cols>
    <col min="3" max="4" width="9.7109375" customWidth="1"/>
    <col min="5" max="5" width="9.5703125" customWidth="1"/>
    <col min="6" max="6" width="2" customWidth="1"/>
    <col min="7" max="8" width="7.5703125" customWidth="1"/>
    <col min="9" max="9" width="2" customWidth="1"/>
    <col min="11" max="11" width="1.5703125" customWidth="1"/>
    <col min="12" max="13" width="8.140625" customWidth="1"/>
    <col min="14" max="14" width="1.5703125" customWidth="1"/>
    <col min="16" max="16" width="1.85546875" customWidth="1"/>
    <col min="17" max="18" width="10.28515625" customWidth="1"/>
    <col min="19" max="19" width="1.7109375" customWidth="1"/>
    <col min="21" max="21" width="2.28515625" customWidth="1"/>
    <col min="23" max="23" width="11" bestFit="1" customWidth="1"/>
    <col min="24" max="24" width="1.28515625" customWidth="1"/>
    <col min="27" max="27" width="1.7109375" customWidth="1"/>
    <col min="29" max="29" width="1.7109375" customWidth="1"/>
    <col min="30" max="30" width="14.5703125" customWidth="1"/>
    <col min="31" max="31" width="2.7109375" customWidth="1"/>
    <col min="34" max="34" width="11.7109375" bestFit="1" customWidth="1"/>
    <col min="38" max="38" width="2.7109375" customWidth="1"/>
    <col min="40" max="40" width="2.7109375" customWidth="1"/>
    <col min="47" max="47" width="9.28515625" bestFit="1" customWidth="1"/>
  </cols>
  <sheetData>
    <row r="1" spans="1:9" ht="14.45" x14ac:dyDescent="0.3">
      <c r="B1" t="s">
        <v>845</v>
      </c>
      <c r="D1">
        <f>PI()/2</f>
        <v>1.5707963267948966</v>
      </c>
    </row>
    <row r="2" spans="1:9" ht="14.45" x14ac:dyDescent="0.3">
      <c r="C2" s="90" t="s">
        <v>841</v>
      </c>
      <c r="D2" s="6">
        <v>20</v>
      </c>
      <c r="E2" s="94"/>
      <c r="F2" s="94"/>
    </row>
    <row r="3" spans="1:9" ht="14.45" x14ac:dyDescent="0.3">
      <c r="C3" s="90" t="s">
        <v>842</v>
      </c>
      <c r="D3" s="6">
        <v>5</v>
      </c>
      <c r="E3" s="94"/>
      <c r="F3" s="94"/>
    </row>
    <row r="4" spans="1:9" ht="14.45" x14ac:dyDescent="0.3">
      <c r="C4" s="90" t="s">
        <v>843</v>
      </c>
      <c r="D4" s="6">
        <v>15</v>
      </c>
      <c r="E4" s="94"/>
      <c r="F4" s="94"/>
    </row>
    <row r="5" spans="1:9" ht="14.45" x14ac:dyDescent="0.3">
      <c r="C5" s="92"/>
      <c r="D5" s="94"/>
      <c r="E5" s="94"/>
      <c r="F5" s="94"/>
    </row>
    <row r="6" spans="1:9" thickBot="1" x14ac:dyDescent="0.35">
      <c r="A6" s="3" t="s">
        <v>848</v>
      </c>
    </row>
    <row r="7" spans="1:9" s="23" customFormat="1" ht="16.899999999999999" customHeight="1" x14ac:dyDescent="0.3">
      <c r="C7" s="175" t="s">
        <v>846</v>
      </c>
      <c r="D7" s="176"/>
      <c r="E7" s="25"/>
      <c r="F7" s="25"/>
      <c r="G7" s="175" t="s">
        <v>847</v>
      </c>
      <c r="H7" s="176"/>
      <c r="I7" s="108"/>
    </row>
    <row r="8" spans="1:9" ht="14.45" x14ac:dyDescent="0.3">
      <c r="C8" s="101" t="s">
        <v>840</v>
      </c>
      <c r="D8" s="102" t="s">
        <v>5</v>
      </c>
      <c r="E8" s="92"/>
      <c r="F8" s="92"/>
      <c r="G8" s="101" t="s">
        <v>840</v>
      </c>
      <c r="H8" s="102" t="s">
        <v>5</v>
      </c>
      <c r="I8" s="92"/>
    </row>
    <row r="9" spans="1:9" ht="14.45" x14ac:dyDescent="0.3">
      <c r="C9" s="7">
        <v>1</v>
      </c>
      <c r="D9" s="103">
        <f t="shared" ref="D9:D20" ca="1" si="0">_A+_M*C9+_xlfn.NORM.INV(RAND(),0,_SD)</f>
        <v>16.203841538518461</v>
      </c>
      <c r="E9" s="93"/>
      <c r="F9" s="93"/>
      <c r="G9" s="7">
        <f>C9</f>
        <v>1</v>
      </c>
      <c r="H9" s="103">
        <v>25.081201027583266</v>
      </c>
      <c r="I9" s="93"/>
    </row>
    <row r="10" spans="1:9" ht="14.45" x14ac:dyDescent="0.3">
      <c r="C10" s="7">
        <v>2</v>
      </c>
      <c r="D10" s="103">
        <f t="shared" ca="1" si="0"/>
        <v>22.1980669729944</v>
      </c>
      <c r="E10" s="93"/>
      <c r="F10" s="93"/>
      <c r="G10" s="7">
        <f t="shared" ref="G10:G20" si="1">C10</f>
        <v>2</v>
      </c>
      <c r="H10" s="103">
        <v>42.411057452072264</v>
      </c>
      <c r="I10" s="93"/>
    </row>
    <row r="11" spans="1:9" ht="14.45" x14ac:dyDescent="0.3">
      <c r="C11" s="7">
        <v>3</v>
      </c>
      <c r="D11" s="103">
        <f t="shared" ca="1" si="0"/>
        <v>0.35875408760161775</v>
      </c>
      <c r="E11" s="93"/>
      <c r="F11" s="93"/>
      <c r="G11" s="7">
        <f t="shared" si="1"/>
        <v>3</v>
      </c>
      <c r="H11" s="103">
        <v>54.812809187212792</v>
      </c>
      <c r="I11" s="93"/>
    </row>
    <row r="12" spans="1:9" ht="14.45" x14ac:dyDescent="0.3">
      <c r="C12" s="7">
        <v>4</v>
      </c>
      <c r="D12" s="103">
        <f t="shared" ca="1" si="0"/>
        <v>30.865359114332737</v>
      </c>
      <c r="E12" s="93"/>
      <c r="F12" s="93"/>
      <c r="G12" s="7">
        <f t="shared" si="1"/>
        <v>4</v>
      </c>
      <c r="H12" s="103">
        <v>17.564385613495297</v>
      </c>
      <c r="I12" s="93"/>
    </row>
    <row r="13" spans="1:9" ht="14.45" x14ac:dyDescent="0.3">
      <c r="C13" s="7">
        <v>5</v>
      </c>
      <c r="D13" s="103">
        <f t="shared" ca="1" si="0"/>
        <v>65.053292552907749</v>
      </c>
      <c r="E13" s="93"/>
      <c r="F13" s="93"/>
      <c r="G13" s="7">
        <f t="shared" si="1"/>
        <v>5</v>
      </c>
      <c r="H13" s="103">
        <v>30.757488283685138</v>
      </c>
      <c r="I13" s="93"/>
    </row>
    <row r="14" spans="1:9" ht="14.45" x14ac:dyDescent="0.3">
      <c r="C14" s="7">
        <v>6</v>
      </c>
      <c r="D14" s="103">
        <f t="shared" ca="1" si="0"/>
        <v>37.865832229150747</v>
      </c>
      <c r="E14" s="93"/>
      <c r="F14" s="93"/>
      <c r="G14" s="7">
        <f t="shared" si="1"/>
        <v>6</v>
      </c>
      <c r="H14" s="103">
        <v>39.702229300354105</v>
      </c>
      <c r="I14" s="93"/>
    </row>
    <row r="15" spans="1:9" ht="14.45" x14ac:dyDescent="0.3">
      <c r="C15" s="7">
        <v>7</v>
      </c>
      <c r="D15" s="103">
        <f t="shared" ca="1" si="0"/>
        <v>56.517565368078337</v>
      </c>
      <c r="E15" s="93"/>
      <c r="F15" s="93"/>
      <c r="G15" s="7">
        <f t="shared" si="1"/>
        <v>7</v>
      </c>
      <c r="H15" s="103">
        <v>56.715567249383376</v>
      </c>
      <c r="I15" s="93"/>
    </row>
    <row r="16" spans="1:9" ht="14.45" x14ac:dyDescent="0.3">
      <c r="C16" s="7">
        <v>8</v>
      </c>
      <c r="D16" s="103">
        <f t="shared" ca="1" si="0"/>
        <v>74.825175887681894</v>
      </c>
      <c r="E16" s="93"/>
      <c r="F16" s="93"/>
      <c r="G16" s="7">
        <f t="shared" si="1"/>
        <v>8</v>
      </c>
      <c r="H16" s="103">
        <v>56.370961620515615</v>
      </c>
      <c r="I16" s="93"/>
    </row>
    <row r="17" spans="1:9" ht="14.45" x14ac:dyDescent="0.3">
      <c r="C17" s="7">
        <v>9</v>
      </c>
      <c r="D17" s="103">
        <f t="shared" ca="1" si="0"/>
        <v>54.152244877966446</v>
      </c>
      <c r="E17" s="93"/>
      <c r="F17" s="93"/>
      <c r="G17" s="7">
        <f t="shared" si="1"/>
        <v>9</v>
      </c>
      <c r="H17" s="103">
        <v>64.025456063135579</v>
      </c>
      <c r="I17" s="93"/>
    </row>
    <row r="18" spans="1:9" ht="14.45" x14ac:dyDescent="0.3">
      <c r="C18" s="7">
        <v>10</v>
      </c>
      <c r="D18" s="103">
        <f t="shared" ca="1" si="0"/>
        <v>64.456835199765607</v>
      </c>
      <c r="E18" s="93"/>
      <c r="F18" s="93"/>
      <c r="G18" s="7">
        <f t="shared" si="1"/>
        <v>10</v>
      </c>
      <c r="H18" s="103">
        <v>75.509494641714042</v>
      </c>
      <c r="I18" s="93"/>
    </row>
    <row r="19" spans="1:9" ht="14.45" x14ac:dyDescent="0.3">
      <c r="C19" s="7">
        <v>11</v>
      </c>
      <c r="D19" s="103">
        <f t="shared" ca="1" si="0"/>
        <v>77.244351568149597</v>
      </c>
      <c r="E19" s="93"/>
      <c r="F19" s="93"/>
      <c r="G19" s="7">
        <f t="shared" si="1"/>
        <v>11</v>
      </c>
      <c r="H19" s="103">
        <v>101.09427268621349</v>
      </c>
      <c r="I19" s="93"/>
    </row>
    <row r="20" spans="1:9" thickBot="1" x14ac:dyDescent="0.35">
      <c r="C20" s="9">
        <v>12</v>
      </c>
      <c r="D20" s="104">
        <f t="shared" ca="1" si="0"/>
        <v>91.672364000497168</v>
      </c>
      <c r="E20" s="93"/>
      <c r="F20" s="93"/>
      <c r="G20" s="9">
        <f t="shared" si="1"/>
        <v>12</v>
      </c>
      <c r="H20" s="104">
        <v>86.12135023140894</v>
      </c>
      <c r="I20" s="93"/>
    </row>
    <row r="21" spans="1:9" ht="14.45" x14ac:dyDescent="0.3">
      <c r="C21" s="94"/>
      <c r="D21" s="93"/>
      <c r="E21" s="93"/>
      <c r="F21" s="93"/>
      <c r="G21" s="94"/>
      <c r="H21" s="93"/>
      <c r="I21" s="93"/>
    </row>
    <row r="22" spans="1:9" thickBot="1" x14ac:dyDescent="0.35">
      <c r="C22" s="94"/>
      <c r="D22" s="93"/>
      <c r="E22" s="105" t="s">
        <v>852</v>
      </c>
      <c r="F22" s="105"/>
      <c r="G22" s="106">
        <f>AVERAGE(G9:G20)</f>
        <v>6.5</v>
      </c>
      <c r="H22" s="107">
        <f>AVERAGE(H9:H20)</f>
        <v>54.180522779731156</v>
      </c>
      <c r="I22" s="109"/>
    </row>
    <row r="24" spans="1:9" ht="16.149999999999999" customHeight="1" x14ac:dyDescent="0.3">
      <c r="A24" s="3" t="s">
        <v>849</v>
      </c>
      <c r="E24" s="93"/>
      <c r="F24" s="93"/>
    </row>
    <row r="25" spans="1:9" ht="14.45" x14ac:dyDescent="0.3">
      <c r="B25" s="5" t="s">
        <v>844</v>
      </c>
      <c r="C25" s="6">
        <v>1</v>
      </c>
      <c r="D25" s="91">
        <f>_A+_M*C25</f>
        <v>25</v>
      </c>
      <c r="E25" s="93"/>
      <c r="F25" s="93"/>
    </row>
    <row r="26" spans="1:9" ht="14.45" x14ac:dyDescent="0.3">
      <c r="B26" s="5"/>
      <c r="C26" s="6">
        <v>14</v>
      </c>
      <c r="D26" s="91">
        <f>_A+_M*C26</f>
        <v>90</v>
      </c>
    </row>
  </sheetData>
  <mergeCells count="2">
    <mergeCell ref="G7:H7"/>
    <mergeCell ref="C7:D7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0"/>
  <sheetViews>
    <sheetView showGridLines="0" topLeftCell="A100" zoomScale="120" zoomScaleNormal="120" workbookViewId="0">
      <selection activeCell="H121" sqref="H121"/>
    </sheetView>
  </sheetViews>
  <sheetFormatPr defaultRowHeight="15" x14ac:dyDescent="0.25"/>
  <cols>
    <col min="3" max="4" width="9.7109375" customWidth="1"/>
    <col min="5" max="5" width="3.85546875" customWidth="1"/>
    <col min="6" max="6" width="1.42578125" customWidth="1"/>
    <col min="7" max="8" width="8.28515625" customWidth="1"/>
    <col min="9" max="9" width="1.5703125" customWidth="1"/>
    <col min="10" max="10" width="5.28515625" customWidth="1"/>
    <col min="11" max="11" width="1.5703125" customWidth="1"/>
    <col min="12" max="13" width="8.140625" customWidth="1"/>
    <col min="14" max="14" width="1.5703125" customWidth="1"/>
    <col min="15" max="15" width="4.42578125" customWidth="1"/>
    <col min="16" max="16" width="1.5703125" customWidth="1"/>
    <col min="17" max="18" width="8.140625" customWidth="1"/>
    <col min="19" max="19" width="1.5703125" customWidth="1"/>
    <col min="20" max="20" width="4.85546875" customWidth="1"/>
    <col min="21" max="21" width="1.5703125" customWidth="1"/>
    <col min="22" max="22" width="7.140625" customWidth="1"/>
    <col min="23" max="23" width="8.28515625" customWidth="1"/>
    <col min="24" max="24" width="1.5703125" customWidth="1"/>
    <col min="25" max="25" width="3.5703125" customWidth="1"/>
    <col min="26" max="26" width="2.28515625" customWidth="1"/>
    <col min="27" max="27" width="5.140625" customWidth="1"/>
    <col min="28" max="28" width="9.28515625" customWidth="1"/>
    <col min="29" max="29" width="1.5703125" customWidth="1"/>
    <col min="30" max="30" width="10.28515625" bestFit="1" customWidth="1"/>
    <col min="31" max="31" width="1.5703125" customWidth="1"/>
    <col min="32" max="32" width="5.42578125" customWidth="1"/>
    <col min="33" max="33" width="11.28515625" customWidth="1"/>
    <col min="34" max="34" width="7.28515625" bestFit="1" customWidth="1"/>
    <col min="35" max="35" width="1.5703125" customWidth="1"/>
    <col min="36" max="36" width="14.28515625" bestFit="1" customWidth="1"/>
    <col min="37" max="37" width="5.28515625" customWidth="1"/>
    <col min="38" max="38" width="1.7109375" customWidth="1"/>
    <col min="39" max="39" width="12" bestFit="1" customWidth="1"/>
    <col min="40" max="40" width="1.7109375" customWidth="1"/>
    <col min="46" max="47" width="40.140625" bestFit="1" customWidth="1"/>
  </cols>
  <sheetData>
    <row r="1" spans="1:28" ht="14.45" x14ac:dyDescent="0.3">
      <c r="B1" t="s">
        <v>845</v>
      </c>
      <c r="D1">
        <f>PI()/2</f>
        <v>1.5707963267948966</v>
      </c>
    </row>
    <row r="2" spans="1:28" ht="14.45" x14ac:dyDescent="0.3">
      <c r="C2" s="90" t="s">
        <v>841</v>
      </c>
      <c r="D2" s="6">
        <v>4</v>
      </c>
      <c r="E2" s="94"/>
      <c r="F2" s="94"/>
    </row>
    <row r="3" spans="1:28" ht="14.45" x14ac:dyDescent="0.3">
      <c r="C3" s="90" t="s">
        <v>842</v>
      </c>
      <c r="D3" s="6">
        <v>1.2</v>
      </c>
      <c r="E3" s="94"/>
      <c r="F3" s="94"/>
    </row>
    <row r="4" spans="1:28" ht="14.45" x14ac:dyDescent="0.3">
      <c r="C4" s="90" t="s">
        <v>843</v>
      </c>
      <c r="D4" s="6">
        <v>4</v>
      </c>
      <c r="E4" s="94"/>
      <c r="F4" s="94"/>
    </row>
    <row r="5" spans="1:28" ht="14.45" x14ac:dyDescent="0.3">
      <c r="C5" s="92"/>
      <c r="D5" s="94"/>
      <c r="E5" s="94"/>
      <c r="F5" s="94"/>
    </row>
    <row r="6" spans="1:28" thickBot="1" x14ac:dyDescent="0.35">
      <c r="A6" s="3" t="s">
        <v>848</v>
      </c>
    </row>
    <row r="7" spans="1:28" s="23" customFormat="1" ht="15.6" customHeight="1" thickBot="1" x14ac:dyDescent="0.35">
      <c r="C7" s="175" t="s">
        <v>846</v>
      </c>
      <c r="D7" s="176"/>
      <c r="E7" s="25"/>
      <c r="F7" s="25"/>
      <c r="G7" s="177" t="s">
        <v>847</v>
      </c>
      <c r="H7" s="178"/>
      <c r="I7" s="108"/>
      <c r="AA7" s="129" t="s">
        <v>840</v>
      </c>
      <c r="AB7" s="130" t="s">
        <v>5</v>
      </c>
    </row>
    <row r="8" spans="1:28" ht="15.6" customHeight="1" x14ac:dyDescent="0.3">
      <c r="C8" s="101" t="s">
        <v>840</v>
      </c>
      <c r="D8" s="102" t="s">
        <v>5</v>
      </c>
      <c r="E8" s="92"/>
      <c r="F8" s="92"/>
      <c r="G8" s="129" t="s">
        <v>840</v>
      </c>
      <c r="H8" s="130" t="s">
        <v>5</v>
      </c>
      <c r="I8" s="92"/>
      <c r="AA8" s="7">
        <v>0</v>
      </c>
      <c r="AB8" s="103">
        <f>$D$2+D3*$AA$8</f>
        <v>4</v>
      </c>
    </row>
    <row r="9" spans="1:28" ht="15.6" customHeight="1" x14ac:dyDescent="0.3">
      <c r="C9" s="7">
        <v>1</v>
      </c>
      <c r="D9" s="103">
        <f t="shared" ref="D9:D20" ca="1" si="0">$D$2+$D$3*C9+_xlfn.NORM.INV(RAND(),0,_SD)</f>
        <v>7.8240289777028806</v>
      </c>
      <c r="E9" s="93"/>
      <c r="F9" s="93"/>
      <c r="G9" s="7">
        <f>C9</f>
        <v>1</v>
      </c>
      <c r="H9" s="103">
        <v>-0.73076726816411153</v>
      </c>
      <c r="I9" s="93"/>
      <c r="AA9" s="7">
        <v>7</v>
      </c>
      <c r="AB9" s="103">
        <f>$D$2+D3*$AA$9</f>
        <v>12.4</v>
      </c>
    </row>
    <row r="10" spans="1:28" ht="15.6" customHeight="1" x14ac:dyDescent="0.3">
      <c r="C10" s="7">
        <v>2</v>
      </c>
      <c r="D10" s="103">
        <f t="shared" ca="1" si="0"/>
        <v>6.7137388932572355</v>
      </c>
      <c r="E10" s="93"/>
      <c r="F10" s="93"/>
      <c r="G10" s="7">
        <f t="shared" ref="G10:G20" si="1">C10</f>
        <v>2</v>
      </c>
      <c r="H10" s="103">
        <v>5.2533247691357641</v>
      </c>
      <c r="I10" s="93"/>
    </row>
    <row r="11" spans="1:28" ht="15.6" customHeight="1" x14ac:dyDescent="0.3">
      <c r="C11" s="7">
        <v>3</v>
      </c>
      <c r="D11" s="103">
        <f t="shared" ca="1" si="0"/>
        <v>6.3316062242927904</v>
      </c>
      <c r="E11" s="93"/>
      <c r="F11" s="93"/>
      <c r="G11" s="7">
        <f t="shared" si="1"/>
        <v>3</v>
      </c>
      <c r="H11" s="103">
        <v>8.2774189946865953</v>
      </c>
      <c r="I11" s="93"/>
    </row>
    <row r="12" spans="1:28" ht="15.6" customHeight="1" x14ac:dyDescent="0.3">
      <c r="C12" s="7">
        <v>4</v>
      </c>
      <c r="D12" s="103">
        <f t="shared" ca="1" si="0"/>
        <v>7.0294393970269722</v>
      </c>
      <c r="E12" s="93"/>
      <c r="F12" s="93"/>
      <c r="G12" s="7">
        <f t="shared" si="1"/>
        <v>4</v>
      </c>
      <c r="H12" s="103">
        <v>9.0235251975279773</v>
      </c>
      <c r="I12" s="93"/>
    </row>
    <row r="13" spans="1:28" ht="15.6" customHeight="1" x14ac:dyDescent="0.3">
      <c r="C13" s="7">
        <v>5</v>
      </c>
      <c r="D13" s="103">
        <f t="shared" ca="1" si="0"/>
        <v>6.7015219052769854</v>
      </c>
      <c r="E13" s="93"/>
      <c r="F13" s="93"/>
      <c r="G13" s="7">
        <f t="shared" si="1"/>
        <v>5</v>
      </c>
      <c r="H13" s="103">
        <v>6.1160768247175481</v>
      </c>
      <c r="I13" s="93"/>
    </row>
    <row r="14" spans="1:28" ht="15.6" customHeight="1" x14ac:dyDescent="0.3">
      <c r="C14" s="7">
        <v>6</v>
      </c>
      <c r="D14" s="103">
        <f t="shared" ca="1" si="0"/>
        <v>5.6556555014131922</v>
      </c>
      <c r="E14" s="93"/>
      <c r="F14" s="93"/>
      <c r="G14" s="7">
        <f t="shared" si="1"/>
        <v>6</v>
      </c>
      <c r="H14" s="103">
        <v>9.2471204363107837</v>
      </c>
      <c r="I14" s="93"/>
    </row>
    <row r="15" spans="1:28" ht="15.6" customHeight="1" x14ac:dyDescent="0.3">
      <c r="C15" s="7">
        <v>7</v>
      </c>
      <c r="D15" s="103">
        <f t="shared" ca="1" si="0"/>
        <v>13.461349569020351</v>
      </c>
      <c r="E15" s="93"/>
      <c r="F15" s="93"/>
      <c r="G15" s="7">
        <f t="shared" si="1"/>
        <v>7</v>
      </c>
      <c r="H15" s="103">
        <v>14.267701567540387</v>
      </c>
      <c r="I15" s="93"/>
    </row>
    <row r="16" spans="1:28" ht="15.6" customHeight="1" x14ac:dyDescent="0.3">
      <c r="C16" s="7">
        <v>8</v>
      </c>
      <c r="D16" s="103">
        <f t="shared" ca="1" si="0"/>
        <v>13.809885680868266</v>
      </c>
      <c r="E16" s="93"/>
      <c r="F16" s="93"/>
      <c r="G16" s="7">
        <f t="shared" si="1"/>
        <v>8</v>
      </c>
      <c r="H16" s="103">
        <v>20.357743255966113</v>
      </c>
      <c r="I16" s="93"/>
    </row>
    <row r="17" spans="1:9" ht="15.6" customHeight="1" x14ac:dyDescent="0.3">
      <c r="C17" s="7">
        <v>9</v>
      </c>
      <c r="D17" s="103">
        <f t="shared" ca="1" si="0"/>
        <v>10.859912253149927</v>
      </c>
      <c r="E17" s="93"/>
      <c r="F17" s="93"/>
      <c r="G17" s="7">
        <f t="shared" si="1"/>
        <v>9</v>
      </c>
      <c r="H17" s="103">
        <v>13.496170383604536</v>
      </c>
      <c r="I17" s="93"/>
    </row>
    <row r="18" spans="1:9" ht="15.6" customHeight="1" x14ac:dyDescent="0.3">
      <c r="C18" s="7">
        <v>10</v>
      </c>
      <c r="D18" s="103">
        <f t="shared" ca="1" si="0"/>
        <v>15.495913692032284</v>
      </c>
      <c r="E18" s="93"/>
      <c r="F18" s="93"/>
      <c r="G18" s="7">
        <f t="shared" si="1"/>
        <v>10</v>
      </c>
      <c r="H18" s="103">
        <v>14.103321409550574</v>
      </c>
      <c r="I18" s="93"/>
    </row>
    <row r="19" spans="1:9" ht="15.6" customHeight="1" x14ac:dyDescent="0.3">
      <c r="C19" s="7">
        <v>11</v>
      </c>
      <c r="D19" s="103">
        <f t="shared" ca="1" si="0"/>
        <v>17.163549545921683</v>
      </c>
      <c r="E19" s="93"/>
      <c r="F19" s="93"/>
      <c r="G19" s="7">
        <f t="shared" si="1"/>
        <v>11</v>
      </c>
      <c r="H19" s="103">
        <v>9.4391489620648699</v>
      </c>
      <c r="I19" s="93"/>
    </row>
    <row r="20" spans="1:9" ht="15.6" customHeight="1" thickBot="1" x14ac:dyDescent="0.35">
      <c r="C20" s="9">
        <v>12</v>
      </c>
      <c r="D20" s="103">
        <f t="shared" ca="1" si="0"/>
        <v>20.250511198766674</v>
      </c>
      <c r="E20" s="93"/>
      <c r="F20" s="93"/>
      <c r="G20" s="9">
        <f t="shared" si="1"/>
        <v>12</v>
      </c>
      <c r="H20" s="104">
        <v>20.223249435210693</v>
      </c>
      <c r="I20" s="93"/>
    </row>
    <row r="21" spans="1:9" ht="15.6" customHeight="1" x14ac:dyDescent="0.3">
      <c r="C21" s="94"/>
      <c r="D21" s="93"/>
      <c r="E21" s="93"/>
      <c r="F21" s="93"/>
      <c r="G21" s="94"/>
      <c r="H21" s="93"/>
      <c r="I21" s="93"/>
    </row>
    <row r="22" spans="1:9" ht="15.6" customHeight="1" thickBot="1" x14ac:dyDescent="0.35">
      <c r="C22" s="94"/>
      <c r="D22" s="93"/>
      <c r="F22" s="131" t="s">
        <v>852</v>
      </c>
      <c r="G22" s="106">
        <f>AVERAGE(G9:G20)</f>
        <v>6.5</v>
      </c>
      <c r="H22" s="107">
        <f>AVERAGE(H9:H20)</f>
        <v>10.756169497345978</v>
      </c>
      <c r="I22" s="109"/>
    </row>
    <row r="24" spans="1:9" ht="14.45" x14ac:dyDescent="0.3">
      <c r="B24" s="5"/>
    </row>
    <row r="25" spans="1:9" ht="14.45" x14ac:dyDescent="0.3">
      <c r="A25" s="3" t="s">
        <v>850</v>
      </c>
      <c r="B25" s="5"/>
    </row>
    <row r="26" spans="1:9" thickBot="1" x14ac:dyDescent="0.35">
      <c r="B26" s="5"/>
    </row>
    <row r="27" spans="1:9" ht="15.6" customHeight="1" x14ac:dyDescent="0.3">
      <c r="B27" s="5"/>
      <c r="C27" s="175" t="s">
        <v>851</v>
      </c>
      <c r="D27" s="176"/>
    </row>
    <row r="28" spans="1:9" ht="15.6" customHeight="1" x14ac:dyDescent="0.3">
      <c r="B28" s="5"/>
      <c r="C28" s="101" t="s">
        <v>840</v>
      </c>
      <c r="D28" s="102" t="s">
        <v>858</v>
      </c>
    </row>
    <row r="29" spans="1:9" ht="15.6" customHeight="1" x14ac:dyDescent="0.3">
      <c r="B29" s="5"/>
      <c r="C29" s="7">
        <f t="shared" ref="C29:C40" si="2">G9-$G$22</f>
        <v>-5.5</v>
      </c>
      <c r="D29" s="103">
        <f>H9-$H$22</f>
        <v>-11.486936765510089</v>
      </c>
    </row>
    <row r="30" spans="1:9" ht="15.6" customHeight="1" x14ac:dyDescent="0.3">
      <c r="B30" s="5"/>
      <c r="C30" s="7">
        <f t="shared" si="2"/>
        <v>-4.5</v>
      </c>
      <c r="D30" s="103">
        <f t="shared" ref="D30:D40" si="3">H10-$H$22</f>
        <v>-5.5028447282102135</v>
      </c>
    </row>
    <row r="31" spans="1:9" ht="15.6" customHeight="1" x14ac:dyDescent="0.3">
      <c r="B31" s="5"/>
      <c r="C31" s="7">
        <f t="shared" si="2"/>
        <v>-3.5</v>
      </c>
      <c r="D31" s="103">
        <f t="shared" si="3"/>
        <v>-2.4787505026593823</v>
      </c>
    </row>
    <row r="32" spans="1:9" ht="15.6" customHeight="1" x14ac:dyDescent="0.3">
      <c r="B32" s="5"/>
      <c r="C32" s="7">
        <f t="shared" si="2"/>
        <v>-2.5</v>
      </c>
      <c r="D32" s="103">
        <f t="shared" si="3"/>
        <v>-1.7326442998180003</v>
      </c>
    </row>
    <row r="33" spans="2:47" ht="15.6" customHeight="1" x14ac:dyDescent="0.3">
      <c r="B33" s="5"/>
      <c r="C33" s="7">
        <f t="shared" si="2"/>
        <v>-1.5</v>
      </c>
      <c r="D33" s="103">
        <f t="shared" si="3"/>
        <v>-4.6400926726284295</v>
      </c>
    </row>
    <row r="34" spans="2:47" ht="15.6" customHeight="1" x14ac:dyDescent="0.3">
      <c r="B34" s="5"/>
      <c r="C34" s="7">
        <f t="shared" si="2"/>
        <v>-0.5</v>
      </c>
      <c r="D34" s="103">
        <f t="shared" si="3"/>
        <v>-1.5090490610351939</v>
      </c>
    </row>
    <row r="35" spans="2:47" ht="15.6" customHeight="1" x14ac:dyDescent="0.3">
      <c r="B35" s="5"/>
      <c r="C35" s="7">
        <f t="shared" si="2"/>
        <v>0.5</v>
      </c>
      <c r="D35" s="103">
        <f t="shared" si="3"/>
        <v>3.5115320701944093</v>
      </c>
    </row>
    <row r="36" spans="2:47" ht="15.6" customHeight="1" x14ac:dyDescent="0.3">
      <c r="B36" s="5"/>
      <c r="C36" s="7">
        <f t="shared" si="2"/>
        <v>1.5</v>
      </c>
      <c r="D36" s="103">
        <f t="shared" si="3"/>
        <v>9.6015737586201357</v>
      </c>
    </row>
    <row r="37" spans="2:47" ht="15.6" customHeight="1" x14ac:dyDescent="0.3">
      <c r="B37" s="5"/>
      <c r="C37" s="7">
        <f t="shared" si="2"/>
        <v>2.5</v>
      </c>
      <c r="D37" s="103">
        <f t="shared" si="3"/>
        <v>2.7400008862585583</v>
      </c>
    </row>
    <row r="38" spans="2:47" ht="15.6" customHeight="1" x14ac:dyDescent="0.3">
      <c r="B38" s="5"/>
      <c r="C38" s="7">
        <f t="shared" si="2"/>
        <v>3.5</v>
      </c>
      <c r="D38" s="103">
        <f t="shared" si="3"/>
        <v>3.3471519122045965</v>
      </c>
    </row>
    <row r="39" spans="2:47" ht="15.6" customHeight="1" x14ac:dyDescent="0.3">
      <c r="B39" s="5"/>
      <c r="C39" s="7">
        <f t="shared" si="2"/>
        <v>4.5</v>
      </c>
      <c r="D39" s="103">
        <f t="shared" si="3"/>
        <v>-1.3170205352811077</v>
      </c>
    </row>
    <row r="40" spans="2:47" ht="15.6" customHeight="1" thickBot="1" x14ac:dyDescent="0.35">
      <c r="B40" s="5"/>
      <c r="C40" s="9">
        <f t="shared" si="2"/>
        <v>5.5</v>
      </c>
      <c r="D40" s="104">
        <f t="shared" si="3"/>
        <v>9.4670799378647157</v>
      </c>
    </row>
    <row r="41" spans="2:47" ht="14.45" x14ac:dyDescent="0.3">
      <c r="B41" s="5"/>
    </row>
    <row r="42" spans="2:47" ht="14.45" x14ac:dyDescent="0.3">
      <c r="B42" s="5"/>
    </row>
    <row r="45" spans="2:47" thickBot="1" x14ac:dyDescent="0.35">
      <c r="B45" s="3" t="s">
        <v>855</v>
      </c>
      <c r="AP45" s="23" t="s">
        <v>861</v>
      </c>
    </row>
    <row r="46" spans="2:47" ht="19.899999999999999" customHeight="1" thickBot="1" x14ac:dyDescent="0.4">
      <c r="B46" s="95"/>
      <c r="C46" s="100" t="s">
        <v>840</v>
      </c>
      <c r="D46" s="100" t="s">
        <v>5</v>
      </c>
      <c r="F46" s="3" t="s">
        <v>854</v>
      </c>
      <c r="L46" s="3" t="s">
        <v>856</v>
      </c>
      <c r="Q46" s="3" t="s">
        <v>859</v>
      </c>
      <c r="V46" s="3" t="s">
        <v>875</v>
      </c>
      <c r="AA46" s="3" t="s">
        <v>876</v>
      </c>
      <c r="AF46" s="3" t="s">
        <v>877</v>
      </c>
      <c r="AK46" s="3" t="s">
        <v>878</v>
      </c>
      <c r="AP46" s="114">
        <f>M50</f>
        <v>1.3522080313294913</v>
      </c>
    </row>
    <row r="47" spans="2:47" ht="27.6" customHeight="1" thickTop="1" thickBot="1" x14ac:dyDescent="0.35">
      <c r="B47" s="98" t="s">
        <v>840</v>
      </c>
      <c r="C47" s="96">
        <f>_xlfn.VAR.P(C29:C40)</f>
        <v>11.916666666666666</v>
      </c>
      <c r="D47" s="96">
        <f>_xlfn.COVARIANCE.P($C$29:$C$40,$D$29:$D$40)</f>
        <v>15.794030197203783</v>
      </c>
      <c r="F47" s="110"/>
      <c r="G47" s="15">
        <v>0</v>
      </c>
      <c r="H47" s="15">
        <v>4</v>
      </c>
      <c r="I47" s="112"/>
      <c r="K47" s="110"/>
      <c r="L47" s="24">
        <f t="array" ref="L47:M48">MMULT($C$47:$D$48,G47:H48)</f>
        <v>0</v>
      </c>
      <c r="M47" s="26">
        <v>49.246069686387045</v>
      </c>
      <c r="N47" s="112"/>
      <c r="P47" s="110"/>
      <c r="Q47" s="24">
        <f t="array" ref="Q47:R48">MMULT($C$47:$D$48,L47:M48)</f>
        <v>0</v>
      </c>
      <c r="R47" s="26">
        <v>1638.5881712436169</v>
      </c>
      <c r="S47" s="112"/>
      <c r="U47" s="110"/>
      <c r="V47" s="24">
        <f t="array" ref="V47:W48">MMULT($C$47:$D$48,Q47:R48)</f>
        <v>0</v>
      </c>
      <c r="W47" s="26">
        <v>67725.905666482387</v>
      </c>
      <c r="X47" s="112"/>
      <c r="Z47" s="110"/>
      <c r="AA47" s="24">
        <f t="array" ref="AA47:AB48">MMULT($C$47:$D$48,V47:W48)</f>
        <v>0</v>
      </c>
      <c r="AB47" s="26">
        <v>2861733.0287037957</v>
      </c>
      <c r="AC47" s="112"/>
      <c r="AE47" s="110"/>
      <c r="AF47" s="24">
        <f t="array" ref="AF47:AG48">MMULT($C$47:$D$48,AA47:AB48)</f>
        <v>0</v>
      </c>
      <c r="AG47" s="26">
        <v>121159582.58735308</v>
      </c>
      <c r="AH47" s="112"/>
      <c r="AJ47" s="110"/>
      <c r="AK47" s="24">
        <f t="array" ref="AK47:AL48">MMULT($C$47:$D$48,AF47:AG48)</f>
        <v>0</v>
      </c>
      <c r="AL47" s="26">
        <v>5130521930.0391941</v>
      </c>
      <c r="AM47" s="112"/>
      <c r="AP47" s="119">
        <f>R50</f>
        <v>1.8624251265362244</v>
      </c>
      <c r="AS47" s="3" t="s">
        <v>855</v>
      </c>
    </row>
    <row r="48" spans="2:47" ht="27.6" customHeight="1" thickBot="1" x14ac:dyDescent="0.35">
      <c r="B48" s="99" t="s">
        <v>5</v>
      </c>
      <c r="C48" s="97">
        <f>_xlfn.COVARIANCE.P($C$29:$C$40,$D$29:$D$40)</f>
        <v>15.794030197203783</v>
      </c>
      <c r="D48" s="97">
        <f>_xlfn.VAR.P(D29:D40)</f>
        <v>34.14810152529229</v>
      </c>
      <c r="F48" s="111"/>
      <c r="G48" s="15">
        <v>0</v>
      </c>
      <c r="H48" s="15">
        <v>0.1</v>
      </c>
      <c r="I48" s="113"/>
      <c r="K48" s="111"/>
      <c r="L48" s="24">
        <v>0</v>
      </c>
      <c r="M48" s="26">
        <v>66.590930941344368</v>
      </c>
      <c r="N48" s="113"/>
      <c r="P48" s="111"/>
      <c r="Q48" s="24">
        <v>0</v>
      </c>
      <c r="R48" s="26">
        <v>3051.7477821691537</v>
      </c>
      <c r="S48" s="113"/>
      <c r="U48" s="111"/>
      <c r="V48" s="24">
        <v>0</v>
      </c>
      <c r="W48" s="26">
        <v>130091.30415250045</v>
      </c>
      <c r="X48" s="113"/>
      <c r="Z48" s="111"/>
      <c r="AA48" s="24">
        <v>0</v>
      </c>
      <c r="AB48" s="26">
        <v>5512036.0609866614</v>
      </c>
      <c r="AC48" s="113"/>
      <c r="AE48" s="111"/>
      <c r="AF48" s="24">
        <v>0</v>
      </c>
      <c r="AG48" s="26">
        <v>233423864.89332789</v>
      </c>
      <c r="AH48" s="113"/>
      <c r="AJ48" s="111"/>
      <c r="AK48" s="24">
        <v>0</v>
      </c>
      <c r="AL48" s="26">
        <v>9884579942.8687325</v>
      </c>
      <c r="AM48" s="113"/>
      <c r="AP48" s="119">
        <f>W50</f>
        <v>1.9208499742054059</v>
      </c>
      <c r="AS48" s="95"/>
      <c r="AT48" s="100" t="s">
        <v>840</v>
      </c>
      <c r="AU48" s="100" t="s">
        <v>5</v>
      </c>
    </row>
    <row r="49" spans="2:48" ht="16.899999999999999" customHeight="1" x14ac:dyDescent="0.3">
      <c r="B49" s="98"/>
      <c r="C49" s="96"/>
      <c r="D49" s="96"/>
      <c r="F49" s="115"/>
      <c r="G49" s="15"/>
      <c r="H49" s="15"/>
      <c r="I49" s="116"/>
      <c r="K49" s="115"/>
      <c r="L49" s="24"/>
      <c r="M49" s="26"/>
      <c r="N49" s="116"/>
      <c r="P49" s="115"/>
      <c r="Q49" s="24"/>
      <c r="R49" s="26"/>
      <c r="S49" s="116"/>
      <c r="U49" s="115"/>
      <c r="V49" s="24"/>
      <c r="W49" s="26"/>
      <c r="X49" s="116"/>
      <c r="Z49" s="115"/>
      <c r="AA49" s="24"/>
      <c r="AB49" s="26"/>
      <c r="AC49" s="116"/>
      <c r="AE49" s="115"/>
      <c r="AF49" s="24"/>
      <c r="AG49" s="26"/>
      <c r="AH49" s="116"/>
      <c r="AJ49" s="115"/>
      <c r="AK49" s="24"/>
      <c r="AL49" s="26"/>
      <c r="AM49" s="116"/>
      <c r="AP49" s="119">
        <f>AB50</f>
        <v>1.926118196805837</v>
      </c>
      <c r="AS49" s="98" t="s">
        <v>840</v>
      </c>
      <c r="AT49" s="96" t="s">
        <v>872</v>
      </c>
      <c r="AU49" s="96" t="s">
        <v>873</v>
      </c>
    </row>
    <row r="50" spans="2:48" s="19" customFormat="1" ht="19.899999999999999" customHeight="1" thickBot="1" x14ac:dyDescent="0.35">
      <c r="B50"/>
      <c r="C50"/>
      <c r="D50"/>
      <c r="E50"/>
      <c r="F50"/>
      <c r="K50" s="23" t="s">
        <v>861</v>
      </c>
      <c r="L50" s="23"/>
      <c r="M50" s="117">
        <f>M48/M47</f>
        <v>1.3522080313294913</v>
      </c>
      <c r="N50" s="118"/>
      <c r="O50" s="118"/>
      <c r="P50" s="118"/>
      <c r="Q50" s="118"/>
      <c r="R50" s="117">
        <f>R48/R47</f>
        <v>1.8624251265362244</v>
      </c>
      <c r="S50" s="117"/>
      <c r="T50" s="117"/>
      <c r="U50" s="117"/>
      <c r="V50" s="117"/>
      <c r="W50" s="117">
        <f>W48/W47</f>
        <v>1.9208499742054059</v>
      </c>
      <c r="Z50" s="117"/>
      <c r="AA50" s="117"/>
      <c r="AB50" s="117">
        <f>AB48/AB47</f>
        <v>1.926118196805837</v>
      </c>
      <c r="AE50" s="117"/>
      <c r="AF50" s="117"/>
      <c r="AG50" s="117">
        <f>AG48/AG47</f>
        <v>1.9265819500907824</v>
      </c>
      <c r="AJ50" s="117"/>
      <c r="AK50" s="117"/>
      <c r="AL50" s="117">
        <f>AL48/AL47</f>
        <v>1.9266226862796434</v>
      </c>
      <c r="AP50" s="114">
        <f>AG50</f>
        <v>1.9265819500907824</v>
      </c>
      <c r="AS50" s="99" t="s">
        <v>5</v>
      </c>
      <c r="AT50" s="97" t="s">
        <v>873</v>
      </c>
      <c r="AU50" s="97" t="s">
        <v>874</v>
      </c>
      <c r="AV50"/>
    </row>
    <row r="51" spans="2:48" s="19" customFormat="1" ht="25.15" customHeight="1" x14ac:dyDescent="0.3">
      <c r="B51"/>
      <c r="C51"/>
      <c r="D51"/>
      <c r="E51"/>
      <c r="F51"/>
      <c r="N51"/>
      <c r="O51"/>
      <c r="P51"/>
      <c r="Q51"/>
      <c r="AP51" s="114">
        <f>AL50</f>
        <v>1.9266226862796434</v>
      </c>
    </row>
    <row r="52" spans="2:48" s="19" customFormat="1" ht="25.15" customHeight="1" thickBot="1" x14ac:dyDescent="0.4">
      <c r="B52"/>
      <c r="C52"/>
      <c r="D52"/>
      <c r="E52"/>
      <c r="F52"/>
      <c r="L52" s="3" t="s">
        <v>857</v>
      </c>
      <c r="Q52" s="3" t="s">
        <v>860</v>
      </c>
    </row>
    <row r="53" spans="2:48" s="19" customFormat="1" ht="25.15" customHeight="1" thickTop="1" x14ac:dyDescent="0.3">
      <c r="B53"/>
      <c r="C53"/>
      <c r="D53"/>
      <c r="E53"/>
      <c r="F53"/>
      <c r="G53" s="19" t="s">
        <v>853</v>
      </c>
      <c r="H53" s="19">
        <v>10</v>
      </c>
      <c r="K53" s="110"/>
      <c r="L53" s="24">
        <f>L47/$H$53</f>
        <v>0</v>
      </c>
      <c r="M53" s="24">
        <f>M47/$H$53</f>
        <v>4.9246069686387042</v>
      </c>
      <c r="N53" s="112"/>
      <c r="P53" s="110"/>
      <c r="Q53" s="24">
        <f>Q47/$H$54</f>
        <v>0</v>
      </c>
      <c r="R53" s="26">
        <f>R47/$H$54</f>
        <v>8.192940856218085</v>
      </c>
      <c r="S53" s="112"/>
    </row>
    <row r="54" spans="2:48" ht="19.899999999999999" customHeight="1" thickBot="1" x14ac:dyDescent="0.35">
      <c r="H54" s="19">
        <v>200</v>
      </c>
      <c r="K54" s="111"/>
      <c r="L54" s="24">
        <f>L48/$H$53</f>
        <v>0</v>
      </c>
      <c r="M54" s="24">
        <f>M48/$H$53</f>
        <v>6.6590930941344366</v>
      </c>
      <c r="N54" s="113"/>
      <c r="P54" s="111"/>
      <c r="Q54" s="24">
        <f>Q48/$H$54</f>
        <v>0</v>
      </c>
      <c r="R54" s="26">
        <f>R48/$H$54</f>
        <v>15.258738910845768</v>
      </c>
      <c r="S54" s="113"/>
    </row>
    <row r="55" spans="2:48" ht="19.899999999999999" customHeight="1" thickTop="1" x14ac:dyDescent="0.3"/>
    <row r="56" spans="2:48" ht="19.899999999999999" customHeight="1" x14ac:dyDescent="0.3"/>
    <row r="57" spans="2:48" ht="20.45" customHeight="1" x14ac:dyDescent="0.3"/>
    <row r="58" spans="2:48" ht="20.45" customHeight="1" x14ac:dyDescent="0.3"/>
    <row r="59" spans="2:48" ht="20.45" customHeight="1" x14ac:dyDescent="0.3"/>
    <row r="60" spans="2:48" ht="20.45" customHeight="1" x14ac:dyDescent="0.3"/>
    <row r="61" spans="2:48" ht="20.45" customHeight="1" x14ac:dyDescent="0.3"/>
    <row r="62" spans="2:48" ht="20.45" customHeight="1" x14ac:dyDescent="0.3"/>
    <row r="63" spans="2:48" ht="20.45" customHeight="1" x14ac:dyDescent="0.3"/>
    <row r="64" spans="2:48" ht="20.45" customHeight="1" x14ac:dyDescent="0.3"/>
    <row r="65" spans="29:48" ht="20.45" customHeight="1" x14ac:dyDescent="0.3"/>
    <row r="66" spans="29:48" ht="20.45" customHeight="1" x14ac:dyDescent="0.3"/>
    <row r="67" spans="29:48" ht="20.45" customHeight="1" x14ac:dyDescent="0.3"/>
    <row r="68" spans="29:48" ht="20.45" customHeight="1" x14ac:dyDescent="0.3"/>
    <row r="69" spans="29:48" ht="20.45" customHeight="1" x14ac:dyDescent="0.3"/>
    <row r="70" spans="29:48" ht="20.45" customHeight="1" x14ac:dyDescent="0.3"/>
    <row r="76" spans="29:48" s="19" customFormat="1" ht="32.450000000000003" customHeight="1" thickBot="1" x14ac:dyDescent="0.35">
      <c r="AC76" s="133"/>
      <c r="AD76" s="171" t="s">
        <v>893</v>
      </c>
      <c r="AE76" s="134"/>
      <c r="AF76" s="133"/>
      <c r="AG76" s="32" t="s">
        <v>863</v>
      </c>
      <c r="AH76" s="144" t="s">
        <v>862</v>
      </c>
      <c r="AJ76" s="19" t="s">
        <v>864</v>
      </c>
      <c r="AM76" s="132" t="s">
        <v>879</v>
      </c>
      <c r="AQ76" s="19" t="s">
        <v>865</v>
      </c>
      <c r="AU76" s="19" t="s">
        <v>866</v>
      </c>
    </row>
    <row r="77" spans="29:48" ht="27.6" customHeight="1" thickTop="1" x14ac:dyDescent="0.3">
      <c r="AC77" s="135"/>
      <c r="AD77" s="136">
        <v>-0.88759021000000005</v>
      </c>
      <c r="AE77" s="137"/>
      <c r="AF77" s="138"/>
      <c r="AG77" s="139">
        <f>AD78/AD77</f>
        <v>-0.51897139559482075</v>
      </c>
      <c r="AH77" s="134">
        <v>3.7195134200000002</v>
      </c>
      <c r="AJ77" s="4">
        <v>3</v>
      </c>
      <c r="AL77" s="110"/>
      <c r="AM77" s="123">
        <f>AD77*$AJ$77*AH77</f>
        <v>-9.9042110926668556</v>
      </c>
      <c r="AN77" s="112"/>
      <c r="AQ77" s="15">
        <v>0</v>
      </c>
      <c r="AR77" s="75">
        <f>AM77</f>
        <v>-9.9042110926668556</v>
      </c>
      <c r="AT77" t="s">
        <v>868</v>
      </c>
      <c r="AU77" s="15">
        <v>0</v>
      </c>
      <c r="AV77" s="124">
        <f>AD77</f>
        <v>-0.88759021000000005</v>
      </c>
    </row>
    <row r="78" spans="29:48" ht="27.6" customHeight="1" thickBot="1" x14ac:dyDescent="0.35">
      <c r="AC78" s="140"/>
      <c r="AD78" s="136">
        <v>0.46063393000000002</v>
      </c>
      <c r="AE78" s="141"/>
      <c r="AF78" s="138"/>
      <c r="AG78" s="139"/>
      <c r="AH78" s="142"/>
      <c r="AL78" s="111"/>
      <c r="AM78" s="123">
        <f>AD78*$AJ$77*AH77</f>
        <v>5.1400022530270224</v>
      </c>
      <c r="AN78" s="113"/>
      <c r="AQ78" s="15">
        <v>0</v>
      </c>
      <c r="AR78" s="75">
        <f>AM78</f>
        <v>5.1400022530270224</v>
      </c>
      <c r="AU78" s="15">
        <v>0</v>
      </c>
      <c r="AV78" s="124">
        <f>AD78</f>
        <v>0.46063393000000002</v>
      </c>
    </row>
    <row r="79" spans="29:48" ht="13.15" customHeight="1" thickTop="1" thickBot="1" x14ac:dyDescent="0.35">
      <c r="AC79" s="138"/>
      <c r="AD79" s="143"/>
      <c r="AE79" s="138"/>
      <c r="AF79" s="138"/>
      <c r="AG79" s="139"/>
      <c r="AH79" s="142"/>
      <c r="AU79" s="15"/>
      <c r="AV79" s="15"/>
    </row>
    <row r="80" spans="29:48" ht="27.6" customHeight="1" thickTop="1" x14ac:dyDescent="0.3">
      <c r="AC80" s="135"/>
      <c r="AD80" s="136">
        <v>-0.46063393000000002</v>
      </c>
      <c r="AE80" s="137"/>
      <c r="AF80" s="138"/>
      <c r="AG80" s="139">
        <f>AD81/AD80</f>
        <v>1.9268884730223845</v>
      </c>
      <c r="AH80" s="134">
        <v>42.351869909999998</v>
      </c>
      <c r="AJ80" s="4">
        <v>1</v>
      </c>
      <c r="AL80" s="110"/>
      <c r="AM80" s="123">
        <f>AD80*$AH$80*$AJ$80</f>
        <v>-19.508708279492048</v>
      </c>
      <c r="AN80" s="112"/>
      <c r="AQ80" s="15">
        <v>0</v>
      </c>
      <c r="AR80" s="75">
        <f>AM80</f>
        <v>-19.508708279492048</v>
      </c>
      <c r="AT80" t="s">
        <v>869</v>
      </c>
      <c r="AU80" s="15">
        <v>0</v>
      </c>
      <c r="AV80" s="124">
        <f>AD80</f>
        <v>-0.46063393000000002</v>
      </c>
    </row>
    <row r="81" spans="28:48" ht="27.6" customHeight="1" thickBot="1" x14ac:dyDescent="0.35">
      <c r="AC81" s="140"/>
      <c r="AD81" s="136">
        <v>-0.88759021000000005</v>
      </c>
      <c r="AE81" s="141"/>
      <c r="AF81" s="138"/>
      <c r="AG81" s="138"/>
      <c r="AH81" s="138"/>
      <c r="AL81" s="111"/>
      <c r="AM81" s="123">
        <f>AD81*$AH$80*$AJ$80</f>
        <v>-37.591105107309581</v>
      </c>
      <c r="AN81" s="113"/>
      <c r="AQ81" s="15">
        <v>0</v>
      </c>
      <c r="AR81" s="75">
        <f>AM81</f>
        <v>-37.591105107309581</v>
      </c>
      <c r="AU81" s="15">
        <v>0</v>
      </c>
      <c r="AV81" s="124">
        <f>AD81</f>
        <v>-0.88759021000000005</v>
      </c>
    </row>
    <row r="82" spans="28:48" ht="24.6" customHeight="1" thickTop="1" x14ac:dyDescent="0.3"/>
    <row r="84" spans="28:48" ht="21.6" customHeight="1" x14ac:dyDescent="0.3">
      <c r="AQ84" s="15"/>
      <c r="AR84" s="75"/>
    </row>
    <row r="85" spans="28:48" ht="21.6" customHeight="1" x14ac:dyDescent="0.3">
      <c r="AQ85" s="15"/>
      <c r="AR85" s="75"/>
    </row>
    <row r="86" spans="28:48" ht="21.6" customHeight="1" x14ac:dyDescent="0.3"/>
    <row r="88" spans="28:48" ht="14.45" x14ac:dyDescent="0.3">
      <c r="AB88" t="s">
        <v>880</v>
      </c>
    </row>
    <row r="101" spans="1:17" ht="14.45" x14ac:dyDescent="0.3">
      <c r="A101" s="3" t="s">
        <v>870</v>
      </c>
    </row>
    <row r="102" spans="1:17" thickBot="1" x14ac:dyDescent="0.35"/>
    <row r="103" spans="1:17" thickBot="1" x14ac:dyDescent="0.35">
      <c r="B103" s="175" t="s">
        <v>851</v>
      </c>
      <c r="C103" s="176"/>
      <c r="L103" s="175" t="s">
        <v>851</v>
      </c>
      <c r="M103" s="176"/>
    </row>
    <row r="104" spans="1:17" ht="15.6" thickTop="1" thickBot="1" x14ac:dyDescent="0.35">
      <c r="B104" s="101" t="s">
        <v>840</v>
      </c>
      <c r="C104" s="102" t="s">
        <v>858</v>
      </c>
      <c r="E104" s="1" t="s">
        <v>867</v>
      </c>
      <c r="F104" s="121"/>
      <c r="G104" s="123">
        <v>-0.88759021000000005</v>
      </c>
      <c r="H104" s="123">
        <v>0.46063393000000002</v>
      </c>
      <c r="I104" s="122"/>
      <c r="L104" s="101" t="s">
        <v>840</v>
      </c>
      <c r="M104" s="102" t="s">
        <v>858</v>
      </c>
    </row>
    <row r="105" spans="1:17" ht="15.6" thickTop="1" thickBot="1" x14ac:dyDescent="0.35">
      <c r="B105" s="125">
        <f t="shared" ref="B105:C116" si="4">C29</f>
        <v>-5.5</v>
      </c>
      <c r="C105" s="126">
        <f t="shared" si="4"/>
        <v>-11.486936765510089</v>
      </c>
      <c r="E105" s="1"/>
      <c r="F105" s="1"/>
      <c r="G105" s="120"/>
      <c r="H105" s="120"/>
      <c r="I105" s="1"/>
      <c r="J105" s="1"/>
      <c r="L105" s="125">
        <f t="shared" ref="L105:L116" si="5">SUMPRODUCT(B105:C105,$G$106:$H$106)</f>
        <v>12.729179230955822</v>
      </c>
      <c r="M105" s="125">
        <f t="shared" ref="M105:M116" si="6">SUMPRODUCT(B105:C105,$G$104:$H$104)</f>
        <v>-0.40952667095840134</v>
      </c>
      <c r="Q105">
        <v>0</v>
      </c>
    </row>
    <row r="106" spans="1:17" ht="15.6" thickTop="1" thickBot="1" x14ac:dyDescent="0.35">
      <c r="B106" s="7">
        <f t="shared" si="4"/>
        <v>-4.5</v>
      </c>
      <c r="C106" s="103">
        <f t="shared" si="4"/>
        <v>-5.5028447282102135</v>
      </c>
      <c r="E106" s="1" t="s">
        <v>871</v>
      </c>
      <c r="F106" s="121"/>
      <c r="G106" s="123">
        <v>-0.46063393000000002</v>
      </c>
      <c r="H106" s="123">
        <v>-0.88759021000000005</v>
      </c>
      <c r="I106" s="122"/>
      <c r="L106" s="7">
        <f t="shared" si="5"/>
        <v>6.9571237929094965</v>
      </c>
      <c r="M106" s="7">
        <f t="shared" si="6"/>
        <v>1.4593589516647474</v>
      </c>
      <c r="Q106">
        <v>0</v>
      </c>
    </row>
    <row r="107" spans="1:17" thickTop="1" x14ac:dyDescent="0.3">
      <c r="B107" s="7">
        <f t="shared" si="4"/>
        <v>-3.5</v>
      </c>
      <c r="C107" s="103">
        <f t="shared" si="4"/>
        <v>-2.4787505026593823</v>
      </c>
      <c r="L107" s="7">
        <f t="shared" si="5"/>
        <v>3.8123334341930466</v>
      </c>
      <c r="M107" s="7">
        <f t="shared" si="6"/>
        <v>1.9647691494705335</v>
      </c>
      <c r="Q107">
        <v>0</v>
      </c>
    </row>
    <row r="108" spans="1:17" ht="14.45" x14ac:dyDescent="0.3">
      <c r="B108" s="7">
        <f t="shared" si="4"/>
        <v>-2.5</v>
      </c>
      <c r="C108" s="103">
        <f t="shared" si="4"/>
        <v>-1.7326442998180003</v>
      </c>
      <c r="L108" s="7">
        <f t="shared" si="5"/>
        <v>2.6894629429307617</v>
      </c>
      <c r="M108" s="7">
        <f t="shared" si="6"/>
        <v>1.4208607718827366</v>
      </c>
      <c r="Q108">
        <v>0</v>
      </c>
    </row>
    <row r="109" spans="1:17" ht="14.45" x14ac:dyDescent="0.3">
      <c r="B109" s="7">
        <f t="shared" si="4"/>
        <v>-1.5</v>
      </c>
      <c r="C109" s="103">
        <f t="shared" si="4"/>
        <v>-4.6400926726284295</v>
      </c>
      <c r="L109" s="7">
        <f t="shared" si="5"/>
        <v>4.8094517247177295</v>
      </c>
      <c r="M109" s="7">
        <f t="shared" si="6"/>
        <v>-0.80599880835703686</v>
      </c>
      <c r="Q109">
        <v>0</v>
      </c>
    </row>
    <row r="110" spans="1:17" ht="14.45" x14ac:dyDescent="0.3">
      <c r="B110" s="7">
        <f t="shared" si="4"/>
        <v>-0.5</v>
      </c>
      <c r="C110" s="103">
        <f t="shared" si="4"/>
        <v>-1.5090490610351939</v>
      </c>
      <c r="L110" s="7">
        <f t="shared" si="5"/>
        <v>1.5697341379845307</v>
      </c>
      <c r="M110" s="7">
        <f t="shared" si="6"/>
        <v>-0.25132409454745125</v>
      </c>
      <c r="Q110">
        <v>0</v>
      </c>
    </row>
    <row r="111" spans="1:17" ht="14.45" x14ac:dyDescent="0.3">
      <c r="B111" s="7">
        <f t="shared" si="4"/>
        <v>0.5</v>
      </c>
      <c r="C111" s="103">
        <f t="shared" si="4"/>
        <v>3.5115320701944093</v>
      </c>
      <c r="L111" s="7">
        <f t="shared" si="5"/>
        <v>-3.3471184526055908</v>
      </c>
      <c r="M111" s="7">
        <f t="shared" si="6"/>
        <v>1.1737357128146868</v>
      </c>
      <c r="Q111">
        <v>0</v>
      </c>
    </row>
    <row r="112" spans="1:17" ht="14.45" x14ac:dyDescent="0.3">
      <c r="B112" s="7">
        <f t="shared" si="4"/>
        <v>1.5</v>
      </c>
      <c r="C112" s="103">
        <f t="shared" si="4"/>
        <v>9.6015737586201357</v>
      </c>
      <c r="L112" s="7">
        <f t="shared" si="5"/>
        <v>-9.213213763744136</v>
      </c>
      <c r="M112" s="7">
        <f t="shared" si="6"/>
        <v>3.0914253396180644</v>
      </c>
      <c r="Q112">
        <v>0</v>
      </c>
    </row>
    <row r="113" spans="2:17" ht="14.45" x14ac:dyDescent="0.3">
      <c r="B113" s="7">
        <f t="shared" si="4"/>
        <v>2.5</v>
      </c>
      <c r="C113" s="103">
        <f t="shared" si="4"/>
        <v>2.7400008862585583</v>
      </c>
      <c r="L113" s="7">
        <f t="shared" si="5"/>
        <v>-3.5835827870344201</v>
      </c>
      <c r="M113" s="7">
        <f t="shared" si="6"/>
        <v>-0.95683814855923743</v>
      </c>
      <c r="Q113">
        <v>0</v>
      </c>
    </row>
    <row r="114" spans="2:17" ht="14.45" x14ac:dyDescent="0.3">
      <c r="B114" s="7">
        <f t="shared" si="4"/>
        <v>3.5</v>
      </c>
      <c r="C114" s="103">
        <f t="shared" si="4"/>
        <v>3.3471519122045965</v>
      </c>
      <c r="L114" s="7">
        <f t="shared" si="5"/>
        <v>-4.5831180236555795</v>
      </c>
      <c r="M114" s="7">
        <f t="shared" si="6"/>
        <v>-1.5647539953741818</v>
      </c>
      <c r="Q114">
        <v>0</v>
      </c>
    </row>
    <row r="115" spans="2:17" ht="14.45" x14ac:dyDescent="0.3">
      <c r="B115" s="7">
        <f t="shared" si="4"/>
        <v>4.5</v>
      </c>
      <c r="C115" s="103">
        <f t="shared" si="4"/>
        <v>-1.3170205352811077</v>
      </c>
      <c r="L115" s="7">
        <f t="shared" si="5"/>
        <v>-0.90387815151552919</v>
      </c>
      <c r="M115" s="7">
        <f t="shared" si="6"/>
        <v>-4.6008202900572401</v>
      </c>
      <c r="Q115">
        <v>0</v>
      </c>
    </row>
    <row r="116" spans="2:17" thickBot="1" x14ac:dyDescent="0.35">
      <c r="B116" s="127">
        <f t="shared" si="4"/>
        <v>5.5</v>
      </c>
      <c r="C116" s="128">
        <f t="shared" si="4"/>
        <v>9.4670799378647157</v>
      </c>
      <c r="L116" s="127">
        <f t="shared" si="5"/>
        <v>-10.93637408513613</v>
      </c>
      <c r="M116" s="128">
        <f t="shared" si="6"/>
        <v>-0.52088791759721964</v>
      </c>
      <c r="Q116">
        <v>0</v>
      </c>
    </row>
    <row r="120" spans="2:17" ht="14.45" x14ac:dyDescent="0.3">
      <c r="G120">
        <f>(B105*G106)+(C105*H106)</f>
        <v>12.729179230955822</v>
      </c>
      <c r="H120">
        <f>(B105*G104)+(C105*H104)</f>
        <v>-0.40952667095840134</v>
      </c>
    </row>
  </sheetData>
  <mergeCells count="5">
    <mergeCell ref="C7:D7"/>
    <mergeCell ref="G7:H7"/>
    <mergeCell ref="C27:D27"/>
    <mergeCell ref="B103:C103"/>
    <mergeCell ref="L103:M10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0"/>
  <sheetViews>
    <sheetView showGridLines="0" tabSelected="1" topLeftCell="A99" zoomScale="120" zoomScaleNormal="120" workbookViewId="0">
      <selection activeCell="I115" sqref="I115"/>
    </sheetView>
  </sheetViews>
  <sheetFormatPr defaultRowHeight="15" x14ac:dyDescent="0.25"/>
  <cols>
    <col min="3" max="4" width="9.7109375" customWidth="1"/>
    <col min="5" max="5" width="3.85546875" customWidth="1"/>
    <col min="6" max="6" width="1.42578125" customWidth="1"/>
    <col min="7" max="8" width="8.28515625" customWidth="1"/>
    <col min="9" max="9" width="1.5703125" customWidth="1"/>
    <col min="10" max="10" width="5.28515625" customWidth="1"/>
    <col min="11" max="11" width="1.5703125" customWidth="1"/>
    <col min="12" max="13" width="8.140625" customWidth="1"/>
    <col min="14" max="14" width="1.5703125" customWidth="1"/>
    <col min="15" max="15" width="4.42578125" customWidth="1"/>
    <col min="16" max="16" width="1.5703125" customWidth="1"/>
    <col min="17" max="18" width="8.140625" customWidth="1"/>
    <col min="19" max="19" width="1.5703125" customWidth="1"/>
    <col min="20" max="20" width="4.85546875" customWidth="1"/>
    <col min="21" max="21" width="1.5703125" customWidth="1"/>
    <col min="22" max="22" width="7.140625" customWidth="1"/>
    <col min="23" max="23" width="8.28515625" customWidth="1"/>
    <col min="24" max="24" width="1.5703125" customWidth="1"/>
    <col min="25" max="25" width="3.5703125" customWidth="1"/>
    <col min="26" max="26" width="2.28515625" customWidth="1"/>
    <col min="27" max="27" width="5.140625" customWidth="1"/>
    <col min="28" max="28" width="9.28515625" customWidth="1"/>
    <col min="29" max="29" width="1.5703125" customWidth="1"/>
    <col min="30" max="30" width="10.28515625" bestFit="1" customWidth="1"/>
    <col min="31" max="31" width="1.5703125" customWidth="1"/>
    <col min="32" max="32" width="5.42578125" customWidth="1"/>
    <col min="33" max="33" width="11.28515625" customWidth="1"/>
    <col min="34" max="34" width="7.28515625" bestFit="1" customWidth="1"/>
    <col min="35" max="35" width="1.5703125" customWidth="1"/>
    <col min="36" max="36" width="14.28515625" bestFit="1" customWidth="1"/>
    <col min="37" max="37" width="5.28515625" customWidth="1"/>
    <col min="38" max="38" width="1.7109375" customWidth="1"/>
    <col min="39" max="39" width="12" bestFit="1" customWidth="1"/>
    <col min="40" max="40" width="1.7109375" customWidth="1"/>
    <col min="46" max="47" width="40.140625" bestFit="1" customWidth="1"/>
  </cols>
  <sheetData>
    <row r="1" spans="1:28" x14ac:dyDescent="0.25">
      <c r="B1" t="s">
        <v>845</v>
      </c>
      <c r="D1">
        <f>PI()/2</f>
        <v>1.5707963267948966</v>
      </c>
    </row>
    <row r="2" spans="1:28" x14ac:dyDescent="0.25">
      <c r="C2" s="90" t="s">
        <v>841</v>
      </c>
      <c r="D2" s="6">
        <v>4</v>
      </c>
      <c r="E2" s="94"/>
      <c r="F2" s="94"/>
    </row>
    <row r="3" spans="1:28" x14ac:dyDescent="0.25">
      <c r="C3" s="90" t="s">
        <v>842</v>
      </c>
      <c r="D3" s="6">
        <v>1.2</v>
      </c>
      <c r="E3" s="94"/>
      <c r="F3" s="94"/>
    </row>
    <row r="4" spans="1:28" x14ac:dyDescent="0.25">
      <c r="C4" s="90" t="s">
        <v>843</v>
      </c>
      <c r="D4" s="6">
        <v>4</v>
      </c>
      <c r="E4" s="94"/>
      <c r="F4" s="94"/>
    </row>
    <row r="5" spans="1:28" x14ac:dyDescent="0.25">
      <c r="C5" s="92"/>
      <c r="D5" s="94"/>
      <c r="E5" s="94"/>
      <c r="F5" s="94"/>
    </row>
    <row r="6" spans="1:28" ht="15.75" thickBot="1" x14ac:dyDescent="0.3">
      <c r="A6" s="3" t="s">
        <v>848</v>
      </c>
    </row>
    <row r="7" spans="1:28" s="23" customFormat="1" ht="15.6" customHeight="1" thickBot="1" x14ac:dyDescent="0.3">
      <c r="C7" s="175" t="s">
        <v>846</v>
      </c>
      <c r="D7" s="176"/>
      <c r="E7" s="25"/>
      <c r="F7" s="25"/>
      <c r="G7" s="177" t="s">
        <v>847</v>
      </c>
      <c r="H7" s="178"/>
      <c r="I7" s="108"/>
      <c r="AA7" s="129" t="s">
        <v>840</v>
      </c>
      <c r="AB7" s="130" t="s">
        <v>5</v>
      </c>
    </row>
    <row r="8" spans="1:28" ht="15.6" customHeight="1" x14ac:dyDescent="0.25">
      <c r="C8" s="101" t="s">
        <v>840</v>
      </c>
      <c r="D8" s="102" t="s">
        <v>5</v>
      </c>
      <c r="E8" s="92"/>
      <c r="F8" s="92"/>
      <c r="G8" s="129" t="s">
        <v>840</v>
      </c>
      <c r="H8" s="130" t="s">
        <v>5</v>
      </c>
      <c r="I8" s="92"/>
      <c r="AA8" s="7">
        <v>0</v>
      </c>
      <c r="AB8" s="103">
        <f>$D$2+D3*$AA$8</f>
        <v>4</v>
      </c>
    </row>
    <row r="9" spans="1:28" ht="15.6" customHeight="1" x14ac:dyDescent="0.25">
      <c r="C9" s="7">
        <v>1</v>
      </c>
      <c r="D9" s="103">
        <f t="shared" ref="D9:D20" ca="1" si="0">$D$2+$D$3*C9+_xlfn.NORM.INV(RAND(),0,_SD)</f>
        <v>-0.97386074127014677</v>
      </c>
      <c r="E9" s="93"/>
      <c r="F9" s="93"/>
      <c r="G9" s="7">
        <f>C9</f>
        <v>1</v>
      </c>
      <c r="H9" s="103">
        <v>-0.73076726816411153</v>
      </c>
      <c r="I9" s="93"/>
      <c r="AA9" s="7">
        <v>7</v>
      </c>
      <c r="AB9" s="103">
        <f>$D$2+D3*$AA$9</f>
        <v>12.4</v>
      </c>
    </row>
    <row r="10" spans="1:28" ht="15.6" customHeight="1" x14ac:dyDescent="0.25">
      <c r="C10" s="7">
        <v>2</v>
      </c>
      <c r="D10" s="103">
        <f t="shared" ca="1" si="0"/>
        <v>11.214068966756336</v>
      </c>
      <c r="E10" s="93"/>
      <c r="F10" s="93"/>
      <c r="G10" s="7">
        <f t="shared" ref="G10:G20" si="1">C10</f>
        <v>2</v>
      </c>
      <c r="H10" s="103">
        <v>5.2533247691357641</v>
      </c>
      <c r="I10" s="93"/>
    </row>
    <row r="11" spans="1:28" ht="15.6" customHeight="1" x14ac:dyDescent="0.25">
      <c r="C11" s="7">
        <v>3</v>
      </c>
      <c r="D11" s="103">
        <f t="shared" ca="1" si="0"/>
        <v>8.6617102839884055</v>
      </c>
      <c r="E11" s="93"/>
      <c r="F11" s="93"/>
      <c r="G11" s="7">
        <f t="shared" si="1"/>
        <v>3</v>
      </c>
      <c r="H11" s="103">
        <v>8.2774189946865953</v>
      </c>
      <c r="I11" s="93"/>
    </row>
    <row r="12" spans="1:28" ht="15.6" customHeight="1" x14ac:dyDescent="0.25">
      <c r="C12" s="7">
        <v>4</v>
      </c>
      <c r="D12" s="103">
        <f t="shared" ca="1" si="0"/>
        <v>5.4983805100622503</v>
      </c>
      <c r="E12" s="93"/>
      <c r="F12" s="93"/>
      <c r="G12" s="7">
        <f t="shared" si="1"/>
        <v>4</v>
      </c>
      <c r="H12" s="103">
        <v>9.0235251975279773</v>
      </c>
      <c r="I12" s="93"/>
    </row>
    <row r="13" spans="1:28" ht="15.6" customHeight="1" x14ac:dyDescent="0.25">
      <c r="C13" s="7">
        <v>5</v>
      </c>
      <c r="D13" s="103">
        <f t="shared" ca="1" si="0"/>
        <v>6.8336824858062055</v>
      </c>
      <c r="E13" s="93"/>
      <c r="F13" s="93"/>
      <c r="G13" s="7">
        <f t="shared" si="1"/>
        <v>5</v>
      </c>
      <c r="H13" s="103">
        <v>6.1160768247175481</v>
      </c>
      <c r="I13" s="93"/>
    </row>
    <row r="14" spans="1:28" ht="15.6" customHeight="1" x14ac:dyDescent="0.25">
      <c r="C14" s="7">
        <v>6</v>
      </c>
      <c r="D14" s="103">
        <f t="shared" ca="1" si="0"/>
        <v>11.424266919067435</v>
      </c>
      <c r="E14" s="93"/>
      <c r="F14" s="93"/>
      <c r="G14" s="7">
        <f t="shared" si="1"/>
        <v>6</v>
      </c>
      <c r="H14" s="103">
        <v>9.2471204363107837</v>
      </c>
      <c r="I14" s="93"/>
    </row>
    <row r="15" spans="1:28" ht="15.6" customHeight="1" x14ac:dyDescent="0.25">
      <c r="C15" s="7">
        <v>7</v>
      </c>
      <c r="D15" s="103">
        <f t="shared" ca="1" si="0"/>
        <v>13.816804054994101</v>
      </c>
      <c r="E15" s="93"/>
      <c r="F15" s="93"/>
      <c r="G15" s="7">
        <f t="shared" si="1"/>
        <v>7</v>
      </c>
      <c r="H15" s="103">
        <v>14.267701567540387</v>
      </c>
      <c r="I15" s="93"/>
    </row>
    <row r="16" spans="1:28" ht="15.6" customHeight="1" x14ac:dyDescent="0.25">
      <c r="C16" s="7">
        <v>8</v>
      </c>
      <c r="D16" s="103">
        <f t="shared" ca="1" si="0"/>
        <v>10.953663395168402</v>
      </c>
      <c r="E16" s="93"/>
      <c r="F16" s="93"/>
      <c r="G16" s="7">
        <f t="shared" si="1"/>
        <v>8</v>
      </c>
      <c r="H16" s="103">
        <v>20.357743255966113</v>
      </c>
      <c r="I16" s="93"/>
    </row>
    <row r="17" spans="1:9" ht="15.6" customHeight="1" x14ac:dyDescent="0.25">
      <c r="C17" s="7">
        <v>9</v>
      </c>
      <c r="D17" s="103">
        <f t="shared" ca="1" si="0"/>
        <v>12.872692602218624</v>
      </c>
      <c r="E17" s="93"/>
      <c r="F17" s="93"/>
      <c r="G17" s="7">
        <f t="shared" si="1"/>
        <v>9</v>
      </c>
      <c r="H17" s="103">
        <v>13.496170383604536</v>
      </c>
      <c r="I17" s="93"/>
    </row>
    <row r="18" spans="1:9" ht="15.6" customHeight="1" x14ac:dyDescent="0.25">
      <c r="C18" s="7">
        <v>10</v>
      </c>
      <c r="D18" s="103">
        <f t="shared" ca="1" si="0"/>
        <v>10.814266288018324</v>
      </c>
      <c r="E18" s="93"/>
      <c r="F18" s="93"/>
      <c r="G18" s="7">
        <f t="shared" si="1"/>
        <v>10</v>
      </c>
      <c r="H18" s="103">
        <v>14.103321409550574</v>
      </c>
      <c r="I18" s="93"/>
    </row>
    <row r="19" spans="1:9" ht="15.6" customHeight="1" x14ac:dyDescent="0.25">
      <c r="C19" s="7">
        <v>11</v>
      </c>
      <c r="D19" s="103">
        <f t="shared" ca="1" si="0"/>
        <v>14.765254230950967</v>
      </c>
      <c r="E19" s="93"/>
      <c r="F19" s="93"/>
      <c r="G19" s="7">
        <f t="shared" si="1"/>
        <v>11</v>
      </c>
      <c r="H19" s="103">
        <v>9.4391489620648699</v>
      </c>
      <c r="I19" s="93"/>
    </row>
    <row r="20" spans="1:9" ht="15.6" customHeight="1" thickBot="1" x14ac:dyDescent="0.3">
      <c r="C20" s="9">
        <v>12</v>
      </c>
      <c r="D20" s="103">
        <f t="shared" ca="1" si="0"/>
        <v>11.347511547391846</v>
      </c>
      <c r="E20" s="93"/>
      <c r="F20" s="93"/>
      <c r="G20" s="9">
        <f t="shared" si="1"/>
        <v>12</v>
      </c>
      <c r="H20" s="104">
        <v>20.223249435210693</v>
      </c>
      <c r="I20" s="93"/>
    </row>
    <row r="21" spans="1:9" ht="15.6" customHeight="1" x14ac:dyDescent="0.25">
      <c r="C21" s="94"/>
      <c r="D21" s="93"/>
      <c r="E21" s="93"/>
      <c r="F21" s="93"/>
      <c r="G21" s="94"/>
      <c r="H21" s="93"/>
      <c r="I21" s="93"/>
    </row>
    <row r="22" spans="1:9" ht="15.6" customHeight="1" thickBot="1" x14ac:dyDescent="0.3">
      <c r="C22" s="94"/>
      <c r="D22" s="93"/>
      <c r="F22" s="131" t="s">
        <v>852</v>
      </c>
      <c r="G22" s="106">
        <f>AVERAGE(G9:G20)</f>
        <v>6.5</v>
      </c>
      <c r="H22" s="107">
        <f>AVERAGE(H9:H20)</f>
        <v>10.756169497345978</v>
      </c>
      <c r="I22" s="109"/>
    </row>
    <row r="24" spans="1:9" x14ac:dyDescent="0.25">
      <c r="B24" s="5"/>
    </row>
    <row r="25" spans="1:9" x14ac:dyDescent="0.25">
      <c r="A25" s="3" t="s">
        <v>850</v>
      </c>
      <c r="B25" s="5"/>
    </row>
    <row r="26" spans="1:9" ht="15.75" thickBot="1" x14ac:dyDescent="0.3">
      <c r="B26" s="5"/>
    </row>
    <row r="27" spans="1:9" ht="15.6" customHeight="1" x14ac:dyDescent="0.25">
      <c r="B27" s="5"/>
      <c r="C27" s="175" t="s">
        <v>851</v>
      </c>
      <c r="D27" s="176"/>
    </row>
    <row r="28" spans="1:9" ht="15.6" customHeight="1" x14ac:dyDescent="0.25">
      <c r="B28" s="5"/>
      <c r="C28" s="101" t="s">
        <v>840</v>
      </c>
      <c r="D28" s="102" t="s">
        <v>858</v>
      </c>
    </row>
    <row r="29" spans="1:9" ht="15.6" customHeight="1" x14ac:dyDescent="0.25">
      <c r="B29" s="5"/>
      <c r="C29" s="7">
        <f t="shared" ref="C29:C40" si="2">G9-$G$22</f>
        <v>-5.5</v>
      </c>
      <c r="D29" s="103">
        <f>H9-$H$22</f>
        <v>-11.486936765510089</v>
      </c>
    </row>
    <row r="30" spans="1:9" ht="15.6" customHeight="1" x14ac:dyDescent="0.25">
      <c r="B30" s="5"/>
      <c r="C30" s="7">
        <f t="shared" si="2"/>
        <v>-4.5</v>
      </c>
      <c r="D30" s="103">
        <f t="shared" ref="D30:D40" si="3">H10-$H$22</f>
        <v>-5.5028447282102135</v>
      </c>
    </row>
    <row r="31" spans="1:9" ht="15.6" customHeight="1" x14ac:dyDescent="0.25">
      <c r="B31" s="5"/>
      <c r="C31" s="7">
        <f t="shared" si="2"/>
        <v>-3.5</v>
      </c>
      <c r="D31" s="103">
        <f t="shared" si="3"/>
        <v>-2.4787505026593823</v>
      </c>
    </row>
    <row r="32" spans="1:9" ht="15.6" customHeight="1" x14ac:dyDescent="0.25">
      <c r="B32" s="5"/>
      <c r="C32" s="7">
        <f t="shared" si="2"/>
        <v>-2.5</v>
      </c>
      <c r="D32" s="103">
        <f t="shared" si="3"/>
        <v>-1.7326442998180003</v>
      </c>
    </row>
    <row r="33" spans="2:47" ht="15.6" customHeight="1" x14ac:dyDescent="0.25">
      <c r="B33" s="5"/>
      <c r="C33" s="7">
        <f t="shared" si="2"/>
        <v>-1.5</v>
      </c>
      <c r="D33" s="103">
        <f t="shared" si="3"/>
        <v>-4.6400926726284295</v>
      </c>
    </row>
    <row r="34" spans="2:47" ht="15.6" customHeight="1" x14ac:dyDescent="0.25">
      <c r="B34" s="5"/>
      <c r="C34" s="7">
        <f t="shared" si="2"/>
        <v>-0.5</v>
      </c>
      <c r="D34" s="103">
        <f t="shared" si="3"/>
        <v>-1.5090490610351939</v>
      </c>
    </row>
    <row r="35" spans="2:47" ht="15.6" customHeight="1" x14ac:dyDescent="0.25">
      <c r="B35" s="5"/>
      <c r="C35" s="7">
        <f t="shared" si="2"/>
        <v>0.5</v>
      </c>
      <c r="D35" s="103">
        <f t="shared" si="3"/>
        <v>3.5115320701944093</v>
      </c>
    </row>
    <row r="36" spans="2:47" ht="15.6" customHeight="1" x14ac:dyDescent="0.25">
      <c r="B36" s="5"/>
      <c r="C36" s="7">
        <f t="shared" si="2"/>
        <v>1.5</v>
      </c>
      <c r="D36" s="103">
        <f t="shared" si="3"/>
        <v>9.6015737586201357</v>
      </c>
    </row>
    <row r="37" spans="2:47" ht="15.6" customHeight="1" x14ac:dyDescent="0.25">
      <c r="B37" s="5"/>
      <c r="C37" s="7">
        <f t="shared" si="2"/>
        <v>2.5</v>
      </c>
      <c r="D37" s="103">
        <f t="shared" si="3"/>
        <v>2.7400008862585583</v>
      </c>
    </row>
    <row r="38" spans="2:47" ht="15.6" customHeight="1" x14ac:dyDescent="0.25">
      <c r="B38" s="5"/>
      <c r="C38" s="7">
        <f t="shared" si="2"/>
        <v>3.5</v>
      </c>
      <c r="D38" s="103">
        <f t="shared" si="3"/>
        <v>3.3471519122045965</v>
      </c>
    </row>
    <row r="39" spans="2:47" ht="15.6" customHeight="1" x14ac:dyDescent="0.25">
      <c r="B39" s="5"/>
      <c r="C39" s="7">
        <f t="shared" si="2"/>
        <v>4.5</v>
      </c>
      <c r="D39" s="103">
        <f t="shared" si="3"/>
        <v>-1.3170205352811077</v>
      </c>
    </row>
    <row r="40" spans="2:47" ht="15.6" customHeight="1" thickBot="1" x14ac:dyDescent="0.3">
      <c r="B40" s="5"/>
      <c r="C40" s="9">
        <f t="shared" si="2"/>
        <v>5.5</v>
      </c>
      <c r="D40" s="104">
        <f t="shared" si="3"/>
        <v>9.4670799378647157</v>
      </c>
    </row>
    <row r="41" spans="2:47" x14ac:dyDescent="0.25">
      <c r="B41" s="5"/>
    </row>
    <row r="42" spans="2:47" x14ac:dyDescent="0.25">
      <c r="B42" s="5"/>
    </row>
    <row r="45" spans="2:47" ht="15.75" thickBot="1" x14ac:dyDescent="0.3">
      <c r="B45" s="3" t="s">
        <v>855</v>
      </c>
      <c r="AP45" s="23" t="s">
        <v>861</v>
      </c>
    </row>
    <row r="46" spans="2:47" ht="19.899999999999999" customHeight="1" thickBot="1" x14ac:dyDescent="0.4">
      <c r="B46" s="95"/>
      <c r="C46" s="100" t="s">
        <v>840</v>
      </c>
      <c r="D46" s="100" t="s">
        <v>5</v>
      </c>
      <c r="F46" s="3" t="s">
        <v>854</v>
      </c>
      <c r="L46" s="3" t="s">
        <v>856</v>
      </c>
      <c r="Q46" s="3" t="s">
        <v>859</v>
      </c>
      <c r="V46" s="3" t="s">
        <v>875</v>
      </c>
      <c r="AA46" s="3" t="s">
        <v>876</v>
      </c>
      <c r="AF46" s="3" t="s">
        <v>877</v>
      </c>
      <c r="AK46" s="3" t="s">
        <v>878</v>
      </c>
      <c r="AP46" s="114">
        <f>M50</f>
        <v>1.3522080313294913</v>
      </c>
    </row>
    <row r="47" spans="2:47" ht="27.6" customHeight="1" thickTop="1" thickBot="1" x14ac:dyDescent="0.3">
      <c r="B47" s="98" t="s">
        <v>840</v>
      </c>
      <c r="C47" s="96">
        <f>_xlfn.VAR.P(C29:C40)</f>
        <v>11.916666666666666</v>
      </c>
      <c r="D47" s="96">
        <f>_xlfn.COVARIANCE.P($C$29:$C$40,$D$29:$D$40)</f>
        <v>15.794030197203783</v>
      </c>
      <c r="F47" s="110"/>
      <c r="G47" s="15">
        <v>0</v>
      </c>
      <c r="H47" s="15">
        <v>4</v>
      </c>
      <c r="I47" s="112"/>
      <c r="K47" s="110"/>
      <c r="L47" s="24">
        <f t="array" ref="L47:M48">MMULT($C$47:$D$48,G47:H48)</f>
        <v>0</v>
      </c>
      <c r="M47" s="26">
        <v>49.246069686387045</v>
      </c>
      <c r="N47" s="112"/>
      <c r="P47" s="110"/>
      <c r="Q47" s="24">
        <f t="array" ref="Q47:R48">MMULT($C$47:$D$48,L47:M48)</f>
        <v>0</v>
      </c>
      <c r="R47" s="26">
        <v>1638.5881712436169</v>
      </c>
      <c r="S47" s="112"/>
      <c r="U47" s="110"/>
      <c r="V47" s="24">
        <f t="array" ref="V47:W48">MMULT($C$47:$D$48,Q47:R48)</f>
        <v>0</v>
      </c>
      <c r="W47" s="26">
        <v>67725.905666482387</v>
      </c>
      <c r="X47" s="112"/>
      <c r="Z47" s="110"/>
      <c r="AA47" s="24">
        <f t="array" ref="AA47:AB48">MMULT($C$47:$D$48,V47:W48)</f>
        <v>0</v>
      </c>
      <c r="AB47" s="26">
        <v>2861733.0287037957</v>
      </c>
      <c r="AC47" s="112"/>
      <c r="AE47" s="110"/>
      <c r="AF47" s="24">
        <f t="array" ref="AF47:AG48">MMULT($C$47:$D$48,AA47:AB48)</f>
        <v>0</v>
      </c>
      <c r="AG47" s="26">
        <v>121159582.58735308</v>
      </c>
      <c r="AH47" s="112"/>
      <c r="AJ47" s="110"/>
      <c r="AK47" s="24">
        <f t="array" ref="AK47:AL48">MMULT($C$47:$D$48,AF47:AG48)</f>
        <v>0</v>
      </c>
      <c r="AL47" s="26">
        <v>5130521930.0391941</v>
      </c>
      <c r="AM47" s="112"/>
      <c r="AP47" s="119">
        <f>R50</f>
        <v>1.8624251265362244</v>
      </c>
      <c r="AS47" s="3" t="s">
        <v>855</v>
      </c>
    </row>
    <row r="48" spans="2:47" ht="27.6" customHeight="1" thickBot="1" x14ac:dyDescent="0.3">
      <c r="B48" s="99" t="s">
        <v>5</v>
      </c>
      <c r="C48" s="97">
        <f>_xlfn.COVARIANCE.P($C$29:$C$40,$D$29:$D$40)</f>
        <v>15.794030197203783</v>
      </c>
      <c r="D48" s="97">
        <f>_xlfn.VAR.P(D29:D40)</f>
        <v>34.14810152529229</v>
      </c>
      <c r="F48" s="111"/>
      <c r="G48" s="15">
        <v>0</v>
      </c>
      <c r="H48" s="15">
        <v>0.1</v>
      </c>
      <c r="I48" s="113"/>
      <c r="K48" s="111"/>
      <c r="L48" s="24">
        <v>0</v>
      </c>
      <c r="M48" s="26">
        <v>66.590930941344368</v>
      </c>
      <c r="N48" s="113"/>
      <c r="P48" s="111"/>
      <c r="Q48" s="24">
        <v>0</v>
      </c>
      <c r="R48" s="26">
        <v>3051.7477821691537</v>
      </c>
      <c r="S48" s="113"/>
      <c r="U48" s="111"/>
      <c r="V48" s="24">
        <v>0</v>
      </c>
      <c r="W48" s="26">
        <v>130091.30415250045</v>
      </c>
      <c r="X48" s="113"/>
      <c r="Z48" s="111"/>
      <c r="AA48" s="24">
        <v>0</v>
      </c>
      <c r="AB48" s="26">
        <v>5512036.0609866614</v>
      </c>
      <c r="AC48" s="113"/>
      <c r="AE48" s="111"/>
      <c r="AF48" s="24">
        <v>0</v>
      </c>
      <c r="AG48" s="26">
        <v>233423864.89332789</v>
      </c>
      <c r="AH48" s="113"/>
      <c r="AJ48" s="111"/>
      <c r="AK48" s="24">
        <v>0</v>
      </c>
      <c r="AL48" s="26">
        <v>9884579942.8687325</v>
      </c>
      <c r="AM48" s="113"/>
      <c r="AP48" s="119">
        <f>W50</f>
        <v>1.9208499742054059</v>
      </c>
      <c r="AS48" s="95"/>
      <c r="AT48" s="100" t="s">
        <v>840</v>
      </c>
      <c r="AU48" s="100" t="s">
        <v>5</v>
      </c>
    </row>
    <row r="49" spans="2:48" ht="16.899999999999999" customHeight="1" x14ac:dyDescent="0.25">
      <c r="B49" s="98"/>
      <c r="C49" s="96"/>
      <c r="D49" s="96"/>
      <c r="F49" s="115"/>
      <c r="G49" s="15"/>
      <c r="H49" s="15"/>
      <c r="I49" s="116"/>
      <c r="K49" s="115"/>
      <c r="L49" s="24"/>
      <c r="M49" s="26"/>
      <c r="N49" s="116"/>
      <c r="P49" s="115"/>
      <c r="Q49" s="24"/>
      <c r="R49" s="26"/>
      <c r="S49" s="116"/>
      <c r="U49" s="115"/>
      <c r="V49" s="24"/>
      <c r="W49" s="26"/>
      <c r="X49" s="116"/>
      <c r="Z49" s="115"/>
      <c r="AA49" s="24"/>
      <c r="AB49" s="26"/>
      <c r="AC49" s="116"/>
      <c r="AE49" s="115"/>
      <c r="AF49" s="24"/>
      <c r="AG49" s="26"/>
      <c r="AH49" s="116"/>
      <c r="AJ49" s="115"/>
      <c r="AK49" s="24"/>
      <c r="AL49" s="26"/>
      <c r="AM49" s="116"/>
      <c r="AP49" s="119">
        <f>AB50</f>
        <v>1.926118196805837</v>
      </c>
      <c r="AS49" s="98" t="s">
        <v>840</v>
      </c>
      <c r="AT49" s="96" t="s">
        <v>872</v>
      </c>
      <c r="AU49" s="96" t="s">
        <v>873</v>
      </c>
    </row>
    <row r="50" spans="2:48" s="19" customFormat="1" ht="19.899999999999999" customHeight="1" thickBot="1" x14ac:dyDescent="0.3">
      <c r="B50"/>
      <c r="C50"/>
      <c r="D50"/>
      <c r="E50"/>
      <c r="F50"/>
      <c r="K50" s="23" t="s">
        <v>861</v>
      </c>
      <c r="L50" s="23"/>
      <c r="M50" s="117">
        <f>M48/M47</f>
        <v>1.3522080313294913</v>
      </c>
      <c r="N50" s="118"/>
      <c r="O50" s="118"/>
      <c r="P50" s="118"/>
      <c r="Q50" s="118"/>
      <c r="R50" s="117">
        <f>R48/R47</f>
        <v>1.8624251265362244</v>
      </c>
      <c r="S50" s="117"/>
      <c r="T50" s="117"/>
      <c r="U50" s="117"/>
      <c r="V50" s="117"/>
      <c r="W50" s="117">
        <f>W48/W47</f>
        <v>1.9208499742054059</v>
      </c>
      <c r="Z50" s="117"/>
      <c r="AA50" s="117"/>
      <c r="AB50" s="117">
        <f>AB48/AB47</f>
        <v>1.926118196805837</v>
      </c>
      <c r="AE50" s="117"/>
      <c r="AF50" s="117"/>
      <c r="AG50" s="117">
        <f>AG48/AG47</f>
        <v>1.9265819500907824</v>
      </c>
      <c r="AJ50" s="117"/>
      <c r="AK50" s="117"/>
      <c r="AL50" s="117">
        <f>AL48/AL47</f>
        <v>1.9266226862796434</v>
      </c>
      <c r="AP50" s="114">
        <f>AG50</f>
        <v>1.9265819500907824</v>
      </c>
      <c r="AS50" s="99" t="s">
        <v>5</v>
      </c>
      <c r="AT50" s="97" t="s">
        <v>873</v>
      </c>
      <c r="AU50" s="97" t="s">
        <v>874</v>
      </c>
      <c r="AV50"/>
    </row>
    <row r="51" spans="2:48" s="19" customFormat="1" ht="25.15" customHeight="1" x14ac:dyDescent="0.25">
      <c r="B51"/>
      <c r="C51"/>
      <c r="D51"/>
      <c r="E51"/>
      <c r="F51"/>
      <c r="N51"/>
      <c r="O51"/>
      <c r="P51"/>
      <c r="Q51"/>
      <c r="AP51" s="114">
        <f>AL50</f>
        <v>1.9266226862796434</v>
      </c>
    </row>
    <row r="52" spans="2:48" s="19" customFormat="1" ht="25.15" customHeight="1" thickBot="1" x14ac:dyDescent="0.4">
      <c r="B52"/>
      <c r="C52"/>
      <c r="D52"/>
      <c r="E52"/>
      <c r="F52"/>
      <c r="L52" s="3" t="s">
        <v>857</v>
      </c>
      <c r="Q52" s="3" t="s">
        <v>860</v>
      </c>
    </row>
    <row r="53" spans="2:48" s="19" customFormat="1" ht="25.15" customHeight="1" thickTop="1" x14ac:dyDescent="0.25">
      <c r="B53"/>
      <c r="C53"/>
      <c r="D53"/>
      <c r="E53"/>
      <c r="F53"/>
      <c r="G53" s="19" t="s">
        <v>853</v>
      </c>
      <c r="H53" s="19">
        <v>10</v>
      </c>
      <c r="K53" s="110"/>
      <c r="L53" s="24">
        <f>L47/$H$53</f>
        <v>0</v>
      </c>
      <c r="M53" s="24">
        <f>M47/$H$53</f>
        <v>4.9246069686387042</v>
      </c>
      <c r="N53" s="112"/>
      <c r="P53" s="110"/>
      <c r="Q53" s="24">
        <f>Q47/$H$54</f>
        <v>0</v>
      </c>
      <c r="R53" s="26">
        <f>R47/$H$54</f>
        <v>8.192940856218085</v>
      </c>
      <c r="S53" s="112"/>
    </row>
    <row r="54" spans="2:48" ht="19.899999999999999" customHeight="1" thickBot="1" x14ac:dyDescent="0.3">
      <c r="H54" s="19">
        <v>200</v>
      </c>
      <c r="K54" s="111"/>
      <c r="L54" s="24">
        <f>L48/$H$53</f>
        <v>0</v>
      </c>
      <c r="M54" s="24">
        <f>M48/$H$53</f>
        <v>6.6590930941344366</v>
      </c>
      <c r="N54" s="113"/>
      <c r="P54" s="111"/>
      <c r="Q54" s="24">
        <f>Q48/$H$54</f>
        <v>0</v>
      </c>
      <c r="R54" s="26">
        <f>R48/$H$54</f>
        <v>15.258738910845768</v>
      </c>
      <c r="S54" s="113"/>
    </row>
    <row r="55" spans="2:48" ht="19.899999999999999" customHeight="1" thickTop="1" x14ac:dyDescent="0.25"/>
    <row r="56" spans="2:48" ht="19.899999999999999" customHeight="1" x14ac:dyDescent="0.25"/>
    <row r="57" spans="2:48" ht="20.45" customHeight="1" x14ac:dyDescent="0.25"/>
    <row r="58" spans="2:48" ht="20.45" customHeight="1" x14ac:dyDescent="0.25"/>
    <row r="59" spans="2:48" ht="20.45" customHeight="1" x14ac:dyDescent="0.25"/>
    <row r="60" spans="2:48" ht="20.45" customHeight="1" x14ac:dyDescent="0.25"/>
    <row r="61" spans="2:48" ht="20.45" customHeight="1" x14ac:dyDescent="0.25"/>
    <row r="62" spans="2:48" ht="20.45" customHeight="1" x14ac:dyDescent="0.25"/>
    <row r="63" spans="2:48" ht="20.45" customHeight="1" x14ac:dyDescent="0.25"/>
    <row r="64" spans="2:48" ht="20.45" customHeight="1" x14ac:dyDescent="0.25"/>
    <row r="65" spans="29:48" ht="20.45" customHeight="1" x14ac:dyDescent="0.25"/>
    <row r="66" spans="29:48" ht="20.45" customHeight="1" x14ac:dyDescent="0.25"/>
    <row r="67" spans="29:48" ht="20.45" customHeight="1" x14ac:dyDescent="0.25"/>
    <row r="68" spans="29:48" ht="20.45" customHeight="1" x14ac:dyDescent="0.25"/>
    <row r="69" spans="29:48" ht="20.45" customHeight="1" x14ac:dyDescent="0.25"/>
    <row r="70" spans="29:48" ht="20.45" customHeight="1" x14ac:dyDescent="0.25"/>
    <row r="76" spans="29:48" s="19" customFormat="1" ht="32.450000000000003" customHeight="1" thickBot="1" x14ac:dyDescent="0.3">
      <c r="AC76" s="133"/>
      <c r="AD76" s="171" t="s">
        <v>893</v>
      </c>
      <c r="AE76" s="134"/>
      <c r="AF76" s="133"/>
      <c r="AG76" s="32" t="s">
        <v>863</v>
      </c>
      <c r="AH76" s="144" t="s">
        <v>862</v>
      </c>
      <c r="AJ76" s="19" t="s">
        <v>864</v>
      </c>
      <c r="AM76" s="132" t="s">
        <v>879</v>
      </c>
      <c r="AQ76" s="19" t="s">
        <v>865</v>
      </c>
      <c r="AU76" s="19" t="s">
        <v>866</v>
      </c>
    </row>
    <row r="77" spans="29:48" ht="27.6" customHeight="1" thickTop="1" x14ac:dyDescent="0.25">
      <c r="AC77" s="135"/>
      <c r="AD77" s="136">
        <v>-0.88759021000000005</v>
      </c>
      <c r="AE77" s="137"/>
      <c r="AF77" s="138"/>
      <c r="AG77" s="139">
        <f>AD78/AD77</f>
        <v>-0.51897139559482075</v>
      </c>
      <c r="AH77" s="134">
        <v>3.7195134200000002</v>
      </c>
      <c r="AJ77" s="4">
        <v>3</v>
      </c>
      <c r="AL77" s="110"/>
      <c r="AM77" s="123">
        <f>AD77*$AJ$77*AH77</f>
        <v>-9.9042110926668556</v>
      </c>
      <c r="AN77" s="112"/>
      <c r="AQ77" s="15">
        <v>0</v>
      </c>
      <c r="AR77" s="75">
        <f>AM77</f>
        <v>-9.9042110926668556</v>
      </c>
      <c r="AT77" t="s">
        <v>868</v>
      </c>
      <c r="AU77" s="15">
        <v>0</v>
      </c>
      <c r="AV77" s="124">
        <f>AD77</f>
        <v>-0.88759021000000005</v>
      </c>
    </row>
    <row r="78" spans="29:48" ht="27.6" customHeight="1" thickBot="1" x14ac:dyDescent="0.3">
      <c r="AC78" s="140"/>
      <c r="AD78" s="136">
        <v>0.46063393000000002</v>
      </c>
      <c r="AE78" s="141"/>
      <c r="AF78" s="138"/>
      <c r="AG78" s="139"/>
      <c r="AH78" s="142"/>
      <c r="AL78" s="111"/>
      <c r="AM78" s="123">
        <f>AD78*$AJ$77*AH77</f>
        <v>5.1400022530270224</v>
      </c>
      <c r="AN78" s="113"/>
      <c r="AQ78" s="15">
        <v>0</v>
      </c>
      <c r="AR78" s="75">
        <f>AM78</f>
        <v>5.1400022530270224</v>
      </c>
      <c r="AU78" s="15">
        <v>0</v>
      </c>
      <c r="AV78" s="124">
        <f>AD78</f>
        <v>0.46063393000000002</v>
      </c>
    </row>
    <row r="79" spans="29:48" ht="13.15" customHeight="1" thickTop="1" thickBot="1" x14ac:dyDescent="0.3">
      <c r="AC79" s="138"/>
      <c r="AD79" s="143"/>
      <c r="AE79" s="138"/>
      <c r="AF79" s="138"/>
      <c r="AG79" s="139"/>
      <c r="AH79" s="142"/>
      <c r="AU79" s="15"/>
      <c r="AV79" s="15"/>
    </row>
    <row r="80" spans="29:48" ht="27.6" customHeight="1" thickTop="1" x14ac:dyDescent="0.25">
      <c r="AC80" s="135"/>
      <c r="AD80" s="136">
        <v>-0.46063393000000002</v>
      </c>
      <c r="AE80" s="137"/>
      <c r="AF80" s="138"/>
      <c r="AG80" s="139">
        <f>AD81/AD80</f>
        <v>1.9268884730223845</v>
      </c>
      <c r="AH80" s="134">
        <v>42.351869909999998</v>
      </c>
      <c r="AJ80" s="4">
        <v>1</v>
      </c>
      <c r="AL80" s="110"/>
      <c r="AM80" s="123">
        <f>AD80*$AH$80*$AJ$80</f>
        <v>-19.508708279492048</v>
      </c>
      <c r="AN80" s="112"/>
      <c r="AQ80" s="15">
        <v>0</v>
      </c>
      <c r="AR80" s="75">
        <f>AM80</f>
        <v>-19.508708279492048</v>
      </c>
      <c r="AT80" t="s">
        <v>869</v>
      </c>
      <c r="AU80" s="15">
        <v>0</v>
      </c>
      <c r="AV80" s="124">
        <f>AD80</f>
        <v>-0.46063393000000002</v>
      </c>
    </row>
    <row r="81" spans="28:48" ht="27.6" customHeight="1" thickBot="1" x14ac:dyDescent="0.3">
      <c r="AC81" s="140"/>
      <c r="AD81" s="136">
        <v>-0.88759021000000005</v>
      </c>
      <c r="AE81" s="141"/>
      <c r="AF81" s="138"/>
      <c r="AG81" s="138"/>
      <c r="AH81" s="138"/>
      <c r="AL81" s="111"/>
      <c r="AM81" s="123">
        <f>AD81*$AH$80*$AJ$80</f>
        <v>-37.591105107309581</v>
      </c>
      <c r="AN81" s="113"/>
      <c r="AQ81" s="15">
        <v>0</v>
      </c>
      <c r="AR81" s="75">
        <f>AM81</f>
        <v>-37.591105107309581</v>
      </c>
      <c r="AU81" s="15">
        <v>0</v>
      </c>
      <c r="AV81" s="124">
        <f>AD81</f>
        <v>-0.88759021000000005</v>
      </c>
    </row>
    <row r="82" spans="28:48" ht="24.6" customHeight="1" thickTop="1" x14ac:dyDescent="0.25"/>
    <row r="84" spans="28:48" ht="21.6" customHeight="1" x14ac:dyDescent="0.25">
      <c r="AQ84" s="15"/>
      <c r="AR84" s="75"/>
    </row>
    <row r="85" spans="28:48" ht="21.6" customHeight="1" x14ac:dyDescent="0.25">
      <c r="AQ85" s="15"/>
      <c r="AR85" s="75"/>
    </row>
    <row r="86" spans="28:48" ht="21.6" customHeight="1" x14ac:dyDescent="0.25"/>
    <row r="88" spans="28:48" x14ac:dyDescent="0.25">
      <c r="AB88" t="s">
        <v>880</v>
      </c>
    </row>
    <row r="101" spans="1:17" x14ac:dyDescent="0.25">
      <c r="A101" s="3" t="s">
        <v>870</v>
      </c>
    </row>
    <row r="102" spans="1:17" ht="15.75" thickBot="1" x14ac:dyDescent="0.3"/>
    <row r="103" spans="1:17" ht="15.75" thickBot="1" x14ac:dyDescent="0.3">
      <c r="B103" s="175" t="s">
        <v>851</v>
      </c>
      <c r="C103" s="176"/>
      <c r="L103" s="175" t="s">
        <v>851</v>
      </c>
      <c r="M103" s="176"/>
    </row>
    <row r="104" spans="1:17" ht="16.5" thickTop="1" thickBot="1" x14ac:dyDescent="0.3">
      <c r="B104" s="101" t="s">
        <v>840</v>
      </c>
      <c r="C104" s="102" t="s">
        <v>858</v>
      </c>
      <c r="E104" s="1" t="s">
        <v>867</v>
      </c>
      <c r="F104" s="121"/>
      <c r="G104" s="123">
        <v>-0.88759021000000005</v>
      </c>
      <c r="H104" s="123">
        <v>0.46063393000000002</v>
      </c>
      <c r="I104" s="122"/>
      <c r="L104" s="101" t="s">
        <v>840</v>
      </c>
      <c r="M104" s="102" t="s">
        <v>858</v>
      </c>
    </row>
    <row r="105" spans="1:17" ht="16.5" thickTop="1" thickBot="1" x14ac:dyDescent="0.3">
      <c r="B105" s="125">
        <f t="shared" ref="B105:C116" si="4">C29</f>
        <v>-5.5</v>
      </c>
      <c r="C105" s="126">
        <f t="shared" si="4"/>
        <v>-11.486936765510089</v>
      </c>
      <c r="E105" s="1"/>
      <c r="F105" s="1"/>
      <c r="G105" s="120"/>
      <c r="H105" s="120"/>
      <c r="I105" s="1"/>
      <c r="J105" s="1"/>
      <c r="L105" s="125">
        <f t="shared" ref="L105:L116" si="5">SUMPRODUCT(B105:C105,$G$106:$H$106)</f>
        <v>12.729179230955822</v>
      </c>
      <c r="M105" s="125">
        <f t="shared" ref="M105:M116" si="6">SUMPRODUCT(B105:C105,$G$104:$H$104)</f>
        <v>-0.40952667095840134</v>
      </c>
      <c r="Q105">
        <v>0</v>
      </c>
    </row>
    <row r="106" spans="1:17" ht="16.5" thickTop="1" thickBot="1" x14ac:dyDescent="0.3">
      <c r="B106" s="7">
        <f t="shared" si="4"/>
        <v>-4.5</v>
      </c>
      <c r="C106" s="103">
        <f t="shared" si="4"/>
        <v>-5.5028447282102135</v>
      </c>
      <c r="E106" s="1" t="s">
        <v>871</v>
      </c>
      <c r="F106" s="121"/>
      <c r="G106" s="123">
        <v>-0.46063393000000002</v>
      </c>
      <c r="H106" s="123">
        <v>-0.88759021000000005</v>
      </c>
      <c r="I106" s="122"/>
      <c r="L106" s="7">
        <f t="shared" si="5"/>
        <v>6.9571237929094965</v>
      </c>
      <c r="M106" s="7">
        <f t="shared" si="6"/>
        <v>1.4593589516647474</v>
      </c>
      <c r="Q106">
        <v>0</v>
      </c>
    </row>
    <row r="107" spans="1:17" ht="15.75" thickTop="1" x14ac:dyDescent="0.25">
      <c r="B107" s="7">
        <f t="shared" si="4"/>
        <v>-3.5</v>
      </c>
      <c r="C107" s="103">
        <f t="shared" si="4"/>
        <v>-2.4787505026593823</v>
      </c>
      <c r="L107" s="7">
        <f t="shared" si="5"/>
        <v>3.8123334341930466</v>
      </c>
      <c r="M107" s="7">
        <f t="shared" si="6"/>
        <v>1.9647691494705335</v>
      </c>
      <c r="Q107">
        <v>0</v>
      </c>
    </row>
    <row r="108" spans="1:17" x14ac:dyDescent="0.25">
      <c r="B108" s="7">
        <f t="shared" si="4"/>
        <v>-2.5</v>
      </c>
      <c r="C108" s="103">
        <f t="shared" si="4"/>
        <v>-1.7326442998180003</v>
      </c>
      <c r="L108" s="7">
        <f t="shared" si="5"/>
        <v>2.6894629429307617</v>
      </c>
      <c r="M108" s="7">
        <f t="shared" si="6"/>
        <v>1.4208607718827366</v>
      </c>
      <c r="Q108">
        <v>0</v>
      </c>
    </row>
    <row r="109" spans="1:17" x14ac:dyDescent="0.25">
      <c r="B109" s="7">
        <f t="shared" si="4"/>
        <v>-1.5</v>
      </c>
      <c r="C109" s="103">
        <f t="shared" si="4"/>
        <v>-4.6400926726284295</v>
      </c>
      <c r="L109" s="7">
        <f t="shared" si="5"/>
        <v>4.8094517247177295</v>
      </c>
      <c r="M109" s="7">
        <f t="shared" si="6"/>
        <v>-0.80599880835703686</v>
      </c>
      <c r="Q109">
        <v>0</v>
      </c>
    </row>
    <row r="110" spans="1:17" x14ac:dyDescent="0.25">
      <c r="B110" s="7">
        <f t="shared" si="4"/>
        <v>-0.5</v>
      </c>
      <c r="C110" s="103">
        <f t="shared" si="4"/>
        <v>-1.5090490610351939</v>
      </c>
      <c r="L110" s="7">
        <f t="shared" si="5"/>
        <v>1.5697341379845307</v>
      </c>
      <c r="M110" s="7">
        <f t="shared" si="6"/>
        <v>-0.25132409454745125</v>
      </c>
      <c r="Q110">
        <v>0</v>
      </c>
    </row>
    <row r="111" spans="1:17" x14ac:dyDescent="0.25">
      <c r="B111" s="7">
        <f t="shared" si="4"/>
        <v>0.5</v>
      </c>
      <c r="C111" s="103">
        <f t="shared" si="4"/>
        <v>3.5115320701944093</v>
      </c>
      <c r="L111" s="7">
        <f t="shared" si="5"/>
        <v>-3.3471184526055908</v>
      </c>
      <c r="M111" s="7">
        <f t="shared" si="6"/>
        <v>1.1737357128146868</v>
      </c>
      <c r="Q111">
        <v>0</v>
      </c>
    </row>
    <row r="112" spans="1:17" x14ac:dyDescent="0.25">
      <c r="B112" s="7">
        <f t="shared" si="4"/>
        <v>1.5</v>
      </c>
      <c r="C112" s="103">
        <f t="shared" si="4"/>
        <v>9.6015737586201357</v>
      </c>
      <c r="L112" s="7">
        <f t="shared" si="5"/>
        <v>-9.213213763744136</v>
      </c>
      <c r="M112" s="7">
        <f t="shared" si="6"/>
        <v>3.0914253396180644</v>
      </c>
      <c r="Q112">
        <v>0</v>
      </c>
    </row>
    <row r="113" spans="2:17" x14ac:dyDescent="0.25">
      <c r="B113" s="7">
        <f t="shared" si="4"/>
        <v>2.5</v>
      </c>
      <c r="C113" s="103">
        <f t="shared" si="4"/>
        <v>2.7400008862585583</v>
      </c>
      <c r="L113" s="7">
        <f t="shared" si="5"/>
        <v>-3.5835827870344201</v>
      </c>
      <c r="M113" s="7">
        <f t="shared" si="6"/>
        <v>-0.95683814855923743</v>
      </c>
      <c r="Q113">
        <v>0</v>
      </c>
    </row>
    <row r="114" spans="2:17" x14ac:dyDescent="0.25">
      <c r="B114" s="7">
        <f t="shared" si="4"/>
        <v>3.5</v>
      </c>
      <c r="C114" s="103">
        <f t="shared" si="4"/>
        <v>3.3471519122045965</v>
      </c>
      <c r="L114" s="7">
        <f t="shared" si="5"/>
        <v>-4.5831180236555795</v>
      </c>
      <c r="M114" s="7">
        <f t="shared" si="6"/>
        <v>-1.5647539953741818</v>
      </c>
      <c r="Q114">
        <v>0</v>
      </c>
    </row>
    <row r="115" spans="2:17" x14ac:dyDescent="0.25">
      <c r="B115" s="7">
        <f t="shared" si="4"/>
        <v>4.5</v>
      </c>
      <c r="C115" s="103">
        <f t="shared" si="4"/>
        <v>-1.3170205352811077</v>
      </c>
      <c r="L115" s="7">
        <f t="shared" si="5"/>
        <v>-0.90387815151552919</v>
      </c>
      <c r="M115" s="7">
        <f t="shared" si="6"/>
        <v>-4.6008202900572401</v>
      </c>
      <c r="Q115">
        <v>0</v>
      </c>
    </row>
    <row r="116" spans="2:17" ht="15.75" thickBot="1" x14ac:dyDescent="0.3">
      <c r="B116" s="127">
        <f t="shared" si="4"/>
        <v>5.5</v>
      </c>
      <c r="C116" s="128">
        <f t="shared" si="4"/>
        <v>9.4670799378647157</v>
      </c>
      <c r="L116" s="127">
        <f t="shared" si="5"/>
        <v>-10.93637408513613</v>
      </c>
      <c r="M116" s="128">
        <f t="shared" si="6"/>
        <v>-0.52088791759721964</v>
      </c>
      <c r="Q116">
        <v>0</v>
      </c>
    </row>
    <row r="120" spans="2:17" x14ac:dyDescent="0.25">
      <c r="G120">
        <f>(B105*G106)+(C105*H106)</f>
        <v>12.729179230955822</v>
      </c>
      <c r="H120">
        <f>(B105*G104)+(C105*H104)</f>
        <v>-0.40952667095840134</v>
      </c>
    </row>
  </sheetData>
  <mergeCells count="5">
    <mergeCell ref="C7:D7"/>
    <mergeCell ref="G7:H7"/>
    <mergeCell ref="C27:D27"/>
    <mergeCell ref="B103:C103"/>
    <mergeCell ref="L103:M103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Distance</vt:lpstr>
      <vt:lpstr>Hyper-sphere</vt:lpstr>
      <vt:lpstr>MNIST Demo</vt:lpstr>
      <vt:lpstr>Simple X-Y</vt:lpstr>
      <vt:lpstr>Eigen</vt:lpstr>
      <vt:lpstr>Eigen (2)</vt:lpstr>
      <vt:lpstr>_A</vt:lpstr>
      <vt:lpstr>_M</vt:lpstr>
      <vt:lpstr>Eigen!_SD</vt:lpstr>
      <vt:lpstr>'Eigen (2)'!_SD</vt:lpstr>
      <vt:lpstr>_SD</vt:lpstr>
      <vt:lpstr>Distance!numDimensions</vt:lpstr>
      <vt:lpstr>Eigen!PI_div_2</vt:lpstr>
      <vt:lpstr>'Eigen (2)'!PI_div_2</vt:lpstr>
      <vt:lpstr>PI_div_2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Collins</dc:creator>
  <cp:lastModifiedBy>Rob Collins</cp:lastModifiedBy>
  <dcterms:created xsi:type="dcterms:W3CDTF">2019-12-25T07:38:08Z</dcterms:created>
  <dcterms:modified xsi:type="dcterms:W3CDTF">2021-06-07T16:36:18Z</dcterms:modified>
</cp:coreProperties>
</file>