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35" yWindow="930" windowWidth="22980" windowHeight="9555"/>
  </bookViews>
  <sheets>
    <sheet name="Auto" sheetId="4" r:id="rId1"/>
    <sheet name="Excel Data Analysis" sheetId="2" r:id="rId2"/>
    <sheet name="Sensitivity" sheetId="12" r:id="rId3"/>
    <sheet name="Generator" sheetId="1" r:id="rId4"/>
    <sheet name="Matrix Graphics" sheetId="6" r:id="rId5"/>
    <sheet name="Matrix operators" sheetId="7" r:id="rId6"/>
    <sheet name="matrix addition" sheetId="8" r:id="rId7"/>
    <sheet name="matrix multiplication" sheetId="9" r:id="rId8"/>
    <sheet name="Mat mul 2" sheetId="10" r:id="rId9"/>
    <sheet name="Transpose" sheetId="11" r:id="rId10"/>
    <sheet name="CSV" sheetId="5" r:id="rId11"/>
  </sheets>
  <definedNames>
    <definedName name="A">'Matrix operators'!$C$4:$E$5</definedName>
    <definedName name="B">'Matrix operators'!$I$4:$J$6</definedName>
    <definedName name="D">'Matrix operators'!$Y$4:$AA$6</definedName>
    <definedName name="E">'Matrix operators'!$AE$4:$AE$6</definedName>
    <definedName name="solver_adj" localSheetId="1" hidden="1">'Excel Data Analysis'!#REF!</definedName>
    <definedName name="solver_adj" localSheetId="2" hidden="1">Sensitivity!$B$5:$H$5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'Excel Data Analysis'!#REF!</definedName>
    <definedName name="solver_lhs1" localSheetId="2" hidden="1">Sensitivity!$H$5</definedName>
    <definedName name="solver_lhs2" localSheetId="1" hidden="1">'Excel Data Analysis'!#REF!</definedName>
    <definedName name="solver_lhs2" localSheetId="2" hidden="1">Sensitivity!$H$5</definedName>
    <definedName name="solver_lhs3" localSheetId="1" hidden="1">'Excel Data Analysis'!#REF!</definedName>
    <definedName name="solver_lhs3" localSheetId="2" hidden="1">Sensitivity!$H$5</definedName>
    <definedName name="solver_lhs4" localSheetId="1" hidden="1">'Excel Data Analysis'!#REF!</definedName>
    <definedName name="solver_lhs4" localSheetId="2" hidden="1">Sensitivity!$H$5</definedName>
    <definedName name="solver_lhs5" localSheetId="1" hidden="1">'Excel Data Analysis'!#REF!</definedName>
    <definedName name="solver_lhs5" localSheetId="2" hidden="1">Sensitivity!$H$5</definedName>
    <definedName name="solver_lhs6" localSheetId="1" hidden="1">'Excel Data Analysis'!#REF!</definedName>
    <definedName name="solver_lhs6" localSheetId="2" hidden="1">Sensitivity!$H$5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2</definedName>
    <definedName name="solver_neg" localSheetId="2" hidden="1">2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'Excel Data Analysis'!#REF!</definedName>
    <definedName name="solver_opt" localSheetId="2" hidden="1">Sensitivity!$J$5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3</definedName>
    <definedName name="solver_rel1" localSheetId="2" hidden="1">3</definedName>
    <definedName name="solver_rel2" localSheetId="1" hidden="1">3</definedName>
    <definedName name="solver_rel2" localSheetId="2" hidden="1">3</definedName>
    <definedName name="solver_rel3" localSheetId="1" hidden="1">3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1" hidden="1">3</definedName>
    <definedName name="solver_rel5" localSheetId="2" hidden="1">3</definedName>
    <definedName name="solver_rel6" localSheetId="1" hidden="1">3</definedName>
    <definedName name="solver_rel6" localSheetId="2" hidden="1">3</definedName>
    <definedName name="solver_rhs1" localSheetId="1" hidden="1">0</definedName>
    <definedName name="solver_rhs1" localSheetId="2" hidden="1">0</definedName>
    <definedName name="solver_rhs2" localSheetId="1" hidden="1">0</definedName>
    <definedName name="solver_rhs2" localSheetId="2" hidden="1">0</definedName>
    <definedName name="solver_rhs3" localSheetId="1" hidden="1">0</definedName>
    <definedName name="solver_rhs3" localSheetId="2" hidden="1">0</definedName>
    <definedName name="solver_rhs4" localSheetId="1" hidden="1">0</definedName>
    <definedName name="solver_rhs4" localSheetId="2" hidden="1">0</definedName>
    <definedName name="solver_rhs5" localSheetId="1" hidden="1">0</definedName>
    <definedName name="solver_rhs5" localSheetId="2" hidden="1">0</definedName>
    <definedName name="solver_rhs6" localSheetId="1" hidden="1">0</definedName>
    <definedName name="solver_rhs6" localSheetId="2" hidden="1">0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  <definedName name="theta_0" localSheetId="0">Auto!$B$5</definedName>
    <definedName name="theta_0" localSheetId="2">Sensitivity!$B$5</definedName>
    <definedName name="theta_1" localSheetId="0">Auto!$C$5</definedName>
    <definedName name="theta_1" localSheetId="2">Sensitivity!$C$5</definedName>
    <definedName name="theta_2" localSheetId="0">Auto!$D$5</definedName>
    <definedName name="theta_2" localSheetId="2">Sensitivity!$D$5</definedName>
    <definedName name="theta_3" localSheetId="0">Auto!$E$5</definedName>
    <definedName name="theta_3" localSheetId="2">Sensitivity!$E$5</definedName>
    <definedName name="theta_4" localSheetId="0">Auto!$F$5</definedName>
    <definedName name="theta_4" localSheetId="2">Sensitivity!$F$5</definedName>
    <definedName name="theta_5" localSheetId="0">Auto!$G$5</definedName>
    <definedName name="theta_5" localSheetId="2">Sensitivity!$G$5</definedName>
    <definedName name="theta_6" localSheetId="0">Auto!$H$5</definedName>
    <definedName name="theta_6" localSheetId="2">Sensitivity!$H$5</definedName>
  </definedNames>
  <calcPr calcId="145621"/>
</workbook>
</file>

<file path=xl/calcChain.xml><?xml version="1.0" encoding="utf-8"?>
<calcChain xmlns="http://schemas.openxmlformats.org/spreadsheetml/2006/main">
  <c r="K9" i="11" l="1"/>
  <c r="J9" i="11"/>
  <c r="L8" i="11"/>
  <c r="L7" i="11"/>
  <c r="J7" i="11" a="1"/>
  <c r="L9" i="11" s="1"/>
  <c r="J7" i="11"/>
  <c r="J2" i="11" a="1"/>
  <c r="L2" i="11" s="1"/>
  <c r="N1" i="10" a="1"/>
  <c r="P1" i="10" s="1"/>
  <c r="BF18" i="9"/>
  <c r="BG17" i="9"/>
  <c r="BH16" i="9"/>
  <c r="BG16" i="9"/>
  <c r="BD16" i="9"/>
  <c r="BF15" i="9"/>
  <c r="BE15" i="9"/>
  <c r="BD15" i="9"/>
  <c r="BF14" i="9"/>
  <c r="BD14" i="9" a="1"/>
  <c r="BH18" i="9" s="1"/>
  <c r="BD14" i="9"/>
  <c r="O4" i="9"/>
  <c r="O3" i="9"/>
  <c r="O2" i="9" a="1"/>
  <c r="O2" i="9"/>
  <c r="N4" i="8"/>
  <c r="M4" i="8"/>
  <c r="N3" i="8"/>
  <c r="M3" i="8"/>
  <c r="N2" i="8"/>
  <c r="M2" i="8"/>
  <c r="BP28" i="7" a="1"/>
  <c r="BR28" i="7" s="1"/>
  <c r="AZ25" i="7"/>
  <c r="AY25" i="7"/>
  <c r="AZ24" i="7"/>
  <c r="AY24" i="7"/>
  <c r="AZ23" i="7"/>
  <c r="AY23" i="7"/>
  <c r="AZ21" i="7"/>
  <c r="AY21" i="7"/>
  <c r="AZ20" i="7"/>
  <c r="AY20" i="7"/>
  <c r="AZ19" i="7"/>
  <c r="AY19" i="7"/>
  <c r="J17" i="7"/>
  <c r="I16" i="7"/>
  <c r="J12" i="7"/>
  <c r="J18" i="7" s="1"/>
  <c r="I12" i="7"/>
  <c r="I18" i="7" s="1"/>
  <c r="J11" i="7"/>
  <c r="I11" i="7"/>
  <c r="I17" i="7" s="1"/>
  <c r="J10" i="7"/>
  <c r="J16" i="7" s="1"/>
  <c r="I10" i="7" a="1"/>
  <c r="I10" i="7"/>
  <c r="AK4" i="7" a="1"/>
  <c r="AK6" i="7" s="1"/>
  <c r="S4" i="7" a="1"/>
  <c r="U4" i="7" s="1"/>
  <c r="O5" i="7"/>
  <c r="N5" i="7"/>
  <c r="O4" i="7"/>
  <c r="N4" i="7" a="1"/>
  <c r="N4" i="7"/>
  <c r="BL43" i="6"/>
  <c r="BK43" i="6"/>
  <c r="BJ43" i="6"/>
  <c r="BL42" i="6"/>
  <c r="BK42" i="6"/>
  <c r="BJ42" i="6"/>
  <c r="BL41" i="6"/>
  <c r="BK41" i="6"/>
  <c r="BJ41" i="6"/>
  <c r="BL40" i="6"/>
  <c r="BK40" i="6"/>
  <c r="BJ40" i="6"/>
  <c r="BL39" i="6"/>
  <c r="BK39" i="6"/>
  <c r="BJ39" i="6"/>
  <c r="BL37" i="6"/>
  <c r="BK37" i="6"/>
  <c r="BJ37" i="6"/>
  <c r="BL36" i="6"/>
  <c r="BK36" i="6"/>
  <c r="BJ36" i="6"/>
  <c r="BL35" i="6"/>
  <c r="BK35" i="6"/>
  <c r="BJ35" i="6"/>
  <c r="BL34" i="6"/>
  <c r="BK34" i="6"/>
  <c r="BJ34" i="6"/>
  <c r="BL33" i="6"/>
  <c r="BK33" i="6"/>
  <c r="BJ33" i="6"/>
  <c r="BL32" i="6"/>
  <c r="BK32" i="6"/>
  <c r="BJ32" i="6"/>
  <c r="BL31" i="6"/>
  <c r="BK31" i="6"/>
  <c r="BJ31" i="6"/>
  <c r="BL30" i="6"/>
  <c r="BK30" i="6"/>
  <c r="BJ30" i="6"/>
  <c r="BL29" i="6"/>
  <c r="BK29" i="6"/>
  <c r="BJ29" i="6"/>
  <c r="BU28" i="6"/>
  <c r="BT28" i="6"/>
  <c r="BS28" i="6"/>
  <c r="BR28" i="6"/>
  <c r="BQ28" i="6"/>
  <c r="BL28" i="6"/>
  <c r="BK28" i="6"/>
  <c r="BJ28" i="6"/>
  <c r="BU27" i="6"/>
  <c r="BT27" i="6"/>
  <c r="BS27" i="6"/>
  <c r="BR27" i="6"/>
  <c r="BQ27" i="6"/>
  <c r="R27" i="12"/>
  <c r="Q27" i="12"/>
  <c r="P27" i="12"/>
  <c r="O27" i="12"/>
  <c r="N27" i="12"/>
  <c r="M27" i="12"/>
  <c r="L27" i="12"/>
  <c r="R26" i="12"/>
  <c r="Q26" i="12"/>
  <c r="P26" i="12"/>
  <c r="O26" i="12"/>
  <c r="N26" i="12"/>
  <c r="M26" i="12"/>
  <c r="L26" i="12"/>
  <c r="R25" i="12"/>
  <c r="Q25" i="12"/>
  <c r="P25" i="12"/>
  <c r="O25" i="12"/>
  <c r="N25" i="12"/>
  <c r="M25" i="12"/>
  <c r="L25" i="12"/>
  <c r="R24" i="12"/>
  <c r="Q24" i="12"/>
  <c r="P24" i="12"/>
  <c r="O24" i="12"/>
  <c r="N24" i="12"/>
  <c r="M24" i="12"/>
  <c r="L24" i="12"/>
  <c r="R23" i="12"/>
  <c r="Q23" i="12"/>
  <c r="P23" i="12"/>
  <c r="O23" i="12"/>
  <c r="N23" i="12"/>
  <c r="M23" i="12"/>
  <c r="L23" i="12"/>
  <c r="R22" i="12"/>
  <c r="Q22" i="12"/>
  <c r="P22" i="12"/>
  <c r="O22" i="12"/>
  <c r="N22" i="12"/>
  <c r="M22" i="12"/>
  <c r="L22" i="12"/>
  <c r="R21" i="12"/>
  <c r="Q21" i="12"/>
  <c r="P21" i="12"/>
  <c r="O21" i="12"/>
  <c r="N21" i="12"/>
  <c r="M21" i="12"/>
  <c r="L21" i="12"/>
  <c r="R20" i="12"/>
  <c r="Q20" i="12"/>
  <c r="P20" i="12"/>
  <c r="O20" i="12"/>
  <c r="N20" i="12"/>
  <c r="M20" i="12"/>
  <c r="L20" i="12"/>
  <c r="R19" i="12"/>
  <c r="Q19" i="12"/>
  <c r="P19" i="12"/>
  <c r="O19" i="12"/>
  <c r="N19" i="12"/>
  <c r="M19" i="12"/>
  <c r="L19" i="12"/>
  <c r="R18" i="12"/>
  <c r="Q18" i="12"/>
  <c r="P18" i="12"/>
  <c r="O18" i="12"/>
  <c r="N18" i="12"/>
  <c r="M18" i="12"/>
  <c r="L18" i="12"/>
  <c r="R17" i="12"/>
  <c r="Q17" i="12"/>
  <c r="P17" i="12"/>
  <c r="O17" i="12"/>
  <c r="N17" i="12"/>
  <c r="M17" i="12"/>
  <c r="L17" i="12"/>
  <c r="R16" i="12"/>
  <c r="Q16" i="12"/>
  <c r="P16" i="12"/>
  <c r="O16" i="12"/>
  <c r="N16" i="12"/>
  <c r="M16" i="12"/>
  <c r="L16" i="12"/>
  <c r="R15" i="12"/>
  <c r="Q15" i="12"/>
  <c r="P15" i="12"/>
  <c r="O15" i="12"/>
  <c r="N15" i="12"/>
  <c r="M15" i="12"/>
  <c r="L15" i="12"/>
  <c r="R14" i="12"/>
  <c r="Q14" i="12"/>
  <c r="P14" i="12"/>
  <c r="O14" i="12"/>
  <c r="N14" i="12"/>
  <c r="M14" i="12"/>
  <c r="L14" i="12"/>
  <c r="R13" i="12"/>
  <c r="Q13" i="12"/>
  <c r="P13" i="12"/>
  <c r="O13" i="12"/>
  <c r="N13" i="12"/>
  <c r="M13" i="12"/>
  <c r="L13" i="12"/>
  <c r="R12" i="12"/>
  <c r="Q12" i="12"/>
  <c r="P12" i="12"/>
  <c r="O12" i="12"/>
  <c r="N12" i="12"/>
  <c r="M12" i="12"/>
  <c r="L12" i="12"/>
  <c r="R11" i="12"/>
  <c r="Q11" i="12"/>
  <c r="P11" i="12"/>
  <c r="O11" i="12"/>
  <c r="N11" i="12"/>
  <c r="M11" i="12"/>
  <c r="L11" i="12"/>
  <c r="R27" i="4"/>
  <c r="Q27" i="4"/>
  <c r="P27" i="4"/>
  <c r="O27" i="4"/>
  <c r="N27" i="4"/>
  <c r="T27" i="4" s="1"/>
  <c r="V27" i="4" s="1"/>
  <c r="X27" i="4" s="1"/>
  <c r="M27" i="4"/>
  <c r="L27" i="4"/>
  <c r="R26" i="4"/>
  <c r="Q26" i="4"/>
  <c r="P26" i="4"/>
  <c r="O26" i="4"/>
  <c r="N26" i="4"/>
  <c r="M26" i="4"/>
  <c r="L26" i="4"/>
  <c r="T26" i="4" s="1"/>
  <c r="V26" i="4" s="1"/>
  <c r="X26" i="4" s="1"/>
  <c r="R25" i="4"/>
  <c r="Q25" i="4"/>
  <c r="P25" i="4"/>
  <c r="O25" i="4"/>
  <c r="N25" i="4"/>
  <c r="M25" i="4"/>
  <c r="T25" i="4" s="1"/>
  <c r="V25" i="4" s="1"/>
  <c r="X25" i="4" s="1"/>
  <c r="L25" i="4"/>
  <c r="R24" i="4"/>
  <c r="Q24" i="4"/>
  <c r="P24" i="4"/>
  <c r="O24" i="4"/>
  <c r="N24" i="4"/>
  <c r="M24" i="4"/>
  <c r="L24" i="4"/>
  <c r="T24" i="4" s="1"/>
  <c r="V24" i="4" s="1"/>
  <c r="X24" i="4" s="1"/>
  <c r="R23" i="4"/>
  <c r="Q23" i="4"/>
  <c r="P23" i="4"/>
  <c r="O23" i="4"/>
  <c r="N23" i="4"/>
  <c r="T23" i="4" s="1"/>
  <c r="V23" i="4" s="1"/>
  <c r="X23" i="4" s="1"/>
  <c r="M23" i="4"/>
  <c r="L23" i="4"/>
  <c r="R22" i="4"/>
  <c r="Q22" i="4"/>
  <c r="P22" i="4"/>
  <c r="O22" i="4"/>
  <c r="N22" i="4"/>
  <c r="M22" i="4"/>
  <c r="L22" i="4"/>
  <c r="T22" i="4" s="1"/>
  <c r="V22" i="4" s="1"/>
  <c r="X22" i="4" s="1"/>
  <c r="R21" i="4"/>
  <c r="Q21" i="4"/>
  <c r="P21" i="4"/>
  <c r="O21" i="4"/>
  <c r="N21" i="4"/>
  <c r="M21" i="4"/>
  <c r="T21" i="4" s="1"/>
  <c r="V21" i="4" s="1"/>
  <c r="X21" i="4" s="1"/>
  <c r="L21" i="4"/>
  <c r="R20" i="4"/>
  <c r="Q20" i="4"/>
  <c r="P20" i="4"/>
  <c r="O20" i="4"/>
  <c r="N20" i="4"/>
  <c r="M20" i="4"/>
  <c r="L20" i="4"/>
  <c r="T20" i="4" s="1"/>
  <c r="V20" i="4" s="1"/>
  <c r="X20" i="4" s="1"/>
  <c r="R19" i="4"/>
  <c r="Q19" i="4"/>
  <c r="P19" i="4"/>
  <c r="O19" i="4"/>
  <c r="N19" i="4"/>
  <c r="T19" i="4" s="1"/>
  <c r="V19" i="4" s="1"/>
  <c r="X19" i="4" s="1"/>
  <c r="M19" i="4"/>
  <c r="L19" i="4"/>
  <c r="R18" i="4"/>
  <c r="Q18" i="4"/>
  <c r="P18" i="4"/>
  <c r="O18" i="4"/>
  <c r="N18" i="4"/>
  <c r="M18" i="4"/>
  <c r="L18" i="4"/>
  <c r="T18" i="4" s="1"/>
  <c r="V18" i="4" s="1"/>
  <c r="X18" i="4" s="1"/>
  <c r="R17" i="4"/>
  <c r="Q17" i="4"/>
  <c r="P17" i="4"/>
  <c r="O17" i="4"/>
  <c r="N17" i="4"/>
  <c r="M17" i="4"/>
  <c r="T17" i="4" s="1"/>
  <c r="V17" i="4" s="1"/>
  <c r="X17" i="4" s="1"/>
  <c r="L17" i="4"/>
  <c r="R16" i="4"/>
  <c r="Q16" i="4"/>
  <c r="P16" i="4"/>
  <c r="O16" i="4"/>
  <c r="N16" i="4"/>
  <c r="M16" i="4"/>
  <c r="L16" i="4"/>
  <c r="T16" i="4" s="1"/>
  <c r="V16" i="4" s="1"/>
  <c r="X16" i="4" s="1"/>
  <c r="R15" i="4"/>
  <c r="Q15" i="4"/>
  <c r="P15" i="4"/>
  <c r="O15" i="4"/>
  <c r="N15" i="4"/>
  <c r="T15" i="4" s="1"/>
  <c r="V15" i="4" s="1"/>
  <c r="X15" i="4" s="1"/>
  <c r="M15" i="4"/>
  <c r="L15" i="4"/>
  <c r="R14" i="4"/>
  <c r="Q14" i="4"/>
  <c r="P14" i="4"/>
  <c r="O14" i="4"/>
  <c r="N14" i="4"/>
  <c r="M14" i="4"/>
  <c r="L14" i="4"/>
  <c r="T14" i="4" s="1"/>
  <c r="V14" i="4" s="1"/>
  <c r="X14" i="4" s="1"/>
  <c r="R13" i="4"/>
  <c r="Q13" i="4"/>
  <c r="P13" i="4"/>
  <c r="O13" i="4"/>
  <c r="N13" i="4"/>
  <c r="M13" i="4"/>
  <c r="T13" i="4" s="1"/>
  <c r="V13" i="4" s="1"/>
  <c r="X13" i="4" s="1"/>
  <c r="L13" i="4"/>
  <c r="R12" i="4"/>
  <c r="Q12" i="4"/>
  <c r="P12" i="4"/>
  <c r="O12" i="4"/>
  <c r="N12" i="4"/>
  <c r="M12" i="4"/>
  <c r="L12" i="4"/>
  <c r="T12" i="4" s="1"/>
  <c r="V12" i="4" s="1"/>
  <c r="X12" i="4" s="1"/>
  <c r="R11" i="4"/>
  <c r="Q11" i="4"/>
  <c r="P11" i="4"/>
  <c r="O11" i="4"/>
  <c r="N11" i="4"/>
  <c r="T11" i="4" s="1"/>
  <c r="V11" i="4" s="1"/>
  <c r="X11" i="4" s="1"/>
  <c r="M11" i="4"/>
  <c r="L11" i="4"/>
  <c r="J28" i="1"/>
  <c r="V28" i="1" s="1"/>
  <c r="I28" i="1"/>
  <c r="U28" i="1" s="1"/>
  <c r="H28" i="1"/>
  <c r="T28" i="1" s="1"/>
  <c r="G28" i="1"/>
  <c r="S28" i="1" s="1"/>
  <c r="F28" i="1"/>
  <c r="R28" i="1" s="1"/>
  <c r="E28" i="1"/>
  <c r="Q28" i="1" s="1"/>
  <c r="J27" i="1"/>
  <c r="V27" i="1" s="1"/>
  <c r="I27" i="1"/>
  <c r="U27" i="1" s="1"/>
  <c r="H27" i="1"/>
  <c r="T27" i="1" s="1"/>
  <c r="G27" i="1"/>
  <c r="S27" i="1" s="1"/>
  <c r="F27" i="1"/>
  <c r="R27" i="1" s="1"/>
  <c r="E27" i="1"/>
  <c r="Q27" i="1" s="1"/>
  <c r="J26" i="1"/>
  <c r="V26" i="1" s="1"/>
  <c r="I26" i="1"/>
  <c r="U26" i="1" s="1"/>
  <c r="H26" i="1"/>
  <c r="T26" i="1" s="1"/>
  <c r="G26" i="1"/>
  <c r="S26" i="1" s="1"/>
  <c r="F26" i="1"/>
  <c r="R26" i="1" s="1"/>
  <c r="E26" i="1"/>
  <c r="Q26" i="1" s="1"/>
  <c r="J25" i="1"/>
  <c r="V25" i="1" s="1"/>
  <c r="I25" i="1"/>
  <c r="U25" i="1" s="1"/>
  <c r="H25" i="1"/>
  <c r="T25" i="1" s="1"/>
  <c r="G25" i="1"/>
  <c r="S25" i="1" s="1"/>
  <c r="F25" i="1"/>
  <c r="R25" i="1" s="1"/>
  <c r="E25" i="1"/>
  <c r="Q25" i="1" s="1"/>
  <c r="J24" i="1"/>
  <c r="V24" i="1" s="1"/>
  <c r="I24" i="1"/>
  <c r="U24" i="1" s="1"/>
  <c r="H24" i="1"/>
  <c r="T24" i="1" s="1"/>
  <c r="G24" i="1"/>
  <c r="S24" i="1" s="1"/>
  <c r="F24" i="1"/>
  <c r="R24" i="1" s="1"/>
  <c r="E24" i="1"/>
  <c r="Q24" i="1" s="1"/>
  <c r="J23" i="1"/>
  <c r="V23" i="1" s="1"/>
  <c r="I23" i="1"/>
  <c r="U23" i="1" s="1"/>
  <c r="H23" i="1"/>
  <c r="T23" i="1" s="1"/>
  <c r="G23" i="1"/>
  <c r="S23" i="1" s="1"/>
  <c r="F23" i="1"/>
  <c r="R23" i="1" s="1"/>
  <c r="E23" i="1"/>
  <c r="Q23" i="1" s="1"/>
  <c r="J22" i="1"/>
  <c r="V22" i="1" s="1"/>
  <c r="I22" i="1"/>
  <c r="U22" i="1" s="1"/>
  <c r="H22" i="1"/>
  <c r="T22" i="1" s="1"/>
  <c r="G22" i="1"/>
  <c r="S22" i="1" s="1"/>
  <c r="F22" i="1"/>
  <c r="R22" i="1" s="1"/>
  <c r="E22" i="1"/>
  <c r="Q22" i="1" s="1"/>
  <c r="J21" i="1"/>
  <c r="V21" i="1" s="1"/>
  <c r="I21" i="1"/>
  <c r="U21" i="1" s="1"/>
  <c r="H21" i="1"/>
  <c r="T21" i="1" s="1"/>
  <c r="G21" i="1"/>
  <c r="S21" i="1" s="1"/>
  <c r="F21" i="1"/>
  <c r="R21" i="1" s="1"/>
  <c r="E21" i="1"/>
  <c r="Q21" i="1" s="1"/>
  <c r="J20" i="1"/>
  <c r="V20" i="1" s="1"/>
  <c r="I20" i="1"/>
  <c r="U20" i="1" s="1"/>
  <c r="H20" i="1"/>
  <c r="T20" i="1" s="1"/>
  <c r="G20" i="1"/>
  <c r="S20" i="1" s="1"/>
  <c r="F20" i="1"/>
  <c r="R20" i="1" s="1"/>
  <c r="E20" i="1"/>
  <c r="Q20" i="1" s="1"/>
  <c r="J19" i="1"/>
  <c r="V19" i="1" s="1"/>
  <c r="I19" i="1"/>
  <c r="U19" i="1" s="1"/>
  <c r="H19" i="1"/>
  <c r="T19" i="1" s="1"/>
  <c r="G19" i="1"/>
  <c r="S19" i="1" s="1"/>
  <c r="F19" i="1"/>
  <c r="R19" i="1" s="1"/>
  <c r="E19" i="1"/>
  <c r="Q19" i="1" s="1"/>
  <c r="J18" i="1"/>
  <c r="V18" i="1" s="1"/>
  <c r="I18" i="1"/>
  <c r="U18" i="1" s="1"/>
  <c r="H18" i="1"/>
  <c r="T18" i="1" s="1"/>
  <c r="G18" i="1"/>
  <c r="S18" i="1" s="1"/>
  <c r="F18" i="1"/>
  <c r="R18" i="1" s="1"/>
  <c r="E18" i="1"/>
  <c r="Q18" i="1" s="1"/>
  <c r="J17" i="1"/>
  <c r="V17" i="1" s="1"/>
  <c r="I17" i="1"/>
  <c r="U17" i="1" s="1"/>
  <c r="H17" i="1"/>
  <c r="T17" i="1" s="1"/>
  <c r="G17" i="1"/>
  <c r="S17" i="1" s="1"/>
  <c r="F17" i="1"/>
  <c r="R17" i="1" s="1"/>
  <c r="E17" i="1"/>
  <c r="Q17" i="1" s="1"/>
  <c r="J16" i="1"/>
  <c r="V16" i="1" s="1"/>
  <c r="I16" i="1"/>
  <c r="U16" i="1" s="1"/>
  <c r="H16" i="1"/>
  <c r="T16" i="1" s="1"/>
  <c r="G16" i="1"/>
  <c r="S16" i="1" s="1"/>
  <c r="F16" i="1"/>
  <c r="R16" i="1" s="1"/>
  <c r="E16" i="1"/>
  <c r="Q16" i="1" s="1"/>
  <c r="P15" i="1"/>
  <c r="P16" i="1" s="1"/>
  <c r="J15" i="1"/>
  <c r="V15" i="1" s="1"/>
  <c r="I15" i="1"/>
  <c r="U15" i="1" s="1"/>
  <c r="H15" i="1"/>
  <c r="T15" i="1" s="1"/>
  <c r="G15" i="1"/>
  <c r="S15" i="1" s="1"/>
  <c r="F15" i="1"/>
  <c r="R15" i="1" s="1"/>
  <c r="E15" i="1"/>
  <c r="Q15" i="1" s="1"/>
  <c r="P14" i="1"/>
  <c r="J14" i="1"/>
  <c r="V14" i="1" s="1"/>
  <c r="I14" i="1"/>
  <c r="U14" i="1" s="1"/>
  <c r="H14" i="1"/>
  <c r="T14" i="1" s="1"/>
  <c r="G14" i="1"/>
  <c r="S14" i="1" s="1"/>
  <c r="F14" i="1"/>
  <c r="R14" i="1" s="1"/>
  <c r="E14" i="1"/>
  <c r="Q14" i="1" s="1"/>
  <c r="P13" i="1"/>
  <c r="J13" i="1"/>
  <c r="V13" i="1" s="1"/>
  <c r="I13" i="1"/>
  <c r="U13" i="1" s="1"/>
  <c r="H13" i="1"/>
  <c r="T13" i="1" s="1"/>
  <c r="G13" i="1"/>
  <c r="S13" i="1" s="1"/>
  <c r="F13" i="1"/>
  <c r="R13" i="1" s="1"/>
  <c r="E13" i="1"/>
  <c r="Q13" i="1" s="1"/>
  <c r="J12" i="1"/>
  <c r="V12" i="1" s="1"/>
  <c r="I12" i="1"/>
  <c r="U12" i="1" s="1"/>
  <c r="H12" i="1"/>
  <c r="T12" i="1" s="1"/>
  <c r="G12" i="1"/>
  <c r="S12" i="1" s="1"/>
  <c r="F12" i="1"/>
  <c r="R12" i="1" s="1"/>
  <c r="E12" i="1"/>
  <c r="Q12" i="1" s="1"/>
  <c r="T11" i="12" l="1"/>
  <c r="V11" i="12" s="1"/>
  <c r="X11" i="12" s="1"/>
  <c r="T19" i="12"/>
  <c r="V19" i="12" s="1"/>
  <c r="X19" i="12" s="1"/>
  <c r="T14" i="12"/>
  <c r="V14" i="12" s="1"/>
  <c r="X14" i="12" s="1"/>
  <c r="T15" i="12"/>
  <c r="V15" i="12" s="1"/>
  <c r="X15" i="12" s="1"/>
  <c r="T22" i="12"/>
  <c r="V22" i="12" s="1"/>
  <c r="X22" i="12" s="1"/>
  <c r="T27" i="12"/>
  <c r="V27" i="12" s="1"/>
  <c r="X27" i="12" s="1"/>
  <c r="T18" i="12"/>
  <c r="V18" i="12" s="1"/>
  <c r="X18" i="12" s="1"/>
  <c r="T26" i="12"/>
  <c r="V26" i="12" s="1"/>
  <c r="X26" i="12" s="1"/>
  <c r="T16" i="12"/>
  <c r="V16" i="12" s="1"/>
  <c r="X16" i="12" s="1"/>
  <c r="T24" i="12"/>
  <c r="V24" i="12" s="1"/>
  <c r="X24" i="12" s="1"/>
  <c r="T23" i="12"/>
  <c r="V23" i="12" s="1"/>
  <c r="X23" i="12" s="1"/>
  <c r="T12" i="12"/>
  <c r="V12" i="12" s="1"/>
  <c r="X12" i="12" s="1"/>
  <c r="T20" i="12"/>
  <c r="V20" i="12" s="1"/>
  <c r="X20" i="12" s="1"/>
  <c r="T13" i="12"/>
  <c r="V13" i="12" s="1"/>
  <c r="X13" i="12" s="1"/>
  <c r="T21" i="12"/>
  <c r="V21" i="12" s="1"/>
  <c r="X21" i="12" s="1"/>
  <c r="T17" i="12"/>
  <c r="V17" i="12" s="1"/>
  <c r="X17" i="12" s="1"/>
  <c r="T25" i="12"/>
  <c r="V25" i="12" s="1"/>
  <c r="X25" i="12" s="1"/>
  <c r="P17" i="1"/>
  <c r="M16" i="1"/>
  <c r="L16" i="1" s="1"/>
  <c r="M13" i="1"/>
  <c r="L13" i="1" s="1"/>
  <c r="M14" i="1"/>
  <c r="L14" i="1" s="1"/>
  <c r="M12" i="1"/>
  <c r="L12" i="1" s="1"/>
  <c r="X29" i="4"/>
  <c r="J5" i="4" s="1"/>
  <c r="S5" i="7"/>
  <c r="BP28" i="7"/>
  <c r="BE14" i="9"/>
  <c r="BH15" i="9"/>
  <c r="BF17" i="9"/>
  <c r="N1" i="10"/>
  <c r="J3" i="11"/>
  <c r="K7" i="11"/>
  <c r="T5" i="7"/>
  <c r="K3" i="11"/>
  <c r="U5" i="7"/>
  <c r="BQ28" i="7"/>
  <c r="BG14" i="9"/>
  <c r="BE16" i="9"/>
  <c r="BH17" i="9"/>
  <c r="O1" i="10"/>
  <c r="L3" i="11"/>
  <c r="J8" i="11"/>
  <c r="M15" i="1"/>
  <c r="L15" i="1" s="1"/>
  <c r="AK4" i="7"/>
  <c r="BH14" i="9"/>
  <c r="BF16" i="9"/>
  <c r="BD18" i="9"/>
  <c r="J4" i="11"/>
  <c r="K8" i="11"/>
  <c r="S4" i="7"/>
  <c r="BE18" i="9"/>
  <c r="J2" i="11"/>
  <c r="K4" i="11"/>
  <c r="AK5" i="7"/>
  <c r="L4" i="11"/>
  <c r="T4" i="7"/>
  <c r="BD17" i="9"/>
  <c r="BG18" i="9"/>
  <c r="K2" i="11"/>
  <c r="BG15" i="9"/>
  <c r="BE17" i="9"/>
  <c r="X29" i="12" l="1"/>
  <c r="J5" i="12" s="1"/>
  <c r="N34" i="12" s="1"/>
  <c r="P18" i="1"/>
  <c r="M17" i="1"/>
  <c r="L17" i="1" s="1"/>
  <c r="N56" i="12" l="1"/>
  <c r="P19" i="1"/>
  <c r="M18" i="1"/>
  <c r="L18" i="1" s="1"/>
  <c r="P20" i="1" l="1"/>
  <c r="M19" i="1"/>
  <c r="L19" i="1" s="1"/>
  <c r="P21" i="1" l="1"/>
  <c r="M20" i="1"/>
  <c r="L20" i="1" s="1"/>
  <c r="M21" i="1" l="1"/>
  <c r="L21" i="1" s="1"/>
  <c r="P22" i="1"/>
  <c r="P23" i="1" l="1"/>
  <c r="M22" i="1"/>
  <c r="L22" i="1" s="1"/>
  <c r="P24" i="1" l="1"/>
  <c r="M23" i="1"/>
  <c r="L23" i="1" s="1"/>
  <c r="P25" i="1" l="1"/>
  <c r="M24" i="1"/>
  <c r="L24" i="1" s="1"/>
  <c r="P26" i="1" l="1"/>
  <c r="M25" i="1"/>
  <c r="L25" i="1" s="1"/>
  <c r="P27" i="1" l="1"/>
  <c r="M26" i="1"/>
  <c r="L26" i="1" s="1"/>
  <c r="P28" i="1" l="1"/>
  <c r="M28" i="1" s="1"/>
  <c r="L28" i="1" s="1"/>
  <c r="M27" i="1"/>
  <c r="L27" i="1" s="1"/>
</calcChain>
</file>

<file path=xl/sharedStrings.xml><?xml version="1.0" encoding="utf-8"?>
<sst xmlns="http://schemas.openxmlformats.org/spreadsheetml/2006/main" count="342" uniqueCount="166">
  <si>
    <t>True Model Parameters</t>
  </si>
  <si>
    <t>Error (SD)</t>
  </si>
  <si>
    <t>Observation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</si>
  <si>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</si>
  <si>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</si>
  <si>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</si>
  <si>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</si>
  <si>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</si>
  <si>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</si>
  <si>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t>Min</t>
  </si>
  <si>
    <t>Max</t>
  </si>
  <si>
    <t>Flour (g)</t>
  </si>
  <si>
    <t>Eggs (g)</t>
  </si>
  <si>
    <t>Sugar (g)</t>
  </si>
  <si>
    <t>Butter (g)</t>
  </si>
  <si>
    <t>Chocolate (g)</t>
  </si>
  <si>
    <t>Bicarbonate (g)</t>
  </si>
  <si>
    <r>
      <t>θ</t>
    </r>
    <r>
      <rPr>
        <vertAlign val="subscript"/>
        <sz val="16"/>
        <color theme="1"/>
        <rFont val="Calibri"/>
        <family val="2"/>
      </rPr>
      <t>1</t>
    </r>
  </si>
  <si>
    <r>
      <t>θ</t>
    </r>
    <r>
      <rPr>
        <vertAlign val="subscript"/>
        <sz val="16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</si>
  <si>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θ</t>
    </r>
    <r>
      <rPr>
        <vertAlign val="subscript"/>
        <sz val="16"/>
        <color theme="1"/>
        <rFont val="Calibri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</si>
  <si>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θ</t>
    </r>
    <r>
      <rPr>
        <vertAlign val="subscript"/>
        <sz val="16"/>
        <color theme="1"/>
        <rFont val="Calibri"/>
        <family val="2"/>
      </rPr>
      <t>4</t>
    </r>
    <r>
      <rPr>
        <sz val="11"/>
        <color theme="1"/>
        <rFont val="Calibri"/>
        <family val="2"/>
        <scheme val="minor"/>
      </rPr>
      <t/>
    </r>
  </si>
  <si>
    <r>
      <t>θ</t>
    </r>
    <r>
      <rPr>
        <vertAlign val="subscript"/>
        <sz val="16"/>
        <color theme="1"/>
        <rFont val="Calibri"/>
        <family val="2"/>
      </rPr>
      <t>5</t>
    </r>
    <r>
      <rPr>
        <sz val="11"/>
        <color theme="1"/>
        <rFont val="Calibri"/>
        <family val="2"/>
        <scheme val="minor"/>
      </rPr>
      <t/>
    </r>
  </si>
  <si>
    <r>
      <t>θ</t>
    </r>
    <r>
      <rPr>
        <vertAlign val="subscript"/>
        <sz val="16"/>
        <color theme="1"/>
        <rFont val="Calibri"/>
        <family val="2"/>
      </rPr>
      <t>6</t>
    </r>
    <r>
      <rPr>
        <sz val="11"/>
        <color theme="1"/>
        <rFont val="Calibri"/>
        <family val="2"/>
        <scheme val="minor"/>
      </rPr>
      <t/>
    </r>
  </si>
  <si>
    <t>Σ</t>
  </si>
  <si>
    <t>+ Error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</si>
  <si>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</rPr>
      <t>θ</t>
    </r>
    <r>
      <rPr>
        <b/>
        <vertAlign val="subscript"/>
        <sz val="11"/>
        <color theme="1"/>
        <rFont val="Calibri"/>
        <family val="2"/>
      </rPr>
      <t>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</si>
  <si>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</rPr>
      <t>θ</t>
    </r>
    <r>
      <rPr>
        <b/>
        <vertAlign val="subscript"/>
        <sz val="11"/>
        <color theme="1"/>
        <rFont val="Calibri"/>
        <family val="2"/>
      </rPr>
      <t>2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</si>
  <si>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</rPr>
      <t>θ</t>
    </r>
    <r>
      <rPr>
        <b/>
        <vertAlign val="subscript"/>
        <sz val="11"/>
        <color theme="1"/>
        <rFont val="Calibri"/>
        <family val="2"/>
      </rPr>
      <t>3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</si>
  <si>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</rPr>
      <t>θ</t>
    </r>
    <r>
      <rPr>
        <b/>
        <vertAlign val="subscript"/>
        <sz val="11"/>
        <color theme="1"/>
        <rFont val="Calibri"/>
        <family val="2"/>
      </rPr>
      <t>4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</si>
  <si>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5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</rPr>
      <t>θ</t>
    </r>
    <r>
      <rPr>
        <b/>
        <vertAlign val="subscript"/>
        <sz val="11"/>
        <color theme="1"/>
        <rFont val="Calibri"/>
        <family val="2"/>
      </rPr>
      <t>5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</si>
  <si>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</rPr>
      <t>θ</t>
    </r>
    <r>
      <rPr>
        <b/>
        <vertAlign val="subscript"/>
        <sz val="11"/>
        <color theme="1"/>
        <rFont val="Calibri"/>
        <family val="2"/>
      </rPr>
      <t>6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</si>
  <si>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</si>
  <si>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t>Collins Fluffyness Index</t>
  </si>
  <si>
    <t>Collected Data</t>
  </si>
  <si>
    <t>Prediction</t>
  </si>
  <si>
    <t>Error</t>
  </si>
  <si>
    <t>Error^2</t>
  </si>
  <si>
    <t xml:space="preserve">Total = </t>
  </si>
  <si>
    <r>
      <t>θ</t>
    </r>
    <r>
      <rPr>
        <vertAlign val="subscript"/>
        <sz val="16"/>
        <color theme="1"/>
        <rFont val="Calibri"/>
        <family val="2"/>
      </rPr>
      <t>0</t>
    </r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</si>
  <si>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</si>
  <si>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</si>
  <si>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</si>
  <si>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</si>
  <si>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</si>
  <si>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</si>
  <si>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</si>
  <si>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</si>
  <si>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</si>
  <si>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</si>
  <si>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</si>
  <si>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</si>
  <si>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</si>
  <si>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</si>
  <si>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</si>
  <si>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</si>
  <si>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</si>
  <si>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</si>
  <si>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</si>
  <si>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</si>
  <si>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</si>
  <si>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</si>
  <si>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</si>
  <si>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</si>
  <si>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Mean Squared Error</t>
  </si>
  <si>
    <t>Mean Square Error</t>
  </si>
  <si>
    <r>
      <t>θ</t>
    </r>
    <r>
      <rPr>
        <b/>
        <vertAlign val="subscript"/>
        <sz val="24"/>
        <color theme="1"/>
        <rFont val="Calibri"/>
        <family val="2"/>
      </rPr>
      <t>1</t>
    </r>
  </si>
  <si>
    <t>Flour</t>
  </si>
  <si>
    <t>Eggs</t>
  </si>
  <si>
    <t>Sugar</t>
  </si>
  <si>
    <t>Butter</t>
  </si>
  <si>
    <t>Chocolate</t>
  </si>
  <si>
    <t>Bicarbonate</t>
  </si>
  <si>
    <t>CCI</t>
  </si>
  <si>
    <t>Collins Cakeology Index (Y)</t>
  </si>
  <si>
    <t>…</t>
  </si>
  <si>
    <r>
      <t>CCI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</si>
  <si>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>CCI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</si>
  <si>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CCI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</si>
  <si>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CCI</t>
    </r>
    <r>
      <rPr>
        <i/>
        <vertAlign val="subscript"/>
        <sz val="11"/>
        <color theme="1"/>
        <rFont val="Calibri"/>
        <family val="2"/>
        <scheme val="minor"/>
      </rPr>
      <t>n</t>
    </r>
  </si>
  <si>
    <t>=</t>
  </si>
  <si>
    <r>
      <t>Flour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</si>
  <si>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>Flour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</si>
  <si>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Flour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</si>
  <si>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Flour</t>
    </r>
    <r>
      <rPr>
        <i/>
        <vertAlign val="subscript"/>
        <sz val="11"/>
        <color theme="1"/>
        <rFont val="Calibri"/>
        <family val="2"/>
        <scheme val="minor"/>
      </rPr>
      <t>n</t>
    </r>
  </si>
  <si>
    <r>
      <t>Eggs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</si>
  <si>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>Sugar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</si>
  <si>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>Butter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</si>
  <si>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>Chocolate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</si>
  <si>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>Bicarbonate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</si>
  <si>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>Eggs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</si>
  <si>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Sugar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</si>
  <si>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Butter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</si>
  <si>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Chocolate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</si>
  <si>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Bicarbonate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</si>
  <si>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Eggs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</si>
  <si>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Sugar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</si>
  <si>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Butter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</si>
  <si>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Chocolate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</si>
  <si>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Bicarbonate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</si>
  <si>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Eggs</t>
    </r>
    <r>
      <rPr>
        <i/>
        <vertAlign val="subscript"/>
        <sz val="11"/>
        <color theme="1"/>
        <rFont val="Calibri"/>
        <family val="2"/>
        <scheme val="minor"/>
      </rPr>
      <t>n</t>
    </r>
  </si>
  <si>
    <r>
      <t>Sugar</t>
    </r>
    <r>
      <rPr>
        <i/>
        <vertAlign val="subscript"/>
        <sz val="11"/>
        <color theme="1"/>
        <rFont val="Calibri"/>
        <family val="2"/>
        <scheme val="minor"/>
      </rPr>
      <t>n</t>
    </r>
  </si>
  <si>
    <r>
      <t>Butter</t>
    </r>
    <r>
      <rPr>
        <i/>
        <vertAlign val="subscript"/>
        <sz val="11"/>
        <color theme="1"/>
        <rFont val="Calibri"/>
        <family val="2"/>
        <scheme val="minor"/>
      </rPr>
      <t>n</t>
    </r>
  </si>
  <si>
    <r>
      <t>Chocolate</t>
    </r>
    <r>
      <rPr>
        <i/>
        <vertAlign val="subscript"/>
        <sz val="11"/>
        <color theme="1"/>
        <rFont val="Calibri"/>
        <family val="2"/>
        <scheme val="minor"/>
      </rPr>
      <t>n</t>
    </r>
  </si>
  <si>
    <r>
      <t>Bicarbonate</t>
    </r>
    <r>
      <rPr>
        <i/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</si>
  <si>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theme="1"/>
        <rFont val="Calibri"/>
        <family val="2"/>
      </rPr>
      <t>θ</t>
    </r>
    <r>
      <rPr>
        <i/>
        <vertAlign val="subscript"/>
        <sz val="14.3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/>
    </r>
  </si>
  <si>
    <t>+</t>
  </si>
  <si>
    <r>
      <t>ε</t>
    </r>
    <r>
      <rPr>
        <vertAlign val="subscript"/>
        <sz val="11"/>
        <color theme="1"/>
        <rFont val="Calibri"/>
        <family val="2"/>
      </rPr>
      <t>1</t>
    </r>
  </si>
  <si>
    <r>
      <t>ε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</si>
  <si>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ε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</si>
  <si>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ε</t>
    </r>
    <r>
      <rPr>
        <vertAlign val="subscript"/>
        <sz val="11"/>
        <color theme="1"/>
        <rFont val="Calibri"/>
        <family val="2"/>
      </rPr>
      <t>n</t>
    </r>
  </si>
  <si>
    <r>
      <rPr>
        <sz val="11"/>
        <color theme="1"/>
        <rFont val="Calibri"/>
        <family val="2"/>
      </rPr>
      <t>θ</t>
    </r>
    <r>
      <rPr>
        <i/>
        <vertAlign val="subscript"/>
        <sz val="14.3"/>
        <color theme="1"/>
        <rFont val="Calibri"/>
        <family val="2"/>
      </rPr>
      <t>0</t>
    </r>
  </si>
  <si>
    <r>
      <rPr>
        <sz val="11"/>
        <color theme="1"/>
        <rFont val="Calibri"/>
        <family val="2"/>
      </rPr>
      <t>θ</t>
    </r>
    <r>
      <rPr>
        <i/>
        <vertAlign val="subscript"/>
        <sz val="14.3"/>
        <color theme="1"/>
        <rFont val="Calibri"/>
        <family val="2"/>
      </rPr>
      <t>1</t>
    </r>
    <r>
      <rPr>
        <sz val="11"/>
        <color theme="1"/>
        <rFont val="Calibri"/>
        <family val="2"/>
        <scheme val="minor"/>
      </rPr>
      <t/>
    </r>
  </si>
  <si>
    <r>
      <rPr>
        <sz val="11"/>
        <color theme="1"/>
        <rFont val="Calibri"/>
        <family val="2"/>
      </rPr>
      <t>θ</t>
    </r>
    <r>
      <rPr>
        <i/>
        <vertAlign val="subscript"/>
        <sz val="14.3"/>
        <color theme="1"/>
        <rFont val="Calibri"/>
        <family val="2"/>
      </rPr>
      <t>n</t>
    </r>
  </si>
  <si>
    <t>A</t>
  </si>
  <si>
    <t>B</t>
  </si>
  <si>
    <t>C</t>
  </si>
  <si>
    <t>D</t>
  </si>
  <si>
    <t>E</t>
  </si>
  <si>
    <t>G</t>
  </si>
  <si>
    <t>H</t>
  </si>
  <si>
    <t>J</t>
  </si>
  <si>
    <t>A.1 + B.2 + C.3</t>
  </si>
  <si>
    <t>D.1 + E.2 + F.3</t>
  </si>
  <si>
    <t>G.1 + H.2 + J.3</t>
  </si>
  <si>
    <t>C = A . B</t>
  </si>
  <si>
    <r>
      <t>A</t>
    </r>
    <r>
      <rPr>
        <b/>
        <vertAlign val="superscript"/>
        <sz val="11"/>
        <color theme="1"/>
        <rFont val="Calibri"/>
        <family val="2"/>
        <scheme val="minor"/>
      </rPr>
      <t>T</t>
    </r>
  </si>
  <si>
    <r>
      <t>B</t>
    </r>
    <r>
      <rPr>
        <b/>
        <vertAlign val="superscript"/>
        <sz val="11"/>
        <color theme="1"/>
        <rFont val="Calibri"/>
        <family val="2"/>
        <scheme val="minor"/>
      </rPr>
      <t>T</t>
    </r>
  </si>
  <si>
    <r>
      <t>A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+B</t>
    </r>
  </si>
  <si>
    <t>D.E</t>
  </si>
  <si>
    <t>K</t>
  </si>
  <si>
    <t>L</t>
  </si>
  <si>
    <t>M</t>
  </si>
  <si>
    <t>1.A + 2.D + 3.G</t>
  </si>
  <si>
    <t>1.B + 2.E + 3.H</t>
  </si>
  <si>
    <t>1.C + 2.F + 3.J</t>
  </si>
  <si>
    <t>T</t>
  </si>
  <si>
    <t>x</t>
  </si>
  <si>
    <t>a</t>
  </si>
  <si>
    <t>b</t>
  </si>
  <si>
    <t>c</t>
  </si>
  <si>
    <t>d</t>
  </si>
  <si>
    <t>e</t>
  </si>
  <si>
    <t>f</t>
  </si>
  <si>
    <t>1.a + 2.d</t>
  </si>
  <si>
    <t>1.b + 2.e</t>
  </si>
  <si>
    <t>1.c + 2.f</t>
  </si>
  <si>
    <t>3.a + 4.d</t>
  </si>
  <si>
    <t>5.a + 6.d</t>
  </si>
  <si>
    <t>3.b + 4.e</t>
  </si>
  <si>
    <t>5.b + 6.e</t>
  </si>
  <si>
    <t>3.c + 4.f</t>
  </si>
  <si>
    <t>5.c + 6.f</t>
  </si>
  <si>
    <t>Awful</t>
  </si>
  <si>
    <t>Credit</t>
  </si>
  <si>
    <t>Rude</t>
  </si>
  <si>
    <t>Slow</t>
  </si>
  <si>
    <t>Theme 1</t>
  </si>
  <si>
    <t>Theme 2</t>
  </si>
  <si>
    <t>Service</t>
  </si>
  <si>
    <t>Complaint</t>
  </si>
  <si>
    <t>C1</t>
  </si>
  <si>
    <t>C2</t>
  </si>
  <si>
    <t>C3</t>
  </si>
  <si>
    <t>C4</t>
  </si>
  <si>
    <t>C5</t>
  </si>
  <si>
    <t>Fitted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</si>
</sst>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6"/>
      <color theme="1"/>
      <name val="Calibri"/>
      <family val="2"/>
    </font>
    <font>
      <vertAlign val="subscript"/>
      <sz val="16"/>
      <color theme="1"/>
      <name val="Calibri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</font>
    <font>
      <b/>
      <vertAlign val="subscript"/>
      <sz val="24"/>
      <color theme="1"/>
      <name val="Calibri"/>
      <family val="2"/>
    </font>
    <font>
      <i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vertAlign val="subscript"/>
      <sz val="14.3"/>
      <color theme="1"/>
      <name val="Calibri"/>
      <family val="2"/>
    </font>
    <font>
      <i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10" xfId="0" applyFont="1" applyBorder="1" applyAlignment="1">
      <alignment horizontal="right"/>
    </xf>
    <xf numFmtId="0" fontId="0" fillId="0" borderId="11" xfId="0" applyBorder="1"/>
    <xf numFmtId="0" fontId="0" fillId="0" borderId="12" xfId="0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" xfId="0" quotePrefix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right"/>
    </xf>
    <xf numFmtId="0" fontId="10" fillId="2" borderId="16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1" fontId="11" fillId="0" borderId="17" xfId="0" applyNumberFormat="1" applyFont="1" applyBorder="1" applyAlignment="1">
      <alignment horizontal="center" vertical="center"/>
    </xf>
    <xf numFmtId="1" fontId="11" fillId="0" borderId="18" xfId="0" applyNumberFormat="1" applyFont="1" applyBorder="1" applyAlignment="1">
      <alignment horizontal="center" vertical="center"/>
    </xf>
    <xf numFmtId="0" fontId="3" fillId="3" borderId="20" xfId="0" quotePrefix="1" applyFont="1" applyFill="1" applyBorder="1" applyAlignment="1">
      <alignment horizontal="center" vertical="center" wrapText="1"/>
    </xf>
    <xf numFmtId="0" fontId="12" fillId="0" borderId="0" xfId="0" applyFont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5" fontId="0" fillId="0" borderId="0" xfId="1" applyNumberFormat="1" applyFont="1"/>
    <xf numFmtId="165" fontId="11" fillId="0" borderId="21" xfId="1" applyNumberFormat="1" applyFont="1" applyBorder="1" applyAlignment="1">
      <alignment horizontal="center" vertical="center"/>
    </xf>
    <xf numFmtId="0" fontId="0" fillId="0" borderId="0" xfId="0" applyFill="1" applyBorder="1" applyAlignment="1"/>
    <xf numFmtId="0" fontId="0" fillId="0" borderId="22" xfId="0" applyFill="1" applyBorder="1" applyAlignment="1"/>
    <xf numFmtId="0" fontId="13" fillId="0" borderId="23" xfId="0" applyFont="1" applyFill="1" applyBorder="1" applyAlignment="1">
      <alignment horizontal="center"/>
    </xf>
    <xf numFmtId="0" fontId="13" fillId="0" borderId="23" xfId="0" applyFont="1" applyFill="1" applyBorder="1" applyAlignment="1">
      <alignment horizontal="centerContinuous"/>
    </xf>
    <xf numFmtId="1" fontId="11" fillId="0" borderId="2" xfId="0" applyNumberFormat="1" applyFont="1" applyBorder="1" applyAlignment="1">
      <alignment horizontal="center" vertical="center"/>
    </xf>
    <xf numFmtId="1" fontId="11" fillId="0" borderId="3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1" fontId="11" fillId="0" borderId="7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9" xfId="0" applyNumberFormat="1" applyFont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165" fontId="11" fillId="0" borderId="0" xfId="0" applyNumberFormat="1" applyFont="1"/>
    <xf numFmtId="0" fontId="5" fillId="0" borderId="0" xfId="0" applyFont="1" applyFill="1" applyBorder="1" applyAlignment="1">
      <alignment horizontal="center"/>
    </xf>
    <xf numFmtId="164" fontId="9" fillId="4" borderId="7" xfId="0" applyNumberFormat="1" applyFont="1" applyFill="1" applyBorder="1" applyAlignment="1">
      <alignment horizontal="center" vertical="center"/>
    </xf>
    <xf numFmtId="164" fontId="9" fillId="4" borderId="8" xfId="0" applyNumberFormat="1" applyFont="1" applyFill="1" applyBorder="1" applyAlignment="1">
      <alignment horizontal="center" vertical="center"/>
    </xf>
    <xf numFmtId="164" fontId="9" fillId="4" borderId="9" xfId="0" applyNumberFormat="1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right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2" fillId="3" borderId="20" xfId="0" quotePrefix="1" applyFont="1" applyFill="1" applyBorder="1" applyAlignment="1">
      <alignment horizontal="center" vertical="center" wrapText="1"/>
    </xf>
    <xf numFmtId="2" fontId="9" fillId="4" borderId="8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0" borderId="1" xfId="0" applyBorder="1"/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right" vertical="center"/>
    </xf>
    <xf numFmtId="0" fontId="17" fillId="0" borderId="1" xfId="0" applyFont="1" applyBorder="1" applyAlignment="1">
      <alignment horizontal="center" vertical="center"/>
    </xf>
    <xf numFmtId="1" fontId="9" fillId="0" borderId="1" xfId="0" applyNumberFormat="1" applyFont="1" applyBorder="1"/>
    <xf numFmtId="165" fontId="11" fillId="0" borderId="0" xfId="0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25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28" xfId="0" applyFont="1" applyBorder="1" applyAlignment="1">
      <alignment vertical="center"/>
    </xf>
    <xf numFmtId="0" fontId="13" fillId="0" borderId="24" xfId="0" applyFont="1" applyBorder="1" applyAlignment="1">
      <alignment vertical="center"/>
    </xf>
    <xf numFmtId="0" fontId="13" fillId="0" borderId="29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30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31" xfId="0" applyFont="1" applyBorder="1" applyAlignment="1">
      <alignment vertical="center"/>
    </xf>
    <xf numFmtId="0" fontId="13" fillId="0" borderId="2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13" fillId="0" borderId="0" xfId="0" quotePrefix="1" applyFont="1" applyBorder="1" applyAlignment="1">
      <alignment vertical="center"/>
    </xf>
    <xf numFmtId="0" fontId="0" fillId="0" borderId="0" xfId="0" quotePrefix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3" fillId="0" borderId="0" xfId="0" quotePrefix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5" fillId="0" borderId="0" xfId="0" quotePrefix="1" applyFont="1" applyBorder="1" applyAlignment="1">
      <alignment horizontal="center" vertical="center"/>
    </xf>
    <xf numFmtId="0" fontId="0" fillId="0" borderId="0" xfId="0" applyAlignment="1">
      <alignment horizontal="left" vertical="center" textRotation="45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2" fontId="26" fillId="0" borderId="32" xfId="0" applyNumberFormat="1" applyFont="1" applyBorder="1" applyAlignment="1">
      <alignment horizontal="center"/>
    </xf>
    <xf numFmtId="2" fontId="26" fillId="0" borderId="33" xfId="0" applyNumberFormat="1" applyFont="1" applyBorder="1" applyAlignment="1">
      <alignment horizontal="center"/>
    </xf>
    <xf numFmtId="0" fontId="0" fillId="0" borderId="33" xfId="0" applyBorder="1"/>
    <xf numFmtId="0" fontId="0" fillId="0" borderId="34" xfId="0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Variation of Mean Squared Error with </a:t>
            </a:r>
            <a:r>
              <a:rPr lang="el-GR" sz="1800" b="1" i="0" baseline="0">
                <a:effectLst/>
              </a:rPr>
              <a:t>Θ</a:t>
            </a:r>
            <a:r>
              <a:rPr lang="en-US" sz="1800" b="1" i="0" baseline="-25000">
                <a:effectLst/>
              </a:rPr>
              <a:t>1</a:t>
            </a:r>
            <a:endParaRPr lang="en-GB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Sensitivity!$N$33</c:f>
              <c:strCache>
                <c:ptCount val="1"/>
                <c:pt idx="0">
                  <c:v>Mean Squared Error</c:v>
                </c:pt>
              </c:strCache>
            </c:strRef>
          </c:tx>
          <c:marker>
            <c:symbol val="none"/>
          </c:marker>
          <c:xVal>
            <c:numRef>
              <c:f>Sensitivity!$M$35:$M$51</c:f>
              <c:numCache>
                <c:formatCode>General</c:formatCode>
                <c:ptCount val="1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</c:numCache>
            </c:numRef>
          </c:xVal>
          <c:yVal>
            <c:numRef>
              <c:f>Sensitivity!$N$35:$N$51</c:f>
              <c:numCache>
                <c:formatCode>0</c:formatCode>
                <c:ptCount val="17"/>
                <c:pt idx="0">
                  <c:v>19756425.312772907</c:v>
                </c:pt>
                <c:pt idx="1">
                  <c:v>15182042.274126831</c:v>
                </c:pt>
                <c:pt idx="2">
                  <c:v>11209292.323716057</c:v>
                </c:pt>
                <c:pt idx="3">
                  <c:v>7838175.461540577</c:v>
                </c:pt>
                <c:pt idx="4">
                  <c:v>5068691.6876003882</c:v>
                </c:pt>
                <c:pt idx="5">
                  <c:v>2900841.0018954915</c:v>
                </c:pt>
                <c:pt idx="6">
                  <c:v>1334623.4044258911</c:v>
                </c:pt>
                <c:pt idx="7">
                  <c:v>370038.89519158442</c:v>
                </c:pt>
                <c:pt idx="8">
                  <c:v>7087.4741925717362</c:v>
                </c:pt>
                <c:pt idx="9">
                  <c:v>245769.14142885312</c:v>
                </c:pt>
                <c:pt idx="10">
                  <c:v>1086083.8969004285</c:v>
                </c:pt>
                <c:pt idx="11">
                  <c:v>2528031.7406072989</c:v>
                </c:pt>
                <c:pt idx="12">
                  <c:v>4571612.6725494619</c:v>
                </c:pt>
                <c:pt idx="13">
                  <c:v>7216826.6927269185</c:v>
                </c:pt>
                <c:pt idx="14">
                  <c:v>10463673.801139671</c:v>
                </c:pt>
                <c:pt idx="15">
                  <c:v>14312153.997787716</c:v>
                </c:pt>
                <c:pt idx="16">
                  <c:v>18762267.28267106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11008"/>
        <c:axId val="179412992"/>
      </c:scatterChart>
      <c:valAx>
        <c:axId val="174811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l-GR" sz="1600">
                    <a:latin typeface="Calibri"/>
                    <a:cs typeface="Calibri"/>
                  </a:rPr>
                  <a:t>Θ</a:t>
                </a:r>
                <a:r>
                  <a:rPr lang="en-GB" sz="1600" baseline="-25000">
                    <a:latin typeface="Calibri"/>
                    <a:cs typeface="Calibri"/>
                  </a:rPr>
                  <a:t>1</a:t>
                </a:r>
                <a:endParaRPr lang="en-GB" sz="1600" baseline="-250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79412992"/>
        <c:crosses val="autoZero"/>
        <c:crossBetween val="midCat"/>
        <c:majorUnit val="1"/>
      </c:valAx>
      <c:valAx>
        <c:axId val="179412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Mean Squared Error (MSE)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17481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Variation of Mean Squared Error with </a:t>
            </a:r>
            <a:r>
              <a:rPr lang="el-GR">
                <a:latin typeface="Calibri"/>
                <a:cs typeface="Calibri"/>
              </a:rPr>
              <a:t>Θ</a:t>
            </a:r>
            <a:r>
              <a:rPr lang="en-US" baseline="-25000"/>
              <a:t>2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Sensitivity!$N$55</c:f>
              <c:strCache>
                <c:ptCount val="1"/>
                <c:pt idx="0">
                  <c:v>Mean Squared Error</c:v>
                </c:pt>
              </c:strCache>
            </c:strRef>
          </c:tx>
          <c:marker>
            <c:symbol val="none"/>
          </c:marker>
          <c:xVal>
            <c:numRef>
              <c:f>Sensitivity!$M$57:$M$75</c:f>
              <c:numCache>
                <c:formatCode>General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Sensitivity!$N$57:$N$75</c:f>
              <c:numCache>
                <c:formatCode>0</c:formatCode>
                <c:ptCount val="19"/>
                <c:pt idx="0">
                  <c:v>11543.199337617416</c:v>
                </c:pt>
                <c:pt idx="1">
                  <c:v>9576.1317234771705</c:v>
                </c:pt>
                <c:pt idx="2">
                  <c:v>7900.2405799251646</c:v>
                </c:pt>
                <c:pt idx="3">
                  <c:v>6515.5259069613912</c:v>
                </c:pt>
                <c:pt idx="4">
                  <c:v>5421.987704585852</c:v>
                </c:pt>
                <c:pt idx="5">
                  <c:v>4619.6259727985498</c:v>
                </c:pt>
                <c:pt idx="6">
                  <c:v>4108.4407115994827</c:v>
                </c:pt>
                <c:pt idx="7">
                  <c:v>3888.4319209886503</c:v>
                </c:pt>
                <c:pt idx="8">
                  <c:v>3959.5996009660544</c:v>
                </c:pt>
                <c:pt idx="9">
                  <c:v>4321.9437515316922</c:v>
                </c:pt>
                <c:pt idx="10">
                  <c:v>4975.4643726855656</c:v>
                </c:pt>
                <c:pt idx="11">
                  <c:v>5920.1614644276779</c:v>
                </c:pt>
                <c:pt idx="12">
                  <c:v>7156.0350267580197</c:v>
                </c:pt>
                <c:pt idx="13">
                  <c:v>8683.0850596765995</c:v>
                </c:pt>
                <c:pt idx="14">
                  <c:v>10501.311563183419</c:v>
                </c:pt>
                <c:pt idx="15">
                  <c:v>12610.714537278467</c:v>
                </c:pt>
                <c:pt idx="16">
                  <c:v>15011.293981961751</c:v>
                </c:pt>
                <c:pt idx="17">
                  <c:v>17703.049897233275</c:v>
                </c:pt>
                <c:pt idx="18">
                  <c:v>20685.982283093028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34880"/>
        <c:axId val="179836800"/>
      </c:scatterChart>
      <c:valAx>
        <c:axId val="179834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>
                    <a:latin typeface="Calibri"/>
                    <a:cs typeface="Calibri"/>
                  </a:defRPr>
                </a:pPr>
                <a:r>
                  <a:rPr lang="el-GR" sz="1400">
                    <a:latin typeface="Calibri"/>
                    <a:cs typeface="Calibri"/>
                  </a:rPr>
                  <a:t>Θ</a:t>
                </a:r>
                <a:r>
                  <a:rPr lang="en-GB" sz="1400" baseline="-25000">
                    <a:latin typeface="Calibri"/>
                    <a:cs typeface="Calibri"/>
                  </a:rPr>
                  <a:t>2</a:t>
                </a:r>
                <a:endParaRPr lang="en-GB" sz="1400" baseline="-250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9836800"/>
        <c:crosses val="autoZero"/>
        <c:crossBetween val="midCat"/>
        <c:majorUnit val="2"/>
      </c:valAx>
      <c:valAx>
        <c:axId val="179836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Mean Squared Error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crossAx val="17983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0"/>
            <c:trendlineLbl>
              <c:layout>
                <c:manualLayout>
                  <c:x val="-0.28315223097112863"/>
                  <c:y val="-0.10143955963837853"/>
                </c:manualLayout>
              </c:layout>
              <c:numFmt formatCode="General" sourceLinked="0"/>
            </c:trendlineLbl>
          </c:trendline>
          <c:xVal>
            <c:numRef>
              <c:f>Generator!$E$12:$E$28</c:f>
              <c:numCache>
                <c:formatCode>General</c:formatCode>
                <c:ptCount val="17"/>
                <c:pt idx="0">
                  <c:v>764</c:v>
                </c:pt>
                <c:pt idx="1">
                  <c:v>1847</c:v>
                </c:pt>
                <c:pt idx="2">
                  <c:v>834</c:v>
                </c:pt>
                <c:pt idx="3">
                  <c:v>1532</c:v>
                </c:pt>
                <c:pt idx="4">
                  <c:v>913</c:v>
                </c:pt>
                <c:pt idx="5">
                  <c:v>421</c:v>
                </c:pt>
                <c:pt idx="6">
                  <c:v>1570</c:v>
                </c:pt>
                <c:pt idx="7">
                  <c:v>1965</c:v>
                </c:pt>
                <c:pt idx="8">
                  <c:v>516</c:v>
                </c:pt>
                <c:pt idx="9">
                  <c:v>1402</c:v>
                </c:pt>
                <c:pt idx="10">
                  <c:v>1192</c:v>
                </c:pt>
                <c:pt idx="11">
                  <c:v>1929</c:v>
                </c:pt>
                <c:pt idx="12">
                  <c:v>1515</c:v>
                </c:pt>
                <c:pt idx="13">
                  <c:v>1620</c:v>
                </c:pt>
                <c:pt idx="14">
                  <c:v>1764</c:v>
                </c:pt>
                <c:pt idx="15">
                  <c:v>1246</c:v>
                </c:pt>
                <c:pt idx="16">
                  <c:v>246</c:v>
                </c:pt>
              </c:numCache>
            </c:numRef>
          </c:xVal>
          <c:yVal>
            <c:numRef>
              <c:f>Generator!$L$12:$L$28</c:f>
              <c:numCache>
                <c:formatCode>0</c:formatCode>
                <c:ptCount val="17"/>
                <c:pt idx="0">
                  <c:v>4706.6589497075856</c:v>
                </c:pt>
                <c:pt idx="1">
                  <c:v>9470.8760811962893</c:v>
                </c:pt>
                <c:pt idx="2">
                  <c:v>4542.9744326731352</c:v>
                </c:pt>
                <c:pt idx="3">
                  <c:v>7662.1156121378935</c:v>
                </c:pt>
                <c:pt idx="4">
                  <c:v>3803.6490141832751</c:v>
                </c:pt>
                <c:pt idx="5">
                  <c:v>-764.89600124554704</c:v>
                </c:pt>
                <c:pt idx="6">
                  <c:v>5289.5902529016466</c:v>
                </c:pt>
                <c:pt idx="7">
                  <c:v>7298.4019115567598</c:v>
                </c:pt>
                <c:pt idx="8">
                  <c:v>-1034.540649535588</c:v>
                </c:pt>
                <c:pt idx="9">
                  <c:v>5193.6631079753606</c:v>
                </c:pt>
                <c:pt idx="10">
                  <c:v>2919.1527196621878</c:v>
                </c:pt>
                <c:pt idx="11">
                  <c:v>4896.3640799943423</c:v>
                </c:pt>
                <c:pt idx="12">
                  <c:v>3603.5504376325907</c:v>
                </c:pt>
                <c:pt idx="13">
                  <c:v>7198.499565797094</c:v>
                </c:pt>
                <c:pt idx="14">
                  <c:v>5850.9618339192948</c:v>
                </c:pt>
                <c:pt idx="15">
                  <c:v>6778.1450132891414</c:v>
                </c:pt>
                <c:pt idx="16">
                  <c:v>-1151.7804178626993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58752"/>
        <c:axId val="174460288"/>
      </c:scatterChart>
      <c:valAx>
        <c:axId val="17445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460288"/>
        <c:crosses val="autoZero"/>
        <c:crossBetween val="midCat"/>
      </c:valAx>
      <c:valAx>
        <c:axId val="1744602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445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5</xdr:row>
          <xdr:rowOff>104775</xdr:rowOff>
        </xdr:from>
        <xdr:to>
          <xdr:col>1</xdr:col>
          <xdr:colOff>685800</xdr:colOff>
          <xdr:row>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6</xdr:row>
          <xdr:rowOff>152400</xdr:rowOff>
        </xdr:from>
        <xdr:to>
          <xdr:col>1</xdr:col>
          <xdr:colOff>676275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5</xdr:row>
          <xdr:rowOff>104775</xdr:rowOff>
        </xdr:from>
        <xdr:to>
          <xdr:col>2</xdr:col>
          <xdr:colOff>695325</xdr:colOff>
          <xdr:row>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104775</xdr:rowOff>
        </xdr:from>
        <xdr:to>
          <xdr:col>3</xdr:col>
          <xdr:colOff>695325</xdr:colOff>
          <xdr:row>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5</xdr:row>
          <xdr:rowOff>104775</xdr:rowOff>
        </xdr:from>
        <xdr:to>
          <xdr:col>4</xdr:col>
          <xdr:colOff>714375</xdr:colOff>
          <xdr:row>6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5</xdr:row>
          <xdr:rowOff>104775</xdr:rowOff>
        </xdr:from>
        <xdr:to>
          <xdr:col>5</xdr:col>
          <xdr:colOff>733425</xdr:colOff>
          <xdr:row>6</xdr:row>
          <xdr:rowOff>66675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5</xdr:row>
          <xdr:rowOff>104775</xdr:rowOff>
        </xdr:from>
        <xdr:to>
          <xdr:col>6</xdr:col>
          <xdr:colOff>704850</xdr:colOff>
          <xdr:row>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104775</xdr:rowOff>
        </xdr:from>
        <xdr:to>
          <xdr:col>7</xdr:col>
          <xdr:colOff>895350</xdr:colOff>
          <xdr:row>6</xdr:row>
          <xdr:rowOff>66675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6</xdr:row>
          <xdr:rowOff>161925</xdr:rowOff>
        </xdr:from>
        <xdr:to>
          <xdr:col>2</xdr:col>
          <xdr:colOff>695325</xdr:colOff>
          <xdr:row>7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6</xdr:row>
          <xdr:rowOff>152400</xdr:rowOff>
        </xdr:from>
        <xdr:to>
          <xdr:col>3</xdr:col>
          <xdr:colOff>695325</xdr:colOff>
          <xdr:row>7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6</xdr:row>
          <xdr:rowOff>152400</xdr:rowOff>
        </xdr:from>
        <xdr:to>
          <xdr:col>4</xdr:col>
          <xdr:colOff>714375</xdr:colOff>
          <xdr:row>7</xdr:row>
          <xdr:rowOff>114300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6</xdr:row>
          <xdr:rowOff>161925</xdr:rowOff>
        </xdr:from>
        <xdr:to>
          <xdr:col>5</xdr:col>
          <xdr:colOff>742950</xdr:colOff>
          <xdr:row>7</xdr:row>
          <xdr:rowOff>114300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6</xdr:row>
          <xdr:rowOff>161925</xdr:rowOff>
        </xdr:from>
        <xdr:to>
          <xdr:col>6</xdr:col>
          <xdr:colOff>714375</xdr:colOff>
          <xdr:row>7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6</xdr:row>
          <xdr:rowOff>161925</xdr:rowOff>
        </xdr:from>
        <xdr:to>
          <xdr:col>7</xdr:col>
          <xdr:colOff>895350</xdr:colOff>
          <xdr:row>7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</xdr:row>
          <xdr:rowOff>0</xdr:rowOff>
        </xdr:from>
        <xdr:to>
          <xdr:col>1</xdr:col>
          <xdr:colOff>685800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</xdr:row>
          <xdr:rowOff>0</xdr:rowOff>
        </xdr:from>
        <xdr:to>
          <xdr:col>1</xdr:col>
          <xdr:colOff>676275</xdr:colOff>
          <xdr:row>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0</xdr:rowOff>
        </xdr:from>
        <xdr:to>
          <xdr:col>2</xdr:col>
          <xdr:colOff>695325</xdr:colOff>
          <xdr:row>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3</xdr:row>
          <xdr:rowOff>0</xdr:rowOff>
        </xdr:from>
        <xdr:to>
          <xdr:col>3</xdr:col>
          <xdr:colOff>695325</xdr:colOff>
          <xdr:row>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3</xdr:row>
          <xdr:rowOff>0</xdr:rowOff>
        </xdr:from>
        <xdr:to>
          <xdr:col>4</xdr:col>
          <xdr:colOff>714375</xdr:colOff>
          <xdr:row>3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3</xdr:row>
          <xdr:rowOff>0</xdr:rowOff>
        </xdr:from>
        <xdr:to>
          <xdr:col>5</xdr:col>
          <xdr:colOff>733425</xdr:colOff>
          <xdr:row>3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3</xdr:row>
          <xdr:rowOff>0</xdr:rowOff>
        </xdr:from>
        <xdr:to>
          <xdr:col>6</xdr:col>
          <xdr:colOff>704850</xdr:colOff>
          <xdr:row>3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0</xdr:rowOff>
        </xdr:from>
        <xdr:to>
          <xdr:col>7</xdr:col>
          <xdr:colOff>895350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0</xdr:rowOff>
        </xdr:from>
        <xdr:to>
          <xdr:col>2</xdr:col>
          <xdr:colOff>695325</xdr:colOff>
          <xdr:row>3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3</xdr:row>
          <xdr:rowOff>0</xdr:rowOff>
        </xdr:from>
        <xdr:to>
          <xdr:col>3</xdr:col>
          <xdr:colOff>695325</xdr:colOff>
          <xdr:row>3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3</xdr:row>
          <xdr:rowOff>0</xdr:rowOff>
        </xdr:from>
        <xdr:to>
          <xdr:col>4</xdr:col>
          <xdr:colOff>714375</xdr:colOff>
          <xdr:row>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3</xdr:row>
          <xdr:rowOff>0</xdr:rowOff>
        </xdr:from>
        <xdr:to>
          <xdr:col>5</xdr:col>
          <xdr:colOff>742950</xdr:colOff>
          <xdr:row>3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</xdr:row>
          <xdr:rowOff>0</xdr:rowOff>
        </xdr:from>
        <xdr:to>
          <xdr:col>6</xdr:col>
          <xdr:colOff>714375</xdr:colOff>
          <xdr:row>3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3</xdr:row>
          <xdr:rowOff>0</xdr:rowOff>
        </xdr:from>
        <xdr:to>
          <xdr:col>7</xdr:col>
          <xdr:colOff>895350</xdr:colOff>
          <xdr:row>3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571500</xdr:colOff>
      <xdr:row>52</xdr:row>
      <xdr:rowOff>247650</xdr:rowOff>
    </xdr:from>
    <xdr:to>
      <xdr:col>4</xdr:col>
      <xdr:colOff>314325</xdr:colOff>
      <xdr:row>59</xdr:row>
      <xdr:rowOff>152400</xdr:rowOff>
    </xdr:to>
    <xdr:sp macro="" textlink="">
      <xdr:nvSpPr>
        <xdr:cNvPr id="3" name="Rectangle 2"/>
        <xdr:cNvSpPr/>
      </xdr:nvSpPr>
      <xdr:spPr>
        <a:xfrm>
          <a:off x="571500" y="11344275"/>
          <a:ext cx="3276600" cy="130492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tx1"/>
              </a:solidFill>
            </a:rPr>
            <a:t>Solved using the multiple regression tool that</a:t>
          </a:r>
          <a:r>
            <a:rPr lang="en-GB" sz="1800" baseline="0">
              <a:solidFill>
                <a:schemeClr val="tx1"/>
              </a:solidFill>
            </a:rPr>
            <a:t> is available as an add-in to</a:t>
          </a:r>
          <a:r>
            <a:rPr lang="en-GB" sz="1800">
              <a:solidFill>
                <a:schemeClr val="tx1"/>
              </a:solidFill>
            </a:rPr>
            <a:t> Excel</a:t>
          </a:r>
        </a:p>
      </xdr:txBody>
    </xdr:sp>
    <xdr:clientData/>
  </xdr:twoCellAnchor>
  <xdr:twoCellAnchor editAs="absolute">
    <xdr:from>
      <xdr:col>25</xdr:col>
      <xdr:colOff>95228</xdr:colOff>
      <xdr:row>54</xdr:row>
      <xdr:rowOff>194309</xdr:rowOff>
    </xdr:from>
    <xdr:to>
      <xdr:col>35</xdr:col>
      <xdr:colOff>546530</xdr:colOff>
      <xdr:row>76</xdr:row>
      <xdr:rowOff>131054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211903" y="12077699"/>
          <a:ext cx="6539682" cy="464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5</xdr:row>
          <xdr:rowOff>0</xdr:rowOff>
        </xdr:from>
        <xdr:to>
          <xdr:col>1</xdr:col>
          <xdr:colOff>685800</xdr:colOff>
          <xdr:row>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5</xdr:row>
          <xdr:rowOff>0</xdr:rowOff>
        </xdr:from>
        <xdr:to>
          <xdr:col>1</xdr:col>
          <xdr:colOff>676275</xdr:colOff>
          <xdr:row>5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5</xdr:row>
          <xdr:rowOff>0</xdr:rowOff>
        </xdr:from>
        <xdr:to>
          <xdr:col>2</xdr:col>
          <xdr:colOff>695325</xdr:colOff>
          <xdr:row>5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0</xdr:rowOff>
        </xdr:from>
        <xdr:to>
          <xdr:col>3</xdr:col>
          <xdr:colOff>695325</xdr:colOff>
          <xdr:row>5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5</xdr:row>
          <xdr:rowOff>0</xdr:rowOff>
        </xdr:from>
        <xdr:to>
          <xdr:col>4</xdr:col>
          <xdr:colOff>714375</xdr:colOff>
          <xdr:row>5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5</xdr:row>
          <xdr:rowOff>0</xdr:rowOff>
        </xdr:from>
        <xdr:to>
          <xdr:col>5</xdr:col>
          <xdr:colOff>733425</xdr:colOff>
          <xdr:row>5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5</xdr:row>
          <xdr:rowOff>0</xdr:rowOff>
        </xdr:from>
        <xdr:to>
          <xdr:col>6</xdr:col>
          <xdr:colOff>704850</xdr:colOff>
          <xdr:row>5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0</xdr:rowOff>
        </xdr:from>
        <xdr:to>
          <xdr:col>7</xdr:col>
          <xdr:colOff>895350</xdr:colOff>
          <xdr:row>5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5</xdr:row>
          <xdr:rowOff>0</xdr:rowOff>
        </xdr:from>
        <xdr:to>
          <xdr:col>2</xdr:col>
          <xdr:colOff>695325</xdr:colOff>
          <xdr:row>5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5</xdr:row>
          <xdr:rowOff>0</xdr:rowOff>
        </xdr:from>
        <xdr:to>
          <xdr:col>3</xdr:col>
          <xdr:colOff>695325</xdr:colOff>
          <xdr:row>5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5</xdr:row>
          <xdr:rowOff>0</xdr:rowOff>
        </xdr:from>
        <xdr:to>
          <xdr:col>4</xdr:col>
          <xdr:colOff>714375</xdr:colOff>
          <xdr:row>5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5</xdr:row>
          <xdr:rowOff>0</xdr:rowOff>
        </xdr:from>
        <xdr:to>
          <xdr:col>5</xdr:col>
          <xdr:colOff>742950</xdr:colOff>
          <xdr:row>5</xdr:row>
          <xdr:rowOff>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5</xdr:row>
          <xdr:rowOff>0</xdr:rowOff>
        </xdr:from>
        <xdr:to>
          <xdr:col>6</xdr:col>
          <xdr:colOff>714375</xdr:colOff>
          <xdr:row>5</xdr:row>
          <xdr:rowOff>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390525</xdr:colOff>
          <xdr:row>5</xdr:row>
          <xdr:rowOff>0</xdr:rowOff>
        </xdr:from>
        <xdr:to>
          <xdr:col>7</xdr:col>
          <xdr:colOff>895350</xdr:colOff>
          <xdr:row>5</xdr:row>
          <xdr:rowOff>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571500</xdr:colOff>
      <xdr:row>54</xdr:row>
      <xdr:rowOff>247650</xdr:rowOff>
    </xdr:from>
    <xdr:to>
      <xdr:col>4</xdr:col>
      <xdr:colOff>314325</xdr:colOff>
      <xdr:row>61</xdr:row>
      <xdr:rowOff>152400</xdr:rowOff>
    </xdr:to>
    <xdr:sp macro="" textlink="">
      <xdr:nvSpPr>
        <xdr:cNvPr id="16" name="Rectangle 15"/>
        <xdr:cNvSpPr/>
      </xdr:nvSpPr>
      <xdr:spPr>
        <a:xfrm>
          <a:off x="571500" y="12294870"/>
          <a:ext cx="3270885" cy="142113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tx1"/>
              </a:solidFill>
            </a:rPr>
            <a:t>Solved using the multiple regression tool that</a:t>
          </a:r>
          <a:r>
            <a:rPr lang="en-GB" sz="1800" baseline="0">
              <a:solidFill>
                <a:schemeClr val="tx1"/>
              </a:solidFill>
            </a:rPr>
            <a:t> is available as an add-in to</a:t>
          </a:r>
          <a:r>
            <a:rPr lang="en-GB" sz="1800">
              <a:solidFill>
                <a:schemeClr val="tx1"/>
              </a:solidFill>
            </a:rPr>
            <a:t> Excel</a:t>
          </a:r>
        </a:p>
      </xdr:txBody>
    </xdr:sp>
    <xdr:clientData/>
  </xdr:twoCellAnchor>
  <xdr:twoCellAnchor>
    <xdr:from>
      <xdr:col>14</xdr:col>
      <xdr:colOff>123825</xdr:colOff>
      <xdr:row>32</xdr:row>
      <xdr:rowOff>4762</xdr:rowOff>
    </xdr:from>
    <xdr:to>
      <xdr:col>17</xdr:col>
      <xdr:colOff>9525</xdr:colOff>
      <xdr:row>51</xdr:row>
      <xdr:rowOff>19050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95249</xdr:colOff>
      <xdr:row>54</xdr:row>
      <xdr:rowOff>14288</xdr:rowOff>
    </xdr:from>
    <xdr:to>
      <xdr:col>17</xdr:col>
      <xdr:colOff>0</xdr:colOff>
      <xdr:row>74</xdr:row>
      <xdr:rowOff>190500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17</xdr:col>
      <xdr:colOff>857228</xdr:colOff>
      <xdr:row>53</xdr:row>
      <xdr:rowOff>114299</xdr:rowOff>
    </xdr:from>
    <xdr:to>
      <xdr:col>25</xdr:col>
      <xdr:colOff>462710</xdr:colOff>
      <xdr:row>75</xdr:row>
      <xdr:rowOff>5324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98568" y="11978639"/>
          <a:ext cx="6547302" cy="46840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1402080</xdr:colOff>
      <xdr:row>29</xdr:row>
      <xdr:rowOff>41910</xdr:rowOff>
    </xdr:from>
    <xdr:to>
      <xdr:col>15</xdr:col>
      <xdr:colOff>91440</xdr:colOff>
      <xdr:row>44</xdr:row>
      <xdr:rowOff>41910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411480</xdr:colOff>
      <xdr:row>0</xdr:row>
      <xdr:rowOff>167640</xdr:rowOff>
    </xdr:from>
    <xdr:to>
      <xdr:col>18</xdr:col>
      <xdr:colOff>228600</xdr:colOff>
      <xdr:row>8</xdr:row>
      <xdr:rowOff>7620</xdr:rowOff>
    </xdr:to>
    <xdr:sp macro="" textlink="">
      <xdr:nvSpPr>
        <xdr:cNvPr id="3" name="Rectangle 2"/>
        <xdr:cNvSpPr/>
      </xdr:nvSpPr>
      <xdr:spPr>
        <a:xfrm>
          <a:off x="9326880" y="167640"/>
          <a:ext cx="2819400" cy="1432560"/>
        </a:xfrm>
        <a:prstGeom prst="rect">
          <a:avLst/>
        </a:prstGeom>
        <a:solidFill>
          <a:srgbClr val="FFFF00"/>
        </a:solidFill>
        <a:effectLst>
          <a:outerShdw blurRad="101600" dist="114300" dir="2700000" algn="tl" rotWithShape="0">
            <a:prstClr val="black">
              <a:alpha val="37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chemeClr val="tx1"/>
              </a:solidFill>
            </a:rPr>
            <a:t>I use this sheet to generate data for the other sheets. You can ignore this .. unless you are interested in how I generated all of the</a:t>
          </a:r>
          <a:r>
            <a:rPr lang="en-GB" sz="1400" baseline="0">
              <a:solidFill>
                <a:schemeClr val="tx1"/>
              </a:solidFill>
            </a:rPr>
            <a:t> data!</a:t>
          </a:r>
          <a:endParaRPr lang="en-GB" sz="14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9"/>
  <sheetViews>
    <sheetView showGridLines="0" tabSelected="1" zoomScale="110" zoomScaleNormal="110" workbookViewId="0">
      <selection activeCell="T6" sqref="T6"/>
    </sheetView>
  </sheetViews>
  <sheetFormatPr defaultRowHeight="15" x14ac:dyDescent="0.25"/>
  <cols>
    <col min="2" max="2" width="12.28515625" customWidth="1"/>
    <col min="3" max="7" width="12.5703125" customWidth="1"/>
    <col min="8" max="8" width="16.28515625" customWidth="1"/>
    <col min="9" max="9" width="3.7109375" customWidth="1"/>
    <col min="10" max="10" width="17.7109375" customWidth="1"/>
    <col min="11" max="11" width="3.85546875" customWidth="1"/>
    <col min="12" max="12" width="8.85546875" hidden="1" customWidth="1"/>
    <col min="13" max="18" width="11" hidden="1" customWidth="1"/>
    <col min="19" max="19" width="5" hidden="1" customWidth="1"/>
    <col min="20" max="20" width="19.5703125" bestFit="1" customWidth="1"/>
    <col min="21" max="21" width="3.42578125" customWidth="1"/>
    <col min="22" max="22" width="9.7109375" customWidth="1"/>
    <col min="23" max="23" width="3.7109375" customWidth="1"/>
    <col min="24" max="24" width="18.7109375" customWidth="1"/>
  </cols>
  <sheetData>
    <row r="1" spans="2:24" ht="15.75" thickBot="1" x14ac:dyDescent="0.3">
      <c r="B1" s="119">
        <v>1939.2062353409133</v>
      </c>
      <c r="C1" s="120">
        <v>4.0516385136525814</v>
      </c>
      <c r="D1" s="120">
        <v>8.2555857455321657</v>
      </c>
      <c r="E1" s="120">
        <v>-3.3108710516570632</v>
      </c>
      <c r="F1" s="120">
        <v>2.8913300392948589</v>
      </c>
      <c r="G1" s="120">
        <v>-4.6883309924500898</v>
      </c>
      <c r="H1" s="120">
        <v>14.363245300707913</v>
      </c>
      <c r="I1" s="121"/>
      <c r="J1" s="122" t="s">
        <v>165</v>
      </c>
    </row>
    <row r="3" spans="2:24" thickBot="1" x14ac:dyDescent="0.35"/>
    <row r="4" spans="2:24" ht="22.15" customHeight="1" x14ac:dyDescent="0.45">
      <c r="B4" s="50" t="s">
        <v>38</v>
      </c>
      <c r="C4" s="51" t="s">
        <v>17</v>
      </c>
      <c r="D4" s="51" t="s">
        <v>18</v>
      </c>
      <c r="E4" s="51" t="s">
        <v>19</v>
      </c>
      <c r="F4" s="51" t="s">
        <v>20</v>
      </c>
      <c r="G4" s="51" t="s">
        <v>21</v>
      </c>
      <c r="H4" s="52" t="s">
        <v>22</v>
      </c>
      <c r="J4" s="70" t="s">
        <v>64</v>
      </c>
    </row>
    <row r="5" spans="2:24" ht="18.600000000000001" thickBot="1" x14ac:dyDescent="0.4">
      <c r="B5" s="71">
        <v>20</v>
      </c>
      <c r="C5" s="72">
        <v>0</v>
      </c>
      <c r="D5" s="72">
        <v>890</v>
      </c>
      <c r="E5" s="72">
        <v>-10</v>
      </c>
      <c r="F5" s="72">
        <v>-100</v>
      </c>
      <c r="G5" s="72">
        <v>30</v>
      </c>
      <c r="H5" s="73">
        <v>260</v>
      </c>
      <c r="J5" s="69">
        <f>X29/COUNT(J11:J27)</f>
        <v>466447550.91921818</v>
      </c>
    </row>
    <row r="6" spans="2:24" ht="18" x14ac:dyDescent="0.35">
      <c r="T6" s="69"/>
    </row>
    <row r="7" spans="2:24" ht="18" x14ac:dyDescent="0.35">
      <c r="T7" s="69"/>
    </row>
    <row r="8" spans="2:24" ht="18" x14ac:dyDescent="0.3">
      <c r="B8" s="6"/>
      <c r="L8" s="68"/>
      <c r="M8" s="68"/>
      <c r="N8" s="68"/>
      <c r="O8" s="68"/>
      <c r="P8" s="68"/>
      <c r="Q8" s="68"/>
      <c r="R8" s="68"/>
    </row>
    <row r="9" spans="2:24" ht="18.600000000000001" thickBot="1" x14ac:dyDescent="0.35">
      <c r="B9" s="49" t="s">
        <v>33</v>
      </c>
      <c r="L9" s="68"/>
      <c r="M9" s="68"/>
      <c r="N9" s="68"/>
      <c r="O9" s="68"/>
      <c r="P9" s="68"/>
      <c r="Q9" s="68"/>
      <c r="R9" s="68"/>
    </row>
    <row r="10" spans="2:24" ht="27" customHeight="1" thickBot="1" x14ac:dyDescent="0.35">
      <c r="B10" s="32" t="s">
        <v>2</v>
      </c>
      <c r="C10" s="29" t="s">
        <v>11</v>
      </c>
      <c r="D10" s="30" t="s">
        <v>12</v>
      </c>
      <c r="E10" s="30" t="s">
        <v>13</v>
      </c>
      <c r="F10" s="30" t="s">
        <v>14</v>
      </c>
      <c r="G10" s="30" t="s">
        <v>15</v>
      </c>
      <c r="H10" s="31" t="s">
        <v>16</v>
      </c>
      <c r="J10" s="48" t="s">
        <v>32</v>
      </c>
      <c r="M10" s="4"/>
      <c r="N10" s="4"/>
      <c r="O10" s="4"/>
      <c r="P10" s="4"/>
      <c r="Q10" s="4"/>
      <c r="R10" s="4"/>
      <c r="T10" s="76" t="s">
        <v>34</v>
      </c>
      <c r="V10" s="76" t="s">
        <v>35</v>
      </c>
      <c r="X10" s="76" t="s">
        <v>36</v>
      </c>
    </row>
    <row r="11" spans="2:24" s="5" customFormat="1" ht="19.149999999999999" customHeight="1" x14ac:dyDescent="0.3">
      <c r="B11" s="33">
        <v>1</v>
      </c>
      <c r="C11" s="34">
        <v>1310</v>
      </c>
      <c r="D11" s="35">
        <v>4</v>
      </c>
      <c r="E11" s="35">
        <v>385</v>
      </c>
      <c r="F11" s="35">
        <v>95</v>
      </c>
      <c r="G11" s="35">
        <v>41</v>
      </c>
      <c r="H11" s="36">
        <v>4</v>
      </c>
      <c r="J11" s="46">
        <v>5998.3621667627194</v>
      </c>
      <c r="L11" s="60">
        <f t="shared" ref="L11:L27" si="0">$B$5</f>
        <v>20</v>
      </c>
      <c r="M11" s="61">
        <f t="shared" ref="M11:M27" si="1">C11*C$5</f>
        <v>0</v>
      </c>
      <c r="N11" s="61">
        <f t="shared" ref="N11:N27" si="2">D11*D$5</f>
        <v>3560</v>
      </c>
      <c r="O11" s="61">
        <f t="shared" ref="O11:O27" si="3">E11*E$5</f>
        <v>-3850</v>
      </c>
      <c r="P11" s="61">
        <f t="shared" ref="P11:P27" si="4">F11*F$5</f>
        <v>-9500</v>
      </c>
      <c r="Q11" s="61">
        <f t="shared" ref="Q11:Q27" si="5">G11*G$5</f>
        <v>1230</v>
      </c>
      <c r="R11" s="62">
        <f t="shared" ref="R11:R27" si="6">H11*H$5</f>
        <v>1040</v>
      </c>
      <c r="S11" s="53"/>
      <c r="T11" s="61">
        <f>SUM(L11:R11)</f>
        <v>-7500</v>
      </c>
      <c r="U11"/>
      <c r="V11" s="61">
        <f>T11-J11</f>
        <v>-13498.362166762719</v>
      </c>
      <c r="W11"/>
      <c r="X11" s="61">
        <f>V11^2</f>
        <v>182205781.18509114</v>
      </c>
    </row>
    <row r="12" spans="2:24" s="5" customFormat="1" ht="19.149999999999999" customHeight="1" x14ac:dyDescent="0.3">
      <c r="B12" s="37">
        <v>2</v>
      </c>
      <c r="C12" s="38">
        <v>1263</v>
      </c>
      <c r="D12" s="39">
        <v>10</v>
      </c>
      <c r="E12" s="39">
        <v>1182</v>
      </c>
      <c r="F12" s="39">
        <v>174</v>
      </c>
      <c r="G12" s="39">
        <v>71</v>
      </c>
      <c r="H12" s="40">
        <v>2</v>
      </c>
      <c r="J12" s="46">
        <v>3385.2911094350147</v>
      </c>
      <c r="L12" s="63">
        <f t="shared" si="0"/>
        <v>20</v>
      </c>
      <c r="M12" s="45">
        <f t="shared" si="1"/>
        <v>0</v>
      </c>
      <c r="N12" s="45">
        <f t="shared" si="2"/>
        <v>8900</v>
      </c>
      <c r="O12" s="45">
        <f t="shared" si="3"/>
        <v>-11820</v>
      </c>
      <c r="P12" s="45">
        <f t="shared" si="4"/>
        <v>-17400</v>
      </c>
      <c r="Q12" s="45">
        <f t="shared" si="5"/>
        <v>2130</v>
      </c>
      <c r="R12" s="64">
        <f t="shared" si="6"/>
        <v>520</v>
      </c>
      <c r="S12" s="53"/>
      <c r="T12" s="45">
        <f t="shared" ref="T12:T27" si="7">SUM(L12:R12)</f>
        <v>-17650</v>
      </c>
      <c r="U12"/>
      <c r="V12" s="45">
        <f t="shared" ref="V12:V27" si="8">T12-J12</f>
        <v>-21035.291109435013</v>
      </c>
      <c r="W12"/>
      <c r="X12" s="45">
        <f t="shared" ref="X12:X27" si="9">V12^2</f>
        <v>442483472.05867571</v>
      </c>
    </row>
    <row r="13" spans="2:24" s="5" customFormat="1" ht="19.149999999999999" customHeight="1" x14ac:dyDescent="0.3">
      <c r="B13" s="37">
        <v>3</v>
      </c>
      <c r="C13" s="38">
        <v>261</v>
      </c>
      <c r="D13" s="39">
        <v>5</v>
      </c>
      <c r="E13" s="39">
        <v>675</v>
      </c>
      <c r="F13" s="39">
        <v>151</v>
      </c>
      <c r="G13" s="39">
        <v>100</v>
      </c>
      <c r="H13" s="40">
        <v>8</v>
      </c>
      <c r="J13" s="46">
        <v>1037.804138671075</v>
      </c>
      <c r="L13" s="63">
        <f t="shared" si="0"/>
        <v>20</v>
      </c>
      <c r="M13" s="45">
        <f t="shared" si="1"/>
        <v>0</v>
      </c>
      <c r="N13" s="45">
        <f t="shared" si="2"/>
        <v>4450</v>
      </c>
      <c r="O13" s="45">
        <f t="shared" si="3"/>
        <v>-6750</v>
      </c>
      <c r="P13" s="45">
        <f t="shared" si="4"/>
        <v>-15100</v>
      </c>
      <c r="Q13" s="45">
        <f t="shared" si="5"/>
        <v>3000</v>
      </c>
      <c r="R13" s="64">
        <f t="shared" si="6"/>
        <v>2080</v>
      </c>
      <c r="S13" s="53"/>
      <c r="T13" s="45">
        <f t="shared" si="7"/>
        <v>-12300</v>
      </c>
      <c r="U13"/>
      <c r="V13" s="45">
        <f t="shared" si="8"/>
        <v>-13337.804138671076</v>
      </c>
      <c r="W13"/>
      <c r="X13" s="45">
        <f t="shared" si="9"/>
        <v>177897019.24155128</v>
      </c>
    </row>
    <row r="14" spans="2:24" s="5" customFormat="1" ht="19.149999999999999" customHeight="1" x14ac:dyDescent="0.3">
      <c r="B14" s="37">
        <v>4</v>
      </c>
      <c r="C14" s="38">
        <v>890</v>
      </c>
      <c r="D14" s="39">
        <v>16</v>
      </c>
      <c r="E14" s="39">
        <v>938</v>
      </c>
      <c r="F14" s="39">
        <v>111</v>
      </c>
      <c r="G14" s="39">
        <v>85</v>
      </c>
      <c r="H14" s="40">
        <v>2</v>
      </c>
      <c r="J14" s="46">
        <v>3132.630195104281</v>
      </c>
      <c r="L14" s="63">
        <f t="shared" si="0"/>
        <v>20</v>
      </c>
      <c r="M14" s="45">
        <f t="shared" si="1"/>
        <v>0</v>
      </c>
      <c r="N14" s="45">
        <f t="shared" si="2"/>
        <v>14240</v>
      </c>
      <c r="O14" s="45">
        <f t="shared" si="3"/>
        <v>-9380</v>
      </c>
      <c r="P14" s="45">
        <f t="shared" si="4"/>
        <v>-11100</v>
      </c>
      <c r="Q14" s="45">
        <f t="shared" si="5"/>
        <v>2550</v>
      </c>
      <c r="R14" s="64">
        <f t="shared" si="6"/>
        <v>520</v>
      </c>
      <c r="S14" s="53"/>
      <c r="T14" s="45">
        <f t="shared" si="7"/>
        <v>-3150</v>
      </c>
      <c r="U14"/>
      <c r="V14" s="45">
        <f t="shared" si="8"/>
        <v>-6282.6301951042806</v>
      </c>
      <c r="W14"/>
      <c r="X14" s="45">
        <f t="shared" si="9"/>
        <v>39471442.16843605</v>
      </c>
    </row>
    <row r="15" spans="2:24" s="5" customFormat="1" ht="19.149999999999999" customHeight="1" x14ac:dyDescent="0.3">
      <c r="B15" s="37">
        <v>5</v>
      </c>
      <c r="C15" s="38">
        <v>1229</v>
      </c>
      <c r="D15" s="39">
        <v>16</v>
      </c>
      <c r="E15" s="39">
        <v>759</v>
      </c>
      <c r="F15" s="39">
        <v>263</v>
      </c>
      <c r="G15" s="39">
        <v>52</v>
      </c>
      <c r="H15" s="40">
        <v>8</v>
      </c>
      <c r="J15" s="46">
        <v>5002.2880893251622</v>
      </c>
      <c r="L15" s="63">
        <f t="shared" si="0"/>
        <v>20</v>
      </c>
      <c r="M15" s="45">
        <f t="shared" si="1"/>
        <v>0</v>
      </c>
      <c r="N15" s="45">
        <f t="shared" si="2"/>
        <v>14240</v>
      </c>
      <c r="O15" s="45">
        <f t="shared" si="3"/>
        <v>-7590</v>
      </c>
      <c r="P15" s="45">
        <f t="shared" si="4"/>
        <v>-26300</v>
      </c>
      <c r="Q15" s="45">
        <f t="shared" si="5"/>
        <v>1560</v>
      </c>
      <c r="R15" s="64">
        <f t="shared" si="6"/>
        <v>2080</v>
      </c>
      <c r="S15" s="53"/>
      <c r="T15" s="45">
        <f t="shared" si="7"/>
        <v>-15990</v>
      </c>
      <c r="U15"/>
      <c r="V15" s="45">
        <f t="shared" si="8"/>
        <v>-20992.288089325164</v>
      </c>
      <c r="W15"/>
      <c r="X15" s="45">
        <f t="shared" si="9"/>
        <v>440676159.22522312</v>
      </c>
    </row>
    <row r="16" spans="2:24" s="5" customFormat="1" ht="19.149999999999999" customHeight="1" x14ac:dyDescent="0.3">
      <c r="B16" s="37">
        <v>6</v>
      </c>
      <c r="C16" s="38">
        <v>421</v>
      </c>
      <c r="D16" s="39">
        <v>3</v>
      </c>
      <c r="E16" s="39">
        <v>516</v>
      </c>
      <c r="F16" s="39">
        <v>124</v>
      </c>
      <c r="G16" s="39">
        <v>10</v>
      </c>
      <c r="H16" s="40">
        <v>8</v>
      </c>
      <c r="J16" s="46">
        <v>2458.1824699462099</v>
      </c>
      <c r="L16" s="63">
        <f t="shared" si="0"/>
        <v>20</v>
      </c>
      <c r="M16" s="45">
        <f t="shared" si="1"/>
        <v>0</v>
      </c>
      <c r="N16" s="45">
        <f t="shared" si="2"/>
        <v>2670</v>
      </c>
      <c r="O16" s="45">
        <f t="shared" si="3"/>
        <v>-5160</v>
      </c>
      <c r="P16" s="45">
        <f t="shared" si="4"/>
        <v>-12400</v>
      </c>
      <c r="Q16" s="45">
        <f t="shared" si="5"/>
        <v>300</v>
      </c>
      <c r="R16" s="64">
        <f t="shared" si="6"/>
        <v>2080</v>
      </c>
      <c r="S16" s="53"/>
      <c r="T16" s="45">
        <f t="shared" si="7"/>
        <v>-12490</v>
      </c>
      <c r="U16"/>
      <c r="V16" s="45">
        <f t="shared" si="8"/>
        <v>-14948.18246994621</v>
      </c>
      <c r="W16"/>
      <c r="X16" s="45">
        <f t="shared" si="9"/>
        <v>223448159.15480718</v>
      </c>
    </row>
    <row r="17" spans="2:24" s="5" customFormat="1" ht="19.149999999999999" customHeight="1" x14ac:dyDescent="0.3">
      <c r="B17" s="37">
        <v>7</v>
      </c>
      <c r="C17" s="38">
        <v>1828</v>
      </c>
      <c r="D17" s="39">
        <v>13</v>
      </c>
      <c r="E17" s="39">
        <v>270</v>
      </c>
      <c r="F17" s="39">
        <v>61</v>
      </c>
      <c r="G17" s="39">
        <v>94</v>
      </c>
      <c r="H17" s="40">
        <v>10</v>
      </c>
      <c r="J17" s="46">
        <v>8420.8022433413444</v>
      </c>
      <c r="L17" s="63">
        <f t="shared" si="0"/>
        <v>20</v>
      </c>
      <c r="M17" s="45">
        <f t="shared" si="1"/>
        <v>0</v>
      </c>
      <c r="N17" s="45">
        <f t="shared" si="2"/>
        <v>11570</v>
      </c>
      <c r="O17" s="45">
        <f t="shared" si="3"/>
        <v>-2700</v>
      </c>
      <c r="P17" s="45">
        <f t="shared" si="4"/>
        <v>-6100</v>
      </c>
      <c r="Q17" s="45">
        <f t="shared" si="5"/>
        <v>2820</v>
      </c>
      <c r="R17" s="64">
        <f t="shared" si="6"/>
        <v>2600</v>
      </c>
      <c r="S17" s="53"/>
      <c r="T17" s="45">
        <f t="shared" si="7"/>
        <v>8210</v>
      </c>
      <c r="U17"/>
      <c r="V17" s="45">
        <f t="shared" si="8"/>
        <v>-210.80224334134437</v>
      </c>
      <c r="W17"/>
      <c r="X17" s="45">
        <f t="shared" si="9"/>
        <v>44437.585797743362</v>
      </c>
    </row>
    <row r="18" spans="2:24" s="5" customFormat="1" ht="19.149999999999999" customHeight="1" x14ac:dyDescent="0.3">
      <c r="B18" s="37">
        <v>8</v>
      </c>
      <c r="C18" s="38">
        <v>1822</v>
      </c>
      <c r="D18" s="39">
        <v>7</v>
      </c>
      <c r="E18" s="39">
        <v>1122</v>
      </c>
      <c r="F18" s="39">
        <v>79</v>
      </c>
      <c r="G18" s="39">
        <v>10</v>
      </c>
      <c r="H18" s="40">
        <v>9</v>
      </c>
      <c r="J18" s="46">
        <v>6145.1217242588573</v>
      </c>
      <c r="L18" s="63">
        <f t="shared" si="0"/>
        <v>20</v>
      </c>
      <c r="M18" s="45">
        <f t="shared" si="1"/>
        <v>0</v>
      </c>
      <c r="N18" s="45">
        <f t="shared" si="2"/>
        <v>6230</v>
      </c>
      <c r="O18" s="45">
        <f t="shared" si="3"/>
        <v>-11220</v>
      </c>
      <c r="P18" s="45">
        <f t="shared" si="4"/>
        <v>-7900</v>
      </c>
      <c r="Q18" s="45">
        <f t="shared" si="5"/>
        <v>300</v>
      </c>
      <c r="R18" s="64">
        <f t="shared" si="6"/>
        <v>2340</v>
      </c>
      <c r="S18" s="53"/>
      <c r="T18" s="45">
        <f t="shared" si="7"/>
        <v>-10230</v>
      </c>
      <c r="U18"/>
      <c r="V18" s="45">
        <f t="shared" si="8"/>
        <v>-16375.121724258857</v>
      </c>
      <c r="W18"/>
      <c r="X18" s="45">
        <f t="shared" si="9"/>
        <v>268144611.48429438</v>
      </c>
    </row>
    <row r="19" spans="2:24" s="5" customFormat="1" ht="19.149999999999999" customHeight="1" x14ac:dyDescent="0.3">
      <c r="B19" s="37">
        <v>9</v>
      </c>
      <c r="C19" s="38">
        <v>1443</v>
      </c>
      <c r="D19" s="39">
        <v>4</v>
      </c>
      <c r="E19" s="39">
        <v>804</v>
      </c>
      <c r="F19" s="39">
        <v>260</v>
      </c>
      <c r="G19" s="39">
        <v>17</v>
      </c>
      <c r="H19" s="40">
        <v>8</v>
      </c>
      <c r="J19" s="46">
        <v>5827.0856856128494</v>
      </c>
      <c r="L19" s="63">
        <f t="shared" si="0"/>
        <v>20</v>
      </c>
      <c r="M19" s="45">
        <f t="shared" si="1"/>
        <v>0</v>
      </c>
      <c r="N19" s="45">
        <f t="shared" si="2"/>
        <v>3560</v>
      </c>
      <c r="O19" s="45">
        <f t="shared" si="3"/>
        <v>-8040</v>
      </c>
      <c r="P19" s="45">
        <f t="shared" si="4"/>
        <v>-26000</v>
      </c>
      <c r="Q19" s="45">
        <f t="shared" si="5"/>
        <v>510</v>
      </c>
      <c r="R19" s="64">
        <f t="shared" si="6"/>
        <v>2080</v>
      </c>
      <c r="S19" s="53"/>
      <c r="T19" s="45">
        <f t="shared" si="7"/>
        <v>-27870</v>
      </c>
      <c r="U19"/>
      <c r="V19" s="45">
        <f t="shared" si="8"/>
        <v>-33697.085685612852</v>
      </c>
      <c r="W19"/>
      <c r="X19" s="45">
        <f t="shared" si="9"/>
        <v>1135493583.7035346</v>
      </c>
    </row>
    <row r="20" spans="2:24" s="5" customFormat="1" ht="19.149999999999999" customHeight="1" x14ac:dyDescent="0.3">
      <c r="B20" s="37">
        <v>10</v>
      </c>
      <c r="C20" s="38">
        <v>1324</v>
      </c>
      <c r="D20" s="39">
        <v>1</v>
      </c>
      <c r="E20" s="39">
        <v>1273</v>
      </c>
      <c r="F20" s="39">
        <v>65</v>
      </c>
      <c r="G20" s="39">
        <v>44</v>
      </c>
      <c r="H20" s="40">
        <v>10</v>
      </c>
      <c r="J20" s="46">
        <v>2692.2608134563875</v>
      </c>
      <c r="L20" s="63">
        <f t="shared" si="0"/>
        <v>20</v>
      </c>
      <c r="M20" s="45">
        <f t="shared" si="1"/>
        <v>0</v>
      </c>
      <c r="N20" s="45">
        <f t="shared" si="2"/>
        <v>890</v>
      </c>
      <c r="O20" s="45">
        <f t="shared" si="3"/>
        <v>-12730</v>
      </c>
      <c r="P20" s="45">
        <f t="shared" si="4"/>
        <v>-6500</v>
      </c>
      <c r="Q20" s="45">
        <f t="shared" si="5"/>
        <v>1320</v>
      </c>
      <c r="R20" s="64">
        <f t="shared" si="6"/>
        <v>2600</v>
      </c>
      <c r="S20" s="53"/>
      <c r="T20" s="45">
        <f t="shared" si="7"/>
        <v>-14400</v>
      </c>
      <c r="U20"/>
      <c r="V20" s="45">
        <f t="shared" si="8"/>
        <v>-17092.260813456389</v>
      </c>
      <c r="W20"/>
      <c r="X20" s="45">
        <f t="shared" si="9"/>
        <v>292145379.71521688</v>
      </c>
    </row>
    <row r="21" spans="2:24" s="5" customFormat="1" ht="19.149999999999999" customHeight="1" x14ac:dyDescent="0.3">
      <c r="B21" s="37">
        <v>11</v>
      </c>
      <c r="C21" s="38">
        <v>1023</v>
      </c>
      <c r="D21" s="39">
        <v>15</v>
      </c>
      <c r="E21" s="39">
        <v>1984</v>
      </c>
      <c r="F21" s="39">
        <v>239</v>
      </c>
      <c r="G21" s="39">
        <v>22</v>
      </c>
      <c r="H21" s="40">
        <v>4</v>
      </c>
      <c r="J21" s="46">
        <v>249.00389524805786</v>
      </c>
      <c r="L21" s="63">
        <f t="shared" si="0"/>
        <v>20</v>
      </c>
      <c r="M21" s="45">
        <f t="shared" si="1"/>
        <v>0</v>
      </c>
      <c r="N21" s="45">
        <f t="shared" si="2"/>
        <v>13350</v>
      </c>
      <c r="O21" s="45">
        <f t="shared" si="3"/>
        <v>-19840</v>
      </c>
      <c r="P21" s="45">
        <f t="shared" si="4"/>
        <v>-23900</v>
      </c>
      <c r="Q21" s="45">
        <f t="shared" si="5"/>
        <v>660</v>
      </c>
      <c r="R21" s="64">
        <f t="shared" si="6"/>
        <v>1040</v>
      </c>
      <c r="S21" s="53"/>
      <c r="T21" s="45">
        <f t="shared" si="7"/>
        <v>-28670</v>
      </c>
      <c r="U21"/>
      <c r="V21" s="45">
        <f t="shared" si="8"/>
        <v>-28919.003895248057</v>
      </c>
      <c r="W21"/>
      <c r="X21" s="45">
        <f t="shared" si="9"/>
        <v>836308786.29337227</v>
      </c>
    </row>
    <row r="22" spans="2:24" s="5" customFormat="1" ht="19.149999999999999" customHeight="1" x14ac:dyDescent="0.25">
      <c r="B22" s="37">
        <v>12</v>
      </c>
      <c r="C22" s="38">
        <v>1728</v>
      </c>
      <c r="D22" s="39">
        <v>11</v>
      </c>
      <c r="E22" s="39">
        <v>1221</v>
      </c>
      <c r="F22" s="39">
        <v>284</v>
      </c>
      <c r="G22" s="39">
        <v>19</v>
      </c>
      <c r="H22" s="40">
        <v>9</v>
      </c>
      <c r="J22" s="46">
        <v>5190.3512348501818</v>
      </c>
      <c r="L22" s="63">
        <f t="shared" si="0"/>
        <v>20</v>
      </c>
      <c r="M22" s="45">
        <f t="shared" si="1"/>
        <v>0</v>
      </c>
      <c r="N22" s="45">
        <f t="shared" si="2"/>
        <v>9790</v>
      </c>
      <c r="O22" s="45">
        <f t="shared" si="3"/>
        <v>-12210</v>
      </c>
      <c r="P22" s="45">
        <f t="shared" si="4"/>
        <v>-28400</v>
      </c>
      <c r="Q22" s="45">
        <f t="shared" si="5"/>
        <v>570</v>
      </c>
      <c r="R22" s="64">
        <f t="shared" si="6"/>
        <v>2340</v>
      </c>
      <c r="S22" s="53"/>
      <c r="T22" s="45">
        <f t="shared" si="7"/>
        <v>-27890</v>
      </c>
      <c r="U22"/>
      <c r="V22" s="45">
        <f t="shared" si="8"/>
        <v>-33080.351234850183</v>
      </c>
      <c r="W22"/>
      <c r="X22" s="45">
        <f t="shared" si="9"/>
        <v>1094309637.821054</v>
      </c>
    </row>
    <row r="23" spans="2:24" s="5" customFormat="1" ht="19.149999999999999" customHeight="1" x14ac:dyDescent="0.25">
      <c r="B23" s="37">
        <v>13</v>
      </c>
      <c r="C23" s="38">
        <v>1267</v>
      </c>
      <c r="D23" s="39">
        <v>12</v>
      </c>
      <c r="E23" s="39">
        <v>1374</v>
      </c>
      <c r="F23" s="39">
        <v>216</v>
      </c>
      <c r="G23" s="39">
        <v>73</v>
      </c>
      <c r="H23" s="40">
        <v>6</v>
      </c>
      <c r="J23" s="46">
        <v>3473.0869939773625</v>
      </c>
      <c r="L23" s="63">
        <f t="shared" si="0"/>
        <v>20</v>
      </c>
      <c r="M23" s="45">
        <f t="shared" si="1"/>
        <v>0</v>
      </c>
      <c r="N23" s="45">
        <f t="shared" si="2"/>
        <v>10680</v>
      </c>
      <c r="O23" s="45">
        <f t="shared" si="3"/>
        <v>-13740</v>
      </c>
      <c r="P23" s="45">
        <f t="shared" si="4"/>
        <v>-21600</v>
      </c>
      <c r="Q23" s="45">
        <f t="shared" si="5"/>
        <v>2190</v>
      </c>
      <c r="R23" s="64">
        <f t="shared" si="6"/>
        <v>1560</v>
      </c>
      <c r="S23" s="53"/>
      <c r="T23" s="45">
        <f t="shared" si="7"/>
        <v>-20890</v>
      </c>
      <c r="U23"/>
      <c r="V23" s="45">
        <f t="shared" si="8"/>
        <v>-24363.086993977362</v>
      </c>
      <c r="W23"/>
      <c r="X23" s="45">
        <f t="shared" si="9"/>
        <v>593560007.87610888</v>
      </c>
    </row>
    <row r="24" spans="2:24" s="5" customFormat="1" ht="19.149999999999999" customHeight="1" x14ac:dyDescent="0.25">
      <c r="B24" s="37">
        <v>14</v>
      </c>
      <c r="C24" s="38">
        <v>556</v>
      </c>
      <c r="D24" s="39">
        <v>9</v>
      </c>
      <c r="E24" s="39">
        <v>739</v>
      </c>
      <c r="F24" s="39">
        <v>105</v>
      </c>
      <c r="G24" s="39">
        <v>56</v>
      </c>
      <c r="H24" s="40">
        <v>8</v>
      </c>
      <c r="J24" s="46">
        <v>2166.4754641997301</v>
      </c>
      <c r="L24" s="63">
        <f t="shared" si="0"/>
        <v>20</v>
      </c>
      <c r="M24" s="45">
        <f t="shared" si="1"/>
        <v>0</v>
      </c>
      <c r="N24" s="45">
        <f t="shared" si="2"/>
        <v>8010</v>
      </c>
      <c r="O24" s="45">
        <f t="shared" si="3"/>
        <v>-7390</v>
      </c>
      <c r="P24" s="45">
        <f t="shared" si="4"/>
        <v>-10500</v>
      </c>
      <c r="Q24" s="45">
        <f t="shared" si="5"/>
        <v>1680</v>
      </c>
      <c r="R24" s="64">
        <f t="shared" si="6"/>
        <v>2080</v>
      </c>
      <c r="S24" s="53"/>
      <c r="T24" s="45">
        <f t="shared" si="7"/>
        <v>-6100</v>
      </c>
      <c r="U24"/>
      <c r="V24" s="45">
        <f t="shared" si="8"/>
        <v>-8266.4754641997297</v>
      </c>
      <c r="W24"/>
      <c r="X24" s="45">
        <f t="shared" si="9"/>
        <v>68334616.600216135</v>
      </c>
    </row>
    <row r="25" spans="2:24" s="5" customFormat="1" ht="19.149999999999999" customHeight="1" x14ac:dyDescent="0.25">
      <c r="B25" s="37">
        <v>15</v>
      </c>
      <c r="C25" s="38">
        <v>1362</v>
      </c>
      <c r="D25" s="39">
        <v>5</v>
      </c>
      <c r="E25" s="39">
        <v>1053</v>
      </c>
      <c r="F25" s="39">
        <v>283</v>
      </c>
      <c r="G25" s="39">
        <v>50</v>
      </c>
      <c r="H25" s="40">
        <v>3</v>
      </c>
      <c r="J25" s="46">
        <v>4492.8412605036374</v>
      </c>
      <c r="L25" s="63">
        <f t="shared" si="0"/>
        <v>20</v>
      </c>
      <c r="M25" s="45">
        <f t="shared" si="1"/>
        <v>0</v>
      </c>
      <c r="N25" s="45">
        <f t="shared" si="2"/>
        <v>4450</v>
      </c>
      <c r="O25" s="45">
        <f t="shared" si="3"/>
        <v>-10530</v>
      </c>
      <c r="P25" s="45">
        <f t="shared" si="4"/>
        <v>-28300</v>
      </c>
      <c r="Q25" s="45">
        <f t="shared" si="5"/>
        <v>1500</v>
      </c>
      <c r="R25" s="64">
        <f t="shared" si="6"/>
        <v>780</v>
      </c>
      <c r="S25" s="53"/>
      <c r="T25" s="45">
        <f t="shared" si="7"/>
        <v>-32080</v>
      </c>
      <c r="U25"/>
      <c r="V25" s="45">
        <f t="shared" si="8"/>
        <v>-36572.841260503636</v>
      </c>
      <c r="W25"/>
      <c r="X25" s="45">
        <f t="shared" si="9"/>
        <v>1337572717.8659971</v>
      </c>
    </row>
    <row r="26" spans="2:24" s="5" customFormat="1" ht="19.149999999999999" customHeight="1" x14ac:dyDescent="0.25">
      <c r="B26" s="37">
        <v>16</v>
      </c>
      <c r="C26" s="38">
        <v>1239</v>
      </c>
      <c r="D26" s="39">
        <v>3</v>
      </c>
      <c r="E26" s="39">
        <v>1118</v>
      </c>
      <c r="F26" s="39">
        <v>115</v>
      </c>
      <c r="G26" s="39">
        <v>60</v>
      </c>
      <c r="H26" s="40">
        <v>1</v>
      </c>
      <c r="J26" s="46">
        <v>3603.3886395611103</v>
      </c>
      <c r="L26" s="63">
        <f t="shared" si="0"/>
        <v>20</v>
      </c>
      <c r="M26" s="45">
        <f t="shared" si="1"/>
        <v>0</v>
      </c>
      <c r="N26" s="45">
        <f t="shared" si="2"/>
        <v>2670</v>
      </c>
      <c r="O26" s="45">
        <f t="shared" si="3"/>
        <v>-11180</v>
      </c>
      <c r="P26" s="45">
        <f t="shared" si="4"/>
        <v>-11500</v>
      </c>
      <c r="Q26" s="45">
        <f t="shared" si="5"/>
        <v>1800</v>
      </c>
      <c r="R26" s="64">
        <f t="shared" si="6"/>
        <v>260</v>
      </c>
      <c r="S26" s="53"/>
      <c r="T26" s="45">
        <f t="shared" si="7"/>
        <v>-17930</v>
      </c>
      <c r="U26"/>
      <c r="V26" s="45">
        <f t="shared" si="8"/>
        <v>-21533.388639561112</v>
      </c>
      <c r="W26"/>
      <c r="X26" s="45">
        <f t="shared" si="9"/>
        <v>463686826.30237955</v>
      </c>
    </row>
    <row r="27" spans="2:24" s="5" customFormat="1" ht="19.149999999999999" customHeight="1" thickBot="1" x14ac:dyDescent="0.3">
      <c r="B27" s="41">
        <v>17</v>
      </c>
      <c r="C27" s="42">
        <v>934</v>
      </c>
      <c r="D27" s="43">
        <v>17</v>
      </c>
      <c r="E27" s="43">
        <v>177</v>
      </c>
      <c r="F27" s="43">
        <v>287</v>
      </c>
      <c r="G27" s="43">
        <v>87</v>
      </c>
      <c r="H27" s="44">
        <v>1</v>
      </c>
      <c r="J27" s="47">
        <v>5820.8983726841616</v>
      </c>
      <c r="L27" s="65">
        <f t="shared" si="0"/>
        <v>20</v>
      </c>
      <c r="M27" s="66">
        <f t="shared" si="1"/>
        <v>0</v>
      </c>
      <c r="N27" s="66">
        <f t="shared" si="2"/>
        <v>15130</v>
      </c>
      <c r="O27" s="66">
        <f t="shared" si="3"/>
        <v>-1770</v>
      </c>
      <c r="P27" s="66">
        <f t="shared" si="4"/>
        <v>-28700</v>
      </c>
      <c r="Q27" s="66">
        <f t="shared" si="5"/>
        <v>2610</v>
      </c>
      <c r="R27" s="67">
        <f t="shared" si="6"/>
        <v>260</v>
      </c>
      <c r="S27" s="53"/>
      <c r="T27" s="66">
        <f t="shared" si="7"/>
        <v>-12450</v>
      </c>
      <c r="U27"/>
      <c r="V27" s="66">
        <f t="shared" si="8"/>
        <v>-18270.898372684162</v>
      </c>
      <c r="W27"/>
      <c r="X27" s="66">
        <f t="shared" si="9"/>
        <v>333825727.34495276</v>
      </c>
    </row>
    <row r="28" spans="2:24" x14ac:dyDescent="0.25">
      <c r="X28" s="54"/>
    </row>
    <row r="29" spans="2:24" ht="19.5" thickBot="1" x14ac:dyDescent="0.3">
      <c r="V29" s="3" t="s">
        <v>37</v>
      </c>
      <c r="X29" s="55">
        <f>SUM(X11:X27)</f>
        <v>7929608365.626709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theta_0_up">
                <anchor moveWithCells="1" sizeWithCells="1">
                  <from>
                    <xdr:col>1</xdr:col>
                    <xdr:colOff>171450</xdr:colOff>
                    <xdr:row>5</xdr:row>
                    <xdr:rowOff>104775</xdr:rowOff>
                  </from>
                  <to>
                    <xdr:col>1</xdr:col>
                    <xdr:colOff>685800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3.theta_0_down">
                <anchor moveWithCells="1" sizeWithCells="1">
                  <from>
                    <xdr:col>1</xdr:col>
                    <xdr:colOff>171450</xdr:colOff>
                    <xdr:row>6</xdr:row>
                    <xdr:rowOff>152400</xdr:rowOff>
                  </from>
                  <to>
                    <xdr:col>1</xdr:col>
                    <xdr:colOff>676275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3.theta_1_up">
                <anchor moveWithCells="1" sizeWithCells="1">
                  <from>
                    <xdr:col>2</xdr:col>
                    <xdr:colOff>180975</xdr:colOff>
                    <xdr:row>5</xdr:row>
                    <xdr:rowOff>104775</xdr:rowOff>
                  </from>
                  <to>
                    <xdr:col>2</xdr:col>
                    <xdr:colOff>695325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Sheet3.theta_2_up">
                <anchor moveWithCells="1" sizeWithCells="1">
                  <from>
                    <xdr:col>3</xdr:col>
                    <xdr:colOff>180975</xdr:colOff>
                    <xdr:row>5</xdr:row>
                    <xdr:rowOff>104775</xdr:rowOff>
                  </from>
                  <to>
                    <xdr:col>3</xdr:col>
                    <xdr:colOff>695325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Sheet3.theta_3_up">
                <anchor moveWithCells="1" sizeWithCells="1">
                  <from>
                    <xdr:col>4</xdr:col>
                    <xdr:colOff>209550</xdr:colOff>
                    <xdr:row>5</xdr:row>
                    <xdr:rowOff>104775</xdr:rowOff>
                  </from>
                  <to>
                    <xdr:col>4</xdr:col>
                    <xdr:colOff>714375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Sheet3.theta_4_up">
                <anchor moveWithCells="1" sizeWithCells="1">
                  <from>
                    <xdr:col>5</xdr:col>
                    <xdr:colOff>219075</xdr:colOff>
                    <xdr:row>5</xdr:row>
                    <xdr:rowOff>104775</xdr:rowOff>
                  </from>
                  <to>
                    <xdr:col>5</xdr:col>
                    <xdr:colOff>733425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Sheet3.theta_5_up">
                <anchor moveWithCells="1" sizeWithCells="1">
                  <from>
                    <xdr:col>6</xdr:col>
                    <xdr:colOff>200025</xdr:colOff>
                    <xdr:row>5</xdr:row>
                    <xdr:rowOff>104775</xdr:rowOff>
                  </from>
                  <to>
                    <xdr:col>6</xdr:col>
                    <xdr:colOff>704850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Sheet3.theta_6_up">
                <anchor moveWithCells="1" sizeWithCells="1">
                  <from>
                    <xdr:col>7</xdr:col>
                    <xdr:colOff>381000</xdr:colOff>
                    <xdr:row>5</xdr:row>
                    <xdr:rowOff>104775</xdr:rowOff>
                  </from>
                  <to>
                    <xdr:col>7</xdr:col>
                    <xdr:colOff>895350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Sheet3.theta_1_down">
                <anchor moveWithCells="1" sizeWithCells="1">
                  <from>
                    <xdr:col>2</xdr:col>
                    <xdr:colOff>180975</xdr:colOff>
                    <xdr:row>6</xdr:row>
                    <xdr:rowOff>161925</xdr:rowOff>
                  </from>
                  <to>
                    <xdr:col>2</xdr:col>
                    <xdr:colOff>695325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Sheet3.theta_2_down">
                <anchor moveWithCells="1" sizeWithCells="1">
                  <from>
                    <xdr:col>3</xdr:col>
                    <xdr:colOff>180975</xdr:colOff>
                    <xdr:row>6</xdr:row>
                    <xdr:rowOff>152400</xdr:rowOff>
                  </from>
                  <to>
                    <xdr:col>3</xdr:col>
                    <xdr:colOff>695325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Sheet3.theta_3_down">
                <anchor moveWithCells="1" sizeWithCells="1">
                  <from>
                    <xdr:col>4</xdr:col>
                    <xdr:colOff>209550</xdr:colOff>
                    <xdr:row>6</xdr:row>
                    <xdr:rowOff>152400</xdr:rowOff>
                  </from>
                  <to>
                    <xdr:col>4</xdr:col>
                    <xdr:colOff>714375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Sheet3.theta_4_down">
                <anchor moveWithCells="1" sizeWithCells="1">
                  <from>
                    <xdr:col>5</xdr:col>
                    <xdr:colOff>238125</xdr:colOff>
                    <xdr:row>6</xdr:row>
                    <xdr:rowOff>161925</xdr:rowOff>
                  </from>
                  <to>
                    <xdr:col>5</xdr:col>
                    <xdr:colOff>742950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Sheet3.theta_5_down">
                <anchor moveWithCells="1" sizeWithCells="1">
                  <from>
                    <xdr:col>6</xdr:col>
                    <xdr:colOff>209550</xdr:colOff>
                    <xdr:row>6</xdr:row>
                    <xdr:rowOff>161925</xdr:rowOff>
                  </from>
                  <to>
                    <xdr:col>6</xdr:col>
                    <xdr:colOff>714375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Sheet3.theta_6_down">
                <anchor moveWithCells="1" sizeWithCells="1">
                  <from>
                    <xdr:col>7</xdr:col>
                    <xdr:colOff>390525</xdr:colOff>
                    <xdr:row>6</xdr:row>
                    <xdr:rowOff>161925</xdr:rowOff>
                  </from>
                  <to>
                    <xdr:col>7</xdr:col>
                    <xdr:colOff>895350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4:J73"/>
  <sheetViews>
    <sheetView showGridLines="0" zoomScaleNormal="100" workbookViewId="0">
      <selection activeCell="N8" sqref="N8:T8"/>
    </sheetView>
  </sheetViews>
  <sheetFormatPr defaultRowHeight="15" x14ac:dyDescent="0.25"/>
  <cols>
    <col min="2" max="2" width="12.28515625" customWidth="1"/>
    <col min="3" max="8" width="15.140625" customWidth="1"/>
    <col min="9" max="9" width="5.7109375" customWidth="1"/>
    <col min="10" max="10" width="17.7109375" customWidth="1"/>
    <col min="11" max="11" width="18.85546875" customWidth="1"/>
  </cols>
  <sheetData>
    <row r="4" spans="2:10" ht="14.45" hidden="1" x14ac:dyDescent="0.3"/>
    <row r="5" spans="2:10" ht="14.45" hidden="1" x14ac:dyDescent="0.3"/>
    <row r="6" spans="2:10" ht="14.45" hidden="1" x14ac:dyDescent="0.3">
      <c r="B6" s="6"/>
    </row>
    <row r="7" spans="2:10" ht="16.5" thickBot="1" x14ac:dyDescent="0.3">
      <c r="B7" s="49" t="s">
        <v>33</v>
      </c>
    </row>
    <row r="8" spans="2:10" ht="35.450000000000003" customHeight="1" thickBot="1" x14ac:dyDescent="0.3">
      <c r="B8" s="74" t="s">
        <v>2</v>
      </c>
      <c r="C8" s="75" t="s">
        <v>11</v>
      </c>
      <c r="D8" s="76" t="s">
        <v>12</v>
      </c>
      <c r="E8" s="76" t="s">
        <v>13</v>
      </c>
      <c r="F8" s="76" t="s">
        <v>14</v>
      </c>
      <c r="G8" s="76" t="s">
        <v>15</v>
      </c>
      <c r="H8" s="77" t="s">
        <v>16</v>
      </c>
      <c r="J8" s="78" t="s">
        <v>73</v>
      </c>
    </row>
    <row r="9" spans="2:10" s="5" customFormat="1" ht="19.149999999999999" customHeight="1" x14ac:dyDescent="0.25">
      <c r="B9" s="33">
        <v>1</v>
      </c>
      <c r="C9" s="34">
        <v>283</v>
      </c>
      <c r="D9" s="35">
        <v>14</v>
      </c>
      <c r="E9" s="35">
        <v>1590</v>
      </c>
      <c r="F9" s="35">
        <v>189</v>
      </c>
      <c r="G9" s="35">
        <v>5</v>
      </c>
      <c r="H9" s="36">
        <v>9</v>
      </c>
      <c r="J9" s="46">
        <v>-1498.2773700464356</v>
      </c>
    </row>
    <row r="10" spans="2:10" s="5" customFormat="1" ht="19.149999999999999" customHeight="1" x14ac:dyDescent="0.25">
      <c r="B10" s="37">
        <v>2</v>
      </c>
      <c r="C10" s="38">
        <v>697</v>
      </c>
      <c r="D10" s="39">
        <v>9</v>
      </c>
      <c r="E10" s="39">
        <v>699</v>
      </c>
      <c r="F10" s="39">
        <v>121</v>
      </c>
      <c r="G10" s="39">
        <v>32</v>
      </c>
      <c r="H10" s="40">
        <v>10</v>
      </c>
      <c r="J10" s="46">
        <v>2820.0111693165941</v>
      </c>
    </row>
    <row r="11" spans="2:10" s="5" customFormat="1" ht="19.149999999999999" customHeight="1" x14ac:dyDescent="0.25">
      <c r="B11" s="37">
        <v>3</v>
      </c>
      <c r="C11" s="38">
        <v>333</v>
      </c>
      <c r="D11" s="39">
        <v>20</v>
      </c>
      <c r="E11" s="39">
        <v>1146</v>
      </c>
      <c r="F11" s="39">
        <v>95</v>
      </c>
      <c r="G11" s="39">
        <v>46</v>
      </c>
      <c r="H11" s="40">
        <v>0</v>
      </c>
      <c r="J11" s="46">
        <v>-285.18570336948869</v>
      </c>
    </row>
    <row r="12" spans="2:10" s="5" customFormat="1" ht="19.149999999999999" customHeight="1" x14ac:dyDescent="0.25">
      <c r="B12" s="37">
        <v>4</v>
      </c>
      <c r="C12" s="38">
        <v>125</v>
      </c>
      <c r="D12" s="39">
        <v>6</v>
      </c>
      <c r="E12" s="39">
        <v>1709</v>
      </c>
      <c r="F12" s="39">
        <v>127</v>
      </c>
      <c r="G12" s="39">
        <v>99</v>
      </c>
      <c r="H12" s="40">
        <v>1</v>
      </c>
      <c r="J12" s="46">
        <v>-3196.7867470836868</v>
      </c>
    </row>
    <row r="13" spans="2:10" s="5" customFormat="1" ht="19.149999999999999" customHeight="1" x14ac:dyDescent="0.25">
      <c r="B13" s="37">
        <v>5</v>
      </c>
      <c r="C13" s="38">
        <v>778</v>
      </c>
      <c r="D13" s="39">
        <v>17</v>
      </c>
      <c r="E13" s="39">
        <v>225</v>
      </c>
      <c r="F13" s="39">
        <v>160</v>
      </c>
      <c r="G13" s="39">
        <v>60</v>
      </c>
      <c r="H13" s="40">
        <v>4</v>
      </c>
      <c r="J13" s="46">
        <v>4739.8499740559155</v>
      </c>
    </row>
    <row r="14" spans="2:10" s="5" customFormat="1" ht="19.149999999999999" customHeight="1" x14ac:dyDescent="0.25">
      <c r="B14" s="37">
        <v>6</v>
      </c>
      <c r="C14" s="38">
        <v>1531</v>
      </c>
      <c r="D14" s="39">
        <v>7</v>
      </c>
      <c r="E14" s="39">
        <v>1573</v>
      </c>
      <c r="F14" s="39">
        <v>185</v>
      </c>
      <c r="G14" s="39">
        <v>75</v>
      </c>
      <c r="H14" s="40">
        <v>10</v>
      </c>
      <c r="J14" s="46">
        <v>3251.7256287141422</v>
      </c>
    </row>
    <row r="15" spans="2:10" s="5" customFormat="1" ht="19.149999999999999" customHeight="1" x14ac:dyDescent="0.25">
      <c r="B15" s="37">
        <v>7</v>
      </c>
      <c r="C15" s="38">
        <v>1231</v>
      </c>
      <c r="D15" s="39">
        <v>10</v>
      </c>
      <c r="E15" s="39">
        <v>1496</v>
      </c>
      <c r="F15" s="39">
        <v>220</v>
      </c>
      <c r="G15" s="39">
        <v>75</v>
      </c>
      <c r="H15" s="40">
        <v>6</v>
      </c>
      <c r="J15" s="46">
        <v>2390.1090221883446</v>
      </c>
    </row>
    <row r="16" spans="2:10" s="5" customFormat="1" ht="19.149999999999999" customHeight="1" x14ac:dyDescent="0.3">
      <c r="B16" s="37">
        <v>8</v>
      </c>
      <c r="C16" s="38">
        <v>860</v>
      </c>
      <c r="D16" s="39">
        <v>19</v>
      </c>
      <c r="E16" s="39">
        <v>1483</v>
      </c>
      <c r="F16" s="39">
        <v>188</v>
      </c>
      <c r="G16" s="39">
        <v>68</v>
      </c>
      <c r="H16" s="40">
        <v>3</v>
      </c>
      <c r="J16" s="46">
        <v>996.15217075867565</v>
      </c>
    </row>
    <row r="17" spans="2:10" s="5" customFormat="1" ht="19.149999999999999" customHeight="1" x14ac:dyDescent="0.3">
      <c r="B17" s="37">
        <v>9</v>
      </c>
      <c r="C17" s="38">
        <v>239</v>
      </c>
      <c r="D17" s="39">
        <v>14</v>
      </c>
      <c r="E17" s="39">
        <v>1729</v>
      </c>
      <c r="F17" s="39">
        <v>211</v>
      </c>
      <c r="G17" s="39">
        <v>92</v>
      </c>
      <c r="H17" s="40">
        <v>4</v>
      </c>
      <c r="J17" s="46">
        <v>-2543.0266082949784</v>
      </c>
    </row>
    <row r="18" spans="2:10" s="5" customFormat="1" ht="19.149999999999999" customHeight="1" x14ac:dyDescent="0.3">
      <c r="B18" s="37">
        <v>10</v>
      </c>
      <c r="C18" s="38">
        <v>886</v>
      </c>
      <c r="D18" s="39">
        <v>4</v>
      </c>
      <c r="E18" s="39">
        <v>366</v>
      </c>
      <c r="F18" s="39">
        <v>98</v>
      </c>
      <c r="G18" s="39">
        <v>71</v>
      </c>
      <c r="H18" s="40">
        <v>5</v>
      </c>
      <c r="J18" s="46">
        <v>4382.3695445278827</v>
      </c>
    </row>
    <row r="19" spans="2:10" s="5" customFormat="1" ht="19.149999999999999" customHeight="1" x14ac:dyDescent="0.3">
      <c r="B19" s="37">
        <v>11</v>
      </c>
      <c r="C19" s="38">
        <v>1932</v>
      </c>
      <c r="D19" s="39">
        <v>6</v>
      </c>
      <c r="E19" s="39">
        <v>1368</v>
      </c>
      <c r="F19" s="39">
        <v>139</v>
      </c>
      <c r="G19" s="39">
        <v>26</v>
      </c>
      <c r="H19" s="40">
        <v>4</v>
      </c>
      <c r="J19" s="46">
        <v>5688.5752079061231</v>
      </c>
    </row>
    <row r="20" spans="2:10" s="5" customFormat="1" ht="19.149999999999999" customHeight="1" x14ac:dyDescent="0.3">
      <c r="B20" s="37">
        <v>12</v>
      </c>
      <c r="C20" s="38">
        <v>584</v>
      </c>
      <c r="D20" s="39">
        <v>1</v>
      </c>
      <c r="E20" s="39">
        <v>928</v>
      </c>
      <c r="F20" s="39">
        <v>259</v>
      </c>
      <c r="G20" s="39">
        <v>42</v>
      </c>
      <c r="H20" s="40">
        <v>7</v>
      </c>
      <c r="J20" s="46">
        <v>1900.7780586562012</v>
      </c>
    </row>
    <row r="21" spans="2:10" s="5" customFormat="1" ht="19.149999999999999" customHeight="1" x14ac:dyDescent="0.3">
      <c r="B21" s="37">
        <v>13</v>
      </c>
      <c r="C21" s="38">
        <v>1294</v>
      </c>
      <c r="D21" s="39">
        <v>14</v>
      </c>
      <c r="E21" s="39">
        <v>628</v>
      </c>
      <c r="F21" s="39">
        <v>224</v>
      </c>
      <c r="G21" s="39">
        <v>23</v>
      </c>
      <c r="H21" s="40">
        <v>2</v>
      </c>
      <c r="J21" s="46">
        <v>5789.6395399981602</v>
      </c>
    </row>
    <row r="22" spans="2:10" s="5" customFormat="1" ht="19.149999999999999" customHeight="1" x14ac:dyDescent="0.3">
      <c r="B22" s="37">
        <v>14</v>
      </c>
      <c r="C22" s="38">
        <v>484</v>
      </c>
      <c r="D22" s="39">
        <v>9</v>
      </c>
      <c r="E22" s="39">
        <v>1371</v>
      </c>
      <c r="F22" s="39">
        <v>113</v>
      </c>
      <c r="G22" s="39">
        <v>81</v>
      </c>
      <c r="H22" s="40">
        <v>10</v>
      </c>
      <c r="J22" s="46">
        <v>-343.03390985895919</v>
      </c>
    </row>
    <row r="23" spans="2:10" s="5" customFormat="1" ht="19.149999999999999" customHeight="1" x14ac:dyDescent="0.3">
      <c r="B23" s="37">
        <v>15</v>
      </c>
      <c r="C23" s="38">
        <v>1533</v>
      </c>
      <c r="D23" s="39">
        <v>1</v>
      </c>
      <c r="E23" s="39">
        <v>927</v>
      </c>
      <c r="F23" s="39">
        <v>230</v>
      </c>
      <c r="G23" s="39">
        <v>67</v>
      </c>
      <c r="H23" s="40">
        <v>9</v>
      </c>
      <c r="J23" s="46">
        <v>5615.290435328815</v>
      </c>
    </row>
    <row r="24" spans="2:10" s="5" customFormat="1" ht="19.149999999999999" customHeight="1" x14ac:dyDescent="0.3">
      <c r="B24" s="37">
        <v>16</v>
      </c>
      <c r="C24" s="38">
        <v>1552</v>
      </c>
      <c r="D24" s="39">
        <v>20</v>
      </c>
      <c r="E24" s="39">
        <v>1153</v>
      </c>
      <c r="F24" s="39">
        <v>286</v>
      </c>
      <c r="G24" s="39">
        <v>18</v>
      </c>
      <c r="H24" s="40">
        <v>2</v>
      </c>
      <c r="J24" s="46">
        <v>5395.3348261004257</v>
      </c>
    </row>
    <row r="25" spans="2:10" s="5" customFormat="1" ht="19.149999999999999" customHeight="1" thickBot="1" x14ac:dyDescent="0.35">
      <c r="B25" s="41">
        <v>17</v>
      </c>
      <c r="C25" s="42">
        <v>1725</v>
      </c>
      <c r="D25" s="43">
        <v>6</v>
      </c>
      <c r="E25" s="43">
        <v>714</v>
      </c>
      <c r="F25" s="43">
        <v>104</v>
      </c>
      <c r="G25" s="43">
        <v>89</v>
      </c>
      <c r="H25" s="44">
        <v>0</v>
      </c>
      <c r="J25" s="47">
        <v>6386.482645862101</v>
      </c>
    </row>
    <row r="28" spans="2:10" x14ac:dyDescent="0.25">
      <c r="B28" t="s">
        <v>39</v>
      </c>
    </row>
    <row r="29" spans="2:10" ht="15.75" thickBot="1" x14ac:dyDescent="0.3"/>
    <row r="30" spans="2:10" x14ac:dyDescent="0.25">
      <c r="B30" s="59" t="s">
        <v>40</v>
      </c>
      <c r="C30" s="59"/>
    </row>
    <row r="31" spans="2:10" ht="40.15" customHeight="1" x14ac:dyDescent="0.25">
      <c r="B31" s="56" t="s">
        <v>41</v>
      </c>
      <c r="C31" s="56">
        <v>0.99978821034246157</v>
      </c>
    </row>
    <row r="32" spans="2:10" ht="12.6" hidden="1" customHeight="1" x14ac:dyDescent="0.25">
      <c r="B32" s="56" t="s">
        <v>42</v>
      </c>
      <c r="C32" s="56">
        <v>0.99957646553978208</v>
      </c>
    </row>
    <row r="33" spans="2:10" ht="18.600000000000001" customHeight="1" x14ac:dyDescent="0.25">
      <c r="B33" s="56" t="s">
        <v>43</v>
      </c>
      <c r="C33" s="56">
        <v>0.99932234486365135</v>
      </c>
    </row>
    <row r="34" spans="2:10" ht="18.600000000000001" customHeight="1" x14ac:dyDescent="0.25">
      <c r="B34" s="56" t="s">
        <v>44</v>
      </c>
      <c r="C34" s="56">
        <v>81.204473753200588</v>
      </c>
    </row>
    <row r="35" spans="2:10" ht="18.600000000000001" customHeight="1" thickBot="1" x14ac:dyDescent="0.3">
      <c r="B35" s="57" t="s">
        <v>45</v>
      </c>
      <c r="C35" s="57">
        <v>17</v>
      </c>
    </row>
    <row r="36" spans="2:10" ht="18.600000000000001" customHeight="1" x14ac:dyDescent="0.25"/>
    <row r="37" spans="2:10" ht="18.600000000000001" customHeight="1" thickBot="1" x14ac:dyDescent="0.3">
      <c r="B37" t="s">
        <v>46</v>
      </c>
    </row>
    <row r="38" spans="2:10" ht="18.600000000000001" customHeight="1" x14ac:dyDescent="0.25">
      <c r="B38" s="58"/>
      <c r="C38" s="58" t="s">
        <v>51</v>
      </c>
      <c r="D38" s="58" t="s">
        <v>52</v>
      </c>
      <c r="E38" s="58" t="s">
        <v>53</v>
      </c>
      <c r="F38" s="58" t="s">
        <v>54</v>
      </c>
      <c r="G38" s="58" t="s">
        <v>55</v>
      </c>
    </row>
    <row r="39" spans="2:10" ht="18.600000000000001" customHeight="1" x14ac:dyDescent="0.25">
      <c r="B39" s="56" t="s">
        <v>47</v>
      </c>
      <c r="C39" s="56">
        <v>6</v>
      </c>
      <c r="D39" s="56">
        <v>155627801.74653456</v>
      </c>
      <c r="E39" s="56">
        <v>25937966.957755759</v>
      </c>
      <c r="F39" s="56">
        <v>3933.471611832435</v>
      </c>
      <c r="G39" s="56">
        <v>2.8599368042742186E-16</v>
      </c>
    </row>
    <row r="40" spans="2:10" ht="18.600000000000001" customHeight="1" x14ac:dyDescent="0.25">
      <c r="B40" s="56" t="s">
        <v>48</v>
      </c>
      <c r="C40" s="56">
        <v>10</v>
      </c>
      <c r="D40" s="56">
        <v>65941.665575342427</v>
      </c>
      <c r="E40" s="56">
        <v>6594.1665575342431</v>
      </c>
      <c r="F40" s="56"/>
      <c r="G40" s="56"/>
    </row>
    <row r="41" spans="2:10" ht="18.600000000000001" customHeight="1" thickBot="1" x14ac:dyDescent="0.3">
      <c r="B41" s="57" t="s">
        <v>49</v>
      </c>
      <c r="C41" s="57">
        <v>16</v>
      </c>
      <c r="D41" s="57">
        <v>155693743.41210991</v>
      </c>
      <c r="E41" s="57"/>
      <c r="F41" s="57"/>
      <c r="G41" s="57"/>
    </row>
    <row r="42" spans="2:10" ht="18.600000000000001" customHeight="1" thickBot="1" x14ac:dyDescent="0.3"/>
    <row r="43" spans="2:10" ht="18.600000000000001" customHeight="1" x14ac:dyDescent="0.25">
      <c r="B43" s="58"/>
      <c r="C43" s="58" t="s">
        <v>56</v>
      </c>
      <c r="D43" s="58" t="s">
        <v>44</v>
      </c>
      <c r="E43" s="58" t="s">
        <v>57</v>
      </c>
      <c r="F43" s="58" t="s">
        <v>58</v>
      </c>
      <c r="G43" s="58" t="s">
        <v>59</v>
      </c>
      <c r="H43" s="58" t="s">
        <v>60</v>
      </c>
      <c r="I43" s="58" t="s">
        <v>61</v>
      </c>
      <c r="J43" s="58" t="s">
        <v>62</v>
      </c>
    </row>
    <row r="44" spans="2:10" ht="18.600000000000001" customHeight="1" x14ac:dyDescent="0.25">
      <c r="B44" s="56" t="s">
        <v>50</v>
      </c>
      <c r="C44" s="56">
        <v>1939.2062353409133</v>
      </c>
      <c r="D44" s="56">
        <v>128.66954257141694</v>
      </c>
      <c r="E44" s="56">
        <v>15.071214186252146</v>
      </c>
      <c r="F44" s="56">
        <v>3.3406959790083633E-8</v>
      </c>
      <c r="G44" s="56">
        <v>1652.5126284702374</v>
      </c>
      <c r="H44" s="56">
        <v>2225.8998422115892</v>
      </c>
      <c r="I44" s="56">
        <v>1652.5126284702374</v>
      </c>
      <c r="J44" s="56">
        <v>2225.8998422115892</v>
      </c>
    </row>
    <row r="45" spans="2:10" ht="18.600000000000001" customHeight="1" x14ac:dyDescent="0.25">
      <c r="B45" s="56" t="s">
        <v>11</v>
      </c>
      <c r="C45" s="56">
        <v>4.0516385136525814</v>
      </c>
      <c r="D45" s="56">
        <v>3.9900044206670607E-2</v>
      </c>
      <c r="E45" s="56">
        <v>101.54471239846939</v>
      </c>
      <c r="F45" s="56">
        <v>2.1018317712531113E-16</v>
      </c>
      <c r="G45" s="56">
        <v>3.9627356749597289</v>
      </c>
      <c r="H45" s="56">
        <v>4.1405413523454344</v>
      </c>
      <c r="I45" s="56">
        <v>3.9627356749597289</v>
      </c>
      <c r="J45" s="56">
        <v>4.1405413523454344</v>
      </c>
    </row>
    <row r="46" spans="2:10" ht="18.600000000000001" customHeight="1" x14ac:dyDescent="0.25">
      <c r="B46" s="56" t="s">
        <v>12</v>
      </c>
      <c r="C46" s="56">
        <v>8.2555857455321657</v>
      </c>
      <c r="D46" s="56">
        <v>4.1673959659484892</v>
      </c>
      <c r="E46" s="56">
        <v>1.9809938419550239</v>
      </c>
      <c r="F46" s="56">
        <v>7.5747336253672692E-2</v>
      </c>
      <c r="G46" s="56">
        <v>-1.0299511178085314</v>
      </c>
      <c r="H46" s="56">
        <v>17.541122608872861</v>
      </c>
      <c r="I46" s="56">
        <v>-1.0299511178085314</v>
      </c>
      <c r="J46" s="56">
        <v>17.541122608872861</v>
      </c>
    </row>
    <row r="47" spans="2:10" ht="18.600000000000001" customHeight="1" x14ac:dyDescent="0.25">
      <c r="B47" s="56" t="s">
        <v>13</v>
      </c>
      <c r="C47" s="56">
        <v>-3.3108710516570632</v>
      </c>
      <c r="D47" s="56">
        <v>4.754438514441886E-2</v>
      </c>
      <c r="E47" s="56">
        <v>-69.637477519166524</v>
      </c>
      <c r="F47" s="56">
        <v>9.0901230863538318E-15</v>
      </c>
      <c r="G47" s="56">
        <v>-3.4168065433911421</v>
      </c>
      <c r="H47" s="56">
        <v>-3.2049355599229843</v>
      </c>
      <c r="I47" s="56">
        <v>-3.4168065433911421</v>
      </c>
      <c r="J47" s="56">
        <v>-3.2049355599229843</v>
      </c>
    </row>
    <row r="48" spans="2:10" ht="18.600000000000001" customHeight="1" x14ac:dyDescent="0.25">
      <c r="B48" s="56" t="s">
        <v>14</v>
      </c>
      <c r="C48" s="56">
        <v>2.8913300392948589</v>
      </c>
      <c r="D48" s="56">
        <v>0.38504598441496668</v>
      </c>
      <c r="E48" s="56">
        <v>7.5090512726367065</v>
      </c>
      <c r="F48" s="56">
        <v>2.0414743415519992E-5</v>
      </c>
      <c r="G48" s="56">
        <v>2.0333941216185702</v>
      </c>
      <c r="H48" s="56">
        <v>3.7492659569711475</v>
      </c>
      <c r="I48" s="56">
        <v>2.0333941216185702</v>
      </c>
      <c r="J48" s="56">
        <v>3.7492659569711475</v>
      </c>
    </row>
    <row r="49" spans="2:10" ht="18.600000000000001" customHeight="1" x14ac:dyDescent="0.25">
      <c r="B49" s="56" t="s">
        <v>15</v>
      </c>
      <c r="C49" s="56">
        <v>-4.6883309924500898</v>
      </c>
      <c r="D49" s="56">
        <v>0.86131869093605551</v>
      </c>
      <c r="E49" s="56">
        <v>-5.4432012700838426</v>
      </c>
      <c r="F49" s="56">
        <v>2.8356197951154131E-4</v>
      </c>
      <c r="G49" s="56">
        <v>-6.6074686316666735</v>
      </c>
      <c r="H49" s="56">
        <v>-2.7691933532335065</v>
      </c>
      <c r="I49" s="56">
        <v>-6.6074686316666735</v>
      </c>
      <c r="J49" s="56">
        <v>-2.7691933532335065</v>
      </c>
    </row>
    <row r="50" spans="2:10" ht="15.75" thickBot="1" x14ac:dyDescent="0.3">
      <c r="B50" s="57" t="s">
        <v>16</v>
      </c>
      <c r="C50" s="57">
        <v>14.363245300707913</v>
      </c>
      <c r="D50" s="57">
        <v>6.8177857913488218</v>
      </c>
      <c r="E50" s="57">
        <v>2.1067316780374097</v>
      </c>
      <c r="F50" s="57">
        <v>6.1378642114977573E-2</v>
      </c>
      <c r="G50" s="57">
        <v>-0.82772810551638365</v>
      </c>
      <c r="H50" s="57">
        <v>29.554218706932211</v>
      </c>
      <c r="I50" s="57">
        <v>-0.82772810551638365</v>
      </c>
      <c r="J50" s="57">
        <v>29.554218706932211</v>
      </c>
    </row>
    <row r="53" spans="2:10" ht="32.450000000000003" customHeight="1" x14ac:dyDescent="0.25"/>
    <row r="54" spans="2:10" ht="14.45" hidden="1" x14ac:dyDescent="0.3"/>
    <row r="55" spans="2:10" ht="17.649999999999999" customHeight="1" x14ac:dyDescent="0.25"/>
    <row r="56" spans="2:10" ht="17.649999999999999" customHeight="1" x14ac:dyDescent="0.25"/>
    <row r="57" spans="2:10" ht="17.649999999999999" customHeight="1" x14ac:dyDescent="0.25"/>
    <row r="58" spans="2:10" ht="17.649999999999999" customHeight="1" x14ac:dyDescent="0.25"/>
    <row r="59" spans="2:10" ht="17.649999999999999" customHeight="1" x14ac:dyDescent="0.25"/>
    <row r="60" spans="2:10" ht="17.649999999999999" customHeight="1" x14ac:dyDescent="0.25"/>
    <row r="61" spans="2:10" ht="17.649999999999999" customHeight="1" x14ac:dyDescent="0.25"/>
    <row r="62" spans="2:10" ht="17.649999999999999" customHeight="1" x14ac:dyDescent="0.25"/>
    <row r="63" spans="2:10" ht="17.649999999999999" customHeight="1" x14ac:dyDescent="0.25"/>
    <row r="64" spans="2:10" ht="17.649999999999999" customHeight="1" x14ac:dyDescent="0.25"/>
    <row r="65" ht="17.649999999999999" customHeight="1" x14ac:dyDescent="0.25"/>
    <row r="66" ht="17.649999999999999" customHeight="1" x14ac:dyDescent="0.25"/>
    <row r="67" ht="17.649999999999999" customHeight="1" x14ac:dyDescent="0.25"/>
    <row r="68" ht="17.649999999999999" customHeight="1" x14ac:dyDescent="0.25"/>
    <row r="69" ht="17.649999999999999" customHeight="1" x14ac:dyDescent="0.25"/>
    <row r="70" ht="17.649999999999999" customHeight="1" x14ac:dyDescent="0.25"/>
    <row r="71" ht="17.649999999999999" customHeight="1" x14ac:dyDescent="0.25"/>
    <row r="72" ht="17.649999999999999" customHeight="1" x14ac:dyDescent="0.25"/>
    <row r="73" ht="17.649999999999999" customHeight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2.theta_0_up">
                <anchor moveWithCells="1" sizeWithCells="1">
                  <from>
                    <xdr:col>1</xdr:col>
                    <xdr:colOff>171450</xdr:colOff>
                    <xdr:row>3</xdr:row>
                    <xdr:rowOff>0</xdr:rowOff>
                  </from>
                  <to>
                    <xdr:col>1</xdr:col>
                    <xdr:colOff>685800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2.theta_0_down">
                <anchor moveWithCells="1" sizeWithCells="1">
                  <from>
                    <xdr:col>1</xdr:col>
                    <xdr:colOff>171450</xdr:colOff>
                    <xdr:row>3</xdr:row>
                    <xdr:rowOff>0</xdr:rowOff>
                  </from>
                  <to>
                    <xdr:col>1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heet2.theta_1_up">
                <anchor moveWithCells="1" sizeWithCells="1">
                  <from>
                    <xdr:col>2</xdr:col>
                    <xdr:colOff>180975</xdr:colOff>
                    <xdr:row>3</xdr:row>
                    <xdr:rowOff>0</xdr:rowOff>
                  </from>
                  <to>
                    <xdr:col>2</xdr:col>
                    <xdr:colOff>695325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Sheet2.theta_2_up">
                <anchor moveWithCells="1" sizeWithCells="1">
                  <from>
                    <xdr:col>3</xdr:col>
                    <xdr:colOff>180975</xdr:colOff>
                    <xdr:row>3</xdr:row>
                    <xdr:rowOff>0</xdr:rowOff>
                  </from>
                  <to>
                    <xdr:col>3</xdr:col>
                    <xdr:colOff>695325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Sheet2.theta_3_up">
                <anchor moveWithCells="1" sizeWithCells="1">
                  <from>
                    <xdr:col>4</xdr:col>
                    <xdr:colOff>209550</xdr:colOff>
                    <xdr:row>3</xdr:row>
                    <xdr:rowOff>0</xdr:rowOff>
                  </from>
                  <to>
                    <xdr:col>4</xdr:col>
                    <xdr:colOff>714375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Sheet2.theta_4_up">
                <anchor moveWithCells="1" sizeWithCells="1">
                  <from>
                    <xdr:col>5</xdr:col>
                    <xdr:colOff>219075</xdr:colOff>
                    <xdr:row>3</xdr:row>
                    <xdr:rowOff>0</xdr:rowOff>
                  </from>
                  <to>
                    <xdr:col>5</xdr:col>
                    <xdr:colOff>733425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Sheet2.theta_5_up">
                <anchor moveWithCells="1" sizeWithCells="1">
                  <from>
                    <xdr:col>6</xdr:col>
                    <xdr:colOff>200025</xdr:colOff>
                    <xdr:row>3</xdr:row>
                    <xdr:rowOff>0</xdr:rowOff>
                  </from>
                  <to>
                    <xdr:col>6</xdr:col>
                    <xdr:colOff>704850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Button 11">
              <controlPr defaultSize="0" print="0" autoFill="0" autoPict="0" macro="[0]!Sheet2.theta_6_up">
                <anchor moveWithCells="1" sizeWithCells="1">
                  <from>
                    <xdr:col>7</xdr:col>
                    <xdr:colOff>381000</xdr:colOff>
                    <xdr:row>3</xdr:row>
                    <xdr:rowOff>0</xdr:rowOff>
                  </from>
                  <to>
                    <xdr:col>7</xdr:col>
                    <xdr:colOff>895350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2" name="Button 12">
              <controlPr defaultSize="0" print="0" autoFill="0" autoPict="0" macro="[0]!Sheet2.theta_1_down">
                <anchor moveWithCells="1" sizeWithCells="1">
                  <from>
                    <xdr:col>2</xdr:col>
                    <xdr:colOff>180975</xdr:colOff>
                    <xdr:row>3</xdr:row>
                    <xdr:rowOff>0</xdr:rowOff>
                  </from>
                  <to>
                    <xdr:col>2</xdr:col>
                    <xdr:colOff>695325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Sheet2.theta_2_down">
                <anchor moveWithCells="1" sizeWithCells="1">
                  <from>
                    <xdr:col>3</xdr:col>
                    <xdr:colOff>180975</xdr:colOff>
                    <xdr:row>3</xdr:row>
                    <xdr:rowOff>0</xdr:rowOff>
                  </from>
                  <to>
                    <xdr:col>3</xdr:col>
                    <xdr:colOff>695325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4" name="Button 17">
              <controlPr defaultSize="0" print="0" autoFill="0" autoPict="0" macro="[0]!Sheet2.theta_3_down">
                <anchor moveWithCells="1" sizeWithCells="1">
                  <from>
                    <xdr:col>4</xdr:col>
                    <xdr:colOff>209550</xdr:colOff>
                    <xdr:row>3</xdr:row>
                    <xdr:rowOff>0</xdr:rowOff>
                  </from>
                  <to>
                    <xdr:col>4</xdr:col>
                    <xdr:colOff>714375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5" name="Button 18">
              <controlPr defaultSize="0" print="0" autoFill="0" autoPict="0" macro="[0]!Sheet2.theta_4_down">
                <anchor moveWithCells="1" sizeWithCells="1">
                  <from>
                    <xdr:col>5</xdr:col>
                    <xdr:colOff>238125</xdr:colOff>
                    <xdr:row>3</xdr:row>
                    <xdr:rowOff>0</xdr:rowOff>
                  </from>
                  <to>
                    <xdr:col>5</xdr:col>
                    <xdr:colOff>742950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6" name="Button 19">
              <controlPr defaultSize="0" print="0" autoFill="0" autoPict="0" macro="[0]!Sheet2.theta_5_down">
                <anchor moveWithCells="1" sizeWithCells="1">
                  <from>
                    <xdr:col>6</xdr:col>
                    <xdr:colOff>209550</xdr:colOff>
                    <xdr:row>3</xdr:row>
                    <xdr:rowOff>0</xdr:rowOff>
                  </from>
                  <to>
                    <xdr:col>6</xdr:col>
                    <xdr:colOff>714375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7" name="Button 20">
              <controlPr defaultSize="0" print="0" autoFill="0" autoPict="0" macro="[0]!Sheet2.theta_6_down">
                <anchor moveWithCells="1" sizeWithCells="1">
                  <from>
                    <xdr:col>7</xdr:col>
                    <xdr:colOff>390525</xdr:colOff>
                    <xdr:row>3</xdr:row>
                    <xdr:rowOff>0</xdr:rowOff>
                  </from>
                  <to>
                    <xdr:col>7</xdr:col>
                    <xdr:colOff>895350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Y76"/>
  <sheetViews>
    <sheetView showGridLines="0" topLeftCell="I30" zoomScaleNormal="100" workbookViewId="0">
      <selection activeCell="T10" sqref="T10:X29"/>
    </sheetView>
  </sheetViews>
  <sheetFormatPr defaultRowHeight="15" x14ac:dyDescent="0.25"/>
  <cols>
    <col min="2" max="2" width="12.28515625" customWidth="1"/>
    <col min="3" max="8" width="15.140625" customWidth="1"/>
    <col min="9" max="9" width="5.7109375" customWidth="1"/>
    <col min="10" max="10" width="17.7109375" customWidth="1"/>
    <col min="11" max="20" width="18.85546875" customWidth="1"/>
    <col min="21" max="21" width="3.42578125" customWidth="1"/>
    <col min="22" max="22" width="9.7109375" customWidth="1"/>
    <col min="23" max="23" width="3.7109375" customWidth="1"/>
    <col min="24" max="24" width="18.7109375" customWidth="1"/>
  </cols>
  <sheetData>
    <row r="3" spans="2:25" thickBot="1" x14ac:dyDescent="0.35"/>
    <row r="4" spans="2:25" ht="22.15" customHeight="1" x14ac:dyDescent="0.45">
      <c r="B4" s="50" t="s">
        <v>38</v>
      </c>
      <c r="C4" s="51" t="s">
        <v>17</v>
      </c>
      <c r="D4" s="51" t="s">
        <v>18</v>
      </c>
      <c r="E4" s="51" t="s">
        <v>19</v>
      </c>
      <c r="F4" s="51" t="s">
        <v>20</v>
      </c>
      <c r="G4" s="51" t="s">
        <v>21</v>
      </c>
      <c r="H4" s="52" t="s">
        <v>22</v>
      </c>
      <c r="J4" s="70" t="s">
        <v>64</v>
      </c>
    </row>
    <row r="5" spans="2:25" ht="18.600000000000001" thickBot="1" x14ac:dyDescent="0.4">
      <c r="B5" s="71">
        <v>1939.2062353409133</v>
      </c>
      <c r="C5" s="79">
        <v>4.0516385136525814</v>
      </c>
      <c r="D5" s="72">
        <v>8.2555857455321657</v>
      </c>
      <c r="E5" s="72">
        <v>-3.3108710516570632</v>
      </c>
      <c r="F5" s="72">
        <v>2.8913300392948589</v>
      </c>
      <c r="G5" s="72">
        <v>-4.6883309924500898</v>
      </c>
      <c r="H5" s="73">
        <v>14.363245300707913</v>
      </c>
      <c r="J5" s="90">
        <f>X29/COUNT(J11:J27)</f>
        <v>3878.9215044318835</v>
      </c>
    </row>
    <row r="6" spans="2:25" ht="18.600000000000001" hidden="1" thickBot="1" x14ac:dyDescent="0.4">
      <c r="T6" s="69"/>
    </row>
    <row r="7" spans="2:25" ht="18.600000000000001" hidden="1" thickBot="1" x14ac:dyDescent="0.4">
      <c r="T7" s="69"/>
    </row>
    <row r="8" spans="2:25" ht="18.600000000000001" hidden="1" thickBot="1" x14ac:dyDescent="0.35">
      <c r="B8" s="6"/>
      <c r="L8" s="68"/>
      <c r="M8" s="68"/>
      <c r="N8" s="68"/>
      <c r="O8" s="68"/>
      <c r="P8" s="68"/>
      <c r="Q8" s="68"/>
      <c r="R8" s="68"/>
    </row>
    <row r="9" spans="2:25" ht="24.75" thickBot="1" x14ac:dyDescent="0.5">
      <c r="B9" s="49" t="s">
        <v>33</v>
      </c>
      <c r="L9" s="50" t="s">
        <v>38</v>
      </c>
      <c r="M9" s="51" t="s">
        <v>17</v>
      </c>
      <c r="N9" s="51" t="s">
        <v>18</v>
      </c>
      <c r="O9" s="51" t="s">
        <v>19</v>
      </c>
      <c r="P9" s="51" t="s">
        <v>20</v>
      </c>
      <c r="Q9" s="51" t="s">
        <v>21</v>
      </c>
      <c r="R9" s="52" t="s">
        <v>22</v>
      </c>
    </row>
    <row r="10" spans="2:25" ht="35.450000000000003" customHeight="1" thickBot="1" x14ac:dyDescent="0.35">
      <c r="B10" s="74" t="s">
        <v>2</v>
      </c>
      <c r="C10" s="75" t="s">
        <v>11</v>
      </c>
      <c r="D10" s="76" t="s">
        <v>12</v>
      </c>
      <c r="E10" s="76" t="s">
        <v>13</v>
      </c>
      <c r="F10" s="76" t="s">
        <v>14</v>
      </c>
      <c r="G10" s="76" t="s">
        <v>15</v>
      </c>
      <c r="H10" s="77" t="s">
        <v>16</v>
      </c>
      <c r="J10" s="78" t="s">
        <v>73</v>
      </c>
      <c r="M10" s="75" t="s">
        <v>11</v>
      </c>
      <c r="N10" s="76" t="s">
        <v>12</v>
      </c>
      <c r="O10" s="76" t="s">
        <v>13</v>
      </c>
      <c r="P10" s="76" t="s">
        <v>14</v>
      </c>
      <c r="Q10" s="76" t="s">
        <v>15</v>
      </c>
      <c r="R10" s="77" t="s">
        <v>16</v>
      </c>
      <c r="T10" s="76" t="s">
        <v>34</v>
      </c>
      <c r="V10" s="76" t="s">
        <v>35</v>
      </c>
      <c r="X10" s="76" t="s">
        <v>36</v>
      </c>
    </row>
    <row r="11" spans="2:25" s="5" customFormat="1" ht="19.149999999999999" customHeight="1" x14ac:dyDescent="0.3">
      <c r="B11" s="33">
        <v>1</v>
      </c>
      <c r="C11" s="34">
        <v>283</v>
      </c>
      <c r="D11" s="35">
        <v>14</v>
      </c>
      <c r="E11" s="35">
        <v>1590</v>
      </c>
      <c r="F11" s="35">
        <v>189</v>
      </c>
      <c r="G11" s="35">
        <v>5</v>
      </c>
      <c r="H11" s="36">
        <v>9</v>
      </c>
      <c r="J11" s="46">
        <v>-1498.2773700464356</v>
      </c>
      <c r="L11" s="60">
        <f t="shared" ref="L11:L27" si="0">$B$5</f>
        <v>1939.2062353409133</v>
      </c>
      <c r="M11" s="61">
        <f t="shared" ref="M11:R27" si="1">C11*C$5</f>
        <v>1146.6136993636806</v>
      </c>
      <c r="N11" s="61">
        <f t="shared" si="1"/>
        <v>115.57820043745032</v>
      </c>
      <c r="O11" s="61">
        <f t="shared" si="1"/>
        <v>-5264.2849721347302</v>
      </c>
      <c r="P11" s="61">
        <f t="shared" si="1"/>
        <v>546.46137742672829</v>
      </c>
      <c r="Q11" s="61">
        <f t="shared" si="1"/>
        <v>-23.44165496225045</v>
      </c>
      <c r="R11" s="62">
        <f t="shared" si="1"/>
        <v>129.26920770637122</v>
      </c>
      <c r="S11" s="53"/>
      <c r="T11" s="61">
        <f>SUM(L11:R11)</f>
        <v>-1410.5979068218369</v>
      </c>
      <c r="U11"/>
      <c r="V11" s="61">
        <f>T11-J11</f>
        <v>87.679463224598749</v>
      </c>
      <c r="W11"/>
      <c r="X11" s="61">
        <f>V11^2</f>
        <v>7687.6882713537643</v>
      </c>
      <c r="Y11"/>
    </row>
    <row r="12" spans="2:25" s="5" customFormat="1" ht="19.149999999999999" customHeight="1" x14ac:dyDescent="0.3">
      <c r="B12" s="37">
        <v>2</v>
      </c>
      <c r="C12" s="38">
        <v>697</v>
      </c>
      <c r="D12" s="39">
        <v>9</v>
      </c>
      <c r="E12" s="39">
        <v>699</v>
      </c>
      <c r="F12" s="39">
        <v>121</v>
      </c>
      <c r="G12" s="39">
        <v>32</v>
      </c>
      <c r="H12" s="40">
        <v>10</v>
      </c>
      <c r="J12" s="46">
        <v>2820.0111693165941</v>
      </c>
      <c r="L12" s="63">
        <f t="shared" si="0"/>
        <v>1939.2062353409133</v>
      </c>
      <c r="M12" s="45">
        <f t="shared" si="1"/>
        <v>2823.9920440158494</v>
      </c>
      <c r="N12" s="45">
        <f t="shared" si="1"/>
        <v>74.300271709789484</v>
      </c>
      <c r="O12" s="45">
        <f t="shared" si="1"/>
        <v>-2314.2988651082874</v>
      </c>
      <c r="P12" s="45">
        <f t="shared" si="1"/>
        <v>349.85093475467795</v>
      </c>
      <c r="Q12" s="45">
        <f t="shared" si="1"/>
        <v>-150.02659175840287</v>
      </c>
      <c r="R12" s="64">
        <f t="shared" si="1"/>
        <v>143.63245300707914</v>
      </c>
      <c r="S12" s="53"/>
      <c r="T12" s="45">
        <f t="shared" ref="T12:T27" si="2">SUM(L12:R12)</f>
        <v>2866.6564819616187</v>
      </c>
      <c r="U12"/>
      <c r="V12" s="45">
        <f t="shared" ref="V12:V27" si="3">T12-J12</f>
        <v>46.64531264502466</v>
      </c>
      <c r="W12"/>
      <c r="X12" s="45">
        <f t="shared" ref="X12:X27" si="4">V12^2</f>
        <v>2175.7851917520975</v>
      </c>
      <c r="Y12"/>
    </row>
    <row r="13" spans="2:25" s="5" customFormat="1" ht="19.149999999999999" customHeight="1" x14ac:dyDescent="0.3">
      <c r="B13" s="37">
        <v>3</v>
      </c>
      <c r="C13" s="38">
        <v>333</v>
      </c>
      <c r="D13" s="39">
        <v>20</v>
      </c>
      <c r="E13" s="39">
        <v>1146</v>
      </c>
      <c r="F13" s="39">
        <v>95</v>
      </c>
      <c r="G13" s="39">
        <v>46</v>
      </c>
      <c r="H13" s="40">
        <v>0</v>
      </c>
      <c r="J13" s="46">
        <v>-285.18570336948869</v>
      </c>
      <c r="L13" s="63">
        <f t="shared" si="0"/>
        <v>1939.2062353409133</v>
      </c>
      <c r="M13" s="45">
        <f t="shared" si="1"/>
        <v>1349.1956250463097</v>
      </c>
      <c r="N13" s="45">
        <f t="shared" si="1"/>
        <v>165.11171491064331</v>
      </c>
      <c r="O13" s="45">
        <f t="shared" si="1"/>
        <v>-3794.2582251989943</v>
      </c>
      <c r="P13" s="45">
        <f t="shared" si="1"/>
        <v>274.67635373301158</v>
      </c>
      <c r="Q13" s="45">
        <f t="shared" si="1"/>
        <v>-215.66322565270414</v>
      </c>
      <c r="R13" s="64">
        <f t="shared" si="1"/>
        <v>0</v>
      </c>
      <c r="S13" s="53"/>
      <c r="T13" s="45">
        <f t="shared" si="2"/>
        <v>-281.7315218208206</v>
      </c>
      <c r="U13"/>
      <c r="V13" s="45">
        <f t="shared" si="3"/>
        <v>3.4541815486680889</v>
      </c>
      <c r="W13"/>
      <c r="X13" s="45">
        <f t="shared" si="4"/>
        <v>11.931370171159077</v>
      </c>
      <c r="Y13"/>
    </row>
    <row r="14" spans="2:25" s="5" customFormat="1" ht="19.149999999999999" customHeight="1" x14ac:dyDescent="0.3">
      <c r="B14" s="37">
        <v>4</v>
      </c>
      <c r="C14" s="38">
        <v>125</v>
      </c>
      <c r="D14" s="39">
        <v>6</v>
      </c>
      <c r="E14" s="39">
        <v>1709</v>
      </c>
      <c r="F14" s="39">
        <v>127</v>
      </c>
      <c r="G14" s="39">
        <v>99</v>
      </c>
      <c r="H14" s="40">
        <v>1</v>
      </c>
      <c r="J14" s="46">
        <v>-3196.7867470836868</v>
      </c>
      <c r="L14" s="63">
        <f t="shared" si="0"/>
        <v>1939.2062353409133</v>
      </c>
      <c r="M14" s="45">
        <f t="shared" si="1"/>
        <v>506.45481420657268</v>
      </c>
      <c r="N14" s="45">
        <f t="shared" si="1"/>
        <v>49.533514473192994</v>
      </c>
      <c r="O14" s="45">
        <f t="shared" si="1"/>
        <v>-5658.2786272819212</v>
      </c>
      <c r="P14" s="45">
        <f t="shared" si="1"/>
        <v>367.19891499044707</v>
      </c>
      <c r="Q14" s="45">
        <f t="shared" si="1"/>
        <v>-464.14476825255889</v>
      </c>
      <c r="R14" s="64">
        <f t="shared" si="1"/>
        <v>14.363245300707913</v>
      </c>
      <c r="S14" s="53"/>
      <c r="T14" s="45">
        <f t="shared" si="2"/>
        <v>-3245.6666712226461</v>
      </c>
      <c r="U14"/>
      <c r="V14" s="45">
        <f t="shared" si="3"/>
        <v>-48.879924138959268</v>
      </c>
      <c r="W14"/>
      <c r="X14" s="45">
        <f t="shared" si="4"/>
        <v>2389.2469838304128</v>
      </c>
      <c r="Y14"/>
    </row>
    <row r="15" spans="2:25" s="5" customFormat="1" ht="19.149999999999999" customHeight="1" x14ac:dyDescent="0.3">
      <c r="B15" s="37">
        <v>5</v>
      </c>
      <c r="C15" s="38">
        <v>778</v>
      </c>
      <c r="D15" s="39">
        <v>17</v>
      </c>
      <c r="E15" s="39">
        <v>225</v>
      </c>
      <c r="F15" s="39">
        <v>160</v>
      </c>
      <c r="G15" s="39">
        <v>60</v>
      </c>
      <c r="H15" s="40">
        <v>4</v>
      </c>
      <c r="J15" s="46">
        <v>4739.8499740559155</v>
      </c>
      <c r="L15" s="63">
        <f t="shared" si="0"/>
        <v>1939.2062353409133</v>
      </c>
      <c r="M15" s="45">
        <f t="shared" si="1"/>
        <v>3152.1747636217083</v>
      </c>
      <c r="N15" s="45">
        <f t="shared" si="1"/>
        <v>140.34495767404681</v>
      </c>
      <c r="O15" s="45">
        <f t="shared" si="1"/>
        <v>-744.9459866228392</v>
      </c>
      <c r="P15" s="45">
        <f t="shared" si="1"/>
        <v>462.61280628717742</v>
      </c>
      <c r="Q15" s="45">
        <f t="shared" si="1"/>
        <v>-281.29985954700538</v>
      </c>
      <c r="R15" s="64">
        <f t="shared" si="1"/>
        <v>57.452981202831651</v>
      </c>
      <c r="S15" s="53"/>
      <c r="T15" s="45">
        <f t="shared" si="2"/>
        <v>4725.545897956833</v>
      </c>
      <c r="U15"/>
      <c r="V15" s="45">
        <f t="shared" si="3"/>
        <v>-14.304076099082522</v>
      </c>
      <c r="W15"/>
      <c r="X15" s="45">
        <f t="shared" si="4"/>
        <v>204.60659304834385</v>
      </c>
      <c r="Y15"/>
    </row>
    <row r="16" spans="2:25" s="5" customFormat="1" ht="19.149999999999999" customHeight="1" x14ac:dyDescent="0.3">
      <c r="B16" s="37">
        <v>6</v>
      </c>
      <c r="C16" s="38">
        <v>1531</v>
      </c>
      <c r="D16" s="39">
        <v>7</v>
      </c>
      <c r="E16" s="39">
        <v>1573</v>
      </c>
      <c r="F16" s="39">
        <v>185</v>
      </c>
      <c r="G16" s="39">
        <v>75</v>
      </c>
      <c r="H16" s="40">
        <v>10</v>
      </c>
      <c r="J16" s="46">
        <v>3251.7256287141422</v>
      </c>
      <c r="L16" s="63">
        <f t="shared" si="0"/>
        <v>1939.2062353409133</v>
      </c>
      <c r="M16" s="45">
        <f t="shared" si="1"/>
        <v>6203.0585644021021</v>
      </c>
      <c r="N16" s="45">
        <f t="shared" si="1"/>
        <v>57.78910021872516</v>
      </c>
      <c r="O16" s="45">
        <f t="shared" si="1"/>
        <v>-5208.0001642565603</v>
      </c>
      <c r="P16" s="45">
        <f t="shared" si="1"/>
        <v>534.89605726954892</v>
      </c>
      <c r="Q16" s="45">
        <f t="shared" si="1"/>
        <v>-351.62482443375671</v>
      </c>
      <c r="R16" s="64">
        <f t="shared" si="1"/>
        <v>143.63245300707914</v>
      </c>
      <c r="S16" s="53"/>
      <c r="T16" s="45">
        <f t="shared" si="2"/>
        <v>3318.9574215480511</v>
      </c>
      <c r="U16"/>
      <c r="V16" s="45">
        <f t="shared" si="3"/>
        <v>67.231792833908912</v>
      </c>
      <c r="W16"/>
      <c r="X16" s="45">
        <f t="shared" si="4"/>
        <v>4520.1139676616458</v>
      </c>
      <c r="Y16"/>
    </row>
    <row r="17" spans="2:25" s="5" customFormat="1" ht="19.149999999999999" customHeight="1" x14ac:dyDescent="0.3">
      <c r="B17" s="37">
        <v>7</v>
      </c>
      <c r="C17" s="38">
        <v>1231</v>
      </c>
      <c r="D17" s="39">
        <v>10</v>
      </c>
      <c r="E17" s="39">
        <v>1496</v>
      </c>
      <c r="F17" s="39">
        <v>220</v>
      </c>
      <c r="G17" s="39">
        <v>75</v>
      </c>
      <c r="H17" s="40">
        <v>6</v>
      </c>
      <c r="J17" s="46">
        <v>2390.1090221883446</v>
      </c>
      <c r="L17" s="63">
        <f t="shared" si="0"/>
        <v>1939.2062353409133</v>
      </c>
      <c r="M17" s="45">
        <f t="shared" si="1"/>
        <v>4987.5670103063276</v>
      </c>
      <c r="N17" s="45">
        <f t="shared" si="1"/>
        <v>82.555857455321657</v>
      </c>
      <c r="O17" s="45">
        <f t="shared" si="1"/>
        <v>-4953.0630932789663</v>
      </c>
      <c r="P17" s="45">
        <f t="shared" si="1"/>
        <v>636.09260864486896</v>
      </c>
      <c r="Q17" s="45">
        <f t="shared" si="1"/>
        <v>-351.62482443375671</v>
      </c>
      <c r="R17" s="64">
        <f t="shared" si="1"/>
        <v>86.17947180424747</v>
      </c>
      <c r="S17" s="53"/>
      <c r="T17" s="45">
        <f t="shared" si="2"/>
        <v>2426.9132658389553</v>
      </c>
      <c r="U17"/>
      <c r="V17" s="45">
        <f t="shared" si="3"/>
        <v>36.804243650610715</v>
      </c>
      <c r="W17"/>
      <c r="X17" s="45">
        <f t="shared" si="4"/>
        <v>1354.5523506935192</v>
      </c>
      <c r="Y17"/>
    </row>
    <row r="18" spans="2:25" s="5" customFormat="1" ht="19.149999999999999" customHeight="1" x14ac:dyDescent="0.3">
      <c r="B18" s="37">
        <v>8</v>
      </c>
      <c r="C18" s="38">
        <v>860</v>
      </c>
      <c r="D18" s="39">
        <v>19</v>
      </c>
      <c r="E18" s="39">
        <v>1483</v>
      </c>
      <c r="F18" s="39">
        <v>188</v>
      </c>
      <c r="G18" s="39">
        <v>68</v>
      </c>
      <c r="H18" s="40">
        <v>3</v>
      </c>
      <c r="J18" s="46">
        <v>996.15217075867565</v>
      </c>
      <c r="L18" s="63">
        <f t="shared" si="0"/>
        <v>1939.2062353409133</v>
      </c>
      <c r="M18" s="45">
        <f t="shared" si="1"/>
        <v>3484.4091217412201</v>
      </c>
      <c r="N18" s="45">
        <f t="shared" si="1"/>
        <v>156.85612916511116</v>
      </c>
      <c r="O18" s="45">
        <f t="shared" si="1"/>
        <v>-4910.0217696074251</v>
      </c>
      <c r="P18" s="45">
        <f t="shared" si="1"/>
        <v>543.57004738743342</v>
      </c>
      <c r="Q18" s="45">
        <f t="shared" si="1"/>
        <v>-318.80650748660611</v>
      </c>
      <c r="R18" s="64">
        <f t="shared" si="1"/>
        <v>43.089735902123735</v>
      </c>
      <c r="S18" s="53"/>
      <c r="T18" s="45">
        <f t="shared" si="2"/>
        <v>938.3029924427708</v>
      </c>
      <c r="U18"/>
      <c r="V18" s="45">
        <f t="shared" si="3"/>
        <v>-57.849178315904851</v>
      </c>
      <c r="W18"/>
      <c r="X18" s="45">
        <f t="shared" si="4"/>
        <v>3346.527431825356</v>
      </c>
      <c r="Y18"/>
    </row>
    <row r="19" spans="2:25" s="5" customFormat="1" ht="19.149999999999999" customHeight="1" x14ac:dyDescent="0.3">
      <c r="B19" s="37">
        <v>9</v>
      </c>
      <c r="C19" s="38">
        <v>239</v>
      </c>
      <c r="D19" s="39">
        <v>14</v>
      </c>
      <c r="E19" s="39">
        <v>1729</v>
      </c>
      <c r="F19" s="39">
        <v>211</v>
      </c>
      <c r="G19" s="39">
        <v>92</v>
      </c>
      <c r="H19" s="40">
        <v>4</v>
      </c>
      <c r="J19" s="46">
        <v>-2543.0266082949784</v>
      </c>
      <c r="L19" s="63">
        <f t="shared" si="0"/>
        <v>1939.2062353409133</v>
      </c>
      <c r="M19" s="45">
        <f t="shared" si="1"/>
        <v>968.34160476296699</v>
      </c>
      <c r="N19" s="45">
        <f t="shared" si="1"/>
        <v>115.57820043745032</v>
      </c>
      <c r="O19" s="45">
        <f t="shared" si="1"/>
        <v>-5724.4960483150626</v>
      </c>
      <c r="P19" s="45">
        <f t="shared" si="1"/>
        <v>610.07063829121523</v>
      </c>
      <c r="Q19" s="45">
        <f t="shared" si="1"/>
        <v>-431.32645130540828</v>
      </c>
      <c r="R19" s="64">
        <f t="shared" si="1"/>
        <v>57.452981202831651</v>
      </c>
      <c r="S19" s="53"/>
      <c r="T19" s="45">
        <f t="shared" si="2"/>
        <v>-2465.1728395850928</v>
      </c>
      <c r="U19"/>
      <c r="V19" s="45">
        <f t="shared" si="3"/>
        <v>77.853768709885571</v>
      </c>
      <c r="W19"/>
      <c r="X19" s="45">
        <f t="shared" si="4"/>
        <v>6061.2093023323578</v>
      </c>
      <c r="Y19"/>
    </row>
    <row r="20" spans="2:25" s="5" customFormat="1" ht="19.149999999999999" customHeight="1" x14ac:dyDescent="0.3">
      <c r="B20" s="37">
        <v>10</v>
      </c>
      <c r="C20" s="38">
        <v>886</v>
      </c>
      <c r="D20" s="39">
        <v>4</v>
      </c>
      <c r="E20" s="39">
        <v>366</v>
      </c>
      <c r="F20" s="39">
        <v>98</v>
      </c>
      <c r="G20" s="39">
        <v>71</v>
      </c>
      <c r="H20" s="40">
        <v>5</v>
      </c>
      <c r="J20" s="46">
        <v>4382.3695445278827</v>
      </c>
      <c r="L20" s="63">
        <f t="shared" si="0"/>
        <v>1939.2062353409133</v>
      </c>
      <c r="M20" s="45">
        <f t="shared" si="1"/>
        <v>3589.7517230961871</v>
      </c>
      <c r="N20" s="45">
        <f t="shared" si="1"/>
        <v>33.022342982128663</v>
      </c>
      <c r="O20" s="45">
        <f t="shared" si="1"/>
        <v>-1211.7788049064852</v>
      </c>
      <c r="P20" s="45">
        <f t="shared" si="1"/>
        <v>283.35034385089619</v>
      </c>
      <c r="Q20" s="45">
        <f t="shared" si="1"/>
        <v>-332.87150046395635</v>
      </c>
      <c r="R20" s="64">
        <f t="shared" si="1"/>
        <v>71.816226503539568</v>
      </c>
      <c r="S20" s="53"/>
      <c r="T20" s="45">
        <f t="shared" si="2"/>
        <v>4372.4965664032234</v>
      </c>
      <c r="U20"/>
      <c r="V20" s="45">
        <f t="shared" si="3"/>
        <v>-9.872978124659312</v>
      </c>
      <c r="W20"/>
      <c r="X20" s="45">
        <f t="shared" si="4"/>
        <v>97.475697050001301</v>
      </c>
      <c r="Y20"/>
    </row>
    <row r="21" spans="2:25" s="5" customFormat="1" ht="19.149999999999999" customHeight="1" x14ac:dyDescent="0.3">
      <c r="B21" s="37">
        <v>11</v>
      </c>
      <c r="C21" s="38">
        <v>1932</v>
      </c>
      <c r="D21" s="39">
        <v>6</v>
      </c>
      <c r="E21" s="39">
        <v>1368</v>
      </c>
      <c r="F21" s="39">
        <v>139</v>
      </c>
      <c r="G21" s="39">
        <v>26</v>
      </c>
      <c r="H21" s="40">
        <v>4</v>
      </c>
      <c r="J21" s="46">
        <v>5688.5752079061231</v>
      </c>
      <c r="L21" s="63">
        <f t="shared" si="0"/>
        <v>1939.2062353409133</v>
      </c>
      <c r="M21" s="45">
        <f t="shared" si="1"/>
        <v>7827.765608376787</v>
      </c>
      <c r="N21" s="45">
        <f t="shared" si="1"/>
        <v>49.533514473192994</v>
      </c>
      <c r="O21" s="45">
        <f t="shared" si="1"/>
        <v>-4529.2715986668627</v>
      </c>
      <c r="P21" s="45">
        <f t="shared" si="1"/>
        <v>401.89487546198541</v>
      </c>
      <c r="Q21" s="45">
        <f t="shared" si="1"/>
        <v>-121.89660580370233</v>
      </c>
      <c r="R21" s="64">
        <f t="shared" si="1"/>
        <v>57.452981202831651</v>
      </c>
      <c r="S21" s="53"/>
      <c r="T21" s="45">
        <f t="shared" si="2"/>
        <v>5624.6850103851439</v>
      </c>
      <c r="U21"/>
      <c r="V21" s="45">
        <f t="shared" si="3"/>
        <v>-63.8901975209792</v>
      </c>
      <c r="W21"/>
      <c r="X21" s="45">
        <f t="shared" si="4"/>
        <v>4081.9573392697366</v>
      </c>
      <c r="Y21"/>
    </row>
    <row r="22" spans="2:25" s="5" customFormat="1" ht="19.149999999999999" customHeight="1" x14ac:dyDescent="0.3">
      <c r="B22" s="37">
        <v>12</v>
      </c>
      <c r="C22" s="38">
        <v>584</v>
      </c>
      <c r="D22" s="39">
        <v>1</v>
      </c>
      <c r="E22" s="39">
        <v>928</v>
      </c>
      <c r="F22" s="39">
        <v>259</v>
      </c>
      <c r="G22" s="39">
        <v>42</v>
      </c>
      <c r="H22" s="40">
        <v>7</v>
      </c>
      <c r="J22" s="46">
        <v>1900.7780586562012</v>
      </c>
      <c r="L22" s="63">
        <f t="shared" si="0"/>
        <v>1939.2062353409133</v>
      </c>
      <c r="M22" s="45">
        <f t="shared" si="1"/>
        <v>2366.1568919731076</v>
      </c>
      <c r="N22" s="45">
        <f t="shared" si="1"/>
        <v>8.2555857455321657</v>
      </c>
      <c r="O22" s="45">
        <f t="shared" si="1"/>
        <v>-3072.4883359377545</v>
      </c>
      <c r="P22" s="45">
        <f t="shared" si="1"/>
        <v>748.85448017736849</v>
      </c>
      <c r="Q22" s="45">
        <f t="shared" si="1"/>
        <v>-196.90990168290378</v>
      </c>
      <c r="R22" s="64">
        <f t="shared" si="1"/>
        <v>100.54271710495539</v>
      </c>
      <c r="S22" s="53"/>
      <c r="T22" s="45">
        <f t="shared" si="2"/>
        <v>1893.6176727212182</v>
      </c>
      <c r="U22"/>
      <c r="V22" s="45">
        <f t="shared" si="3"/>
        <v>-7.160385934982969</v>
      </c>
      <c r="W22"/>
      <c r="X22" s="45">
        <f t="shared" si="4"/>
        <v>51.27112673790193</v>
      </c>
      <c r="Y22"/>
    </row>
    <row r="23" spans="2:25" s="5" customFormat="1" ht="19.149999999999999" customHeight="1" x14ac:dyDescent="0.3">
      <c r="B23" s="37">
        <v>13</v>
      </c>
      <c r="C23" s="38">
        <v>1294</v>
      </c>
      <c r="D23" s="39">
        <v>14</v>
      </c>
      <c r="E23" s="39">
        <v>628</v>
      </c>
      <c r="F23" s="39">
        <v>224</v>
      </c>
      <c r="G23" s="39">
        <v>23</v>
      </c>
      <c r="H23" s="40">
        <v>2</v>
      </c>
      <c r="J23" s="46">
        <v>5789.6395399981602</v>
      </c>
      <c r="L23" s="63">
        <f t="shared" si="0"/>
        <v>1939.2062353409133</v>
      </c>
      <c r="M23" s="45">
        <f t="shared" si="1"/>
        <v>5242.82023666644</v>
      </c>
      <c r="N23" s="45">
        <f t="shared" si="1"/>
        <v>115.57820043745032</v>
      </c>
      <c r="O23" s="45">
        <f t="shared" si="1"/>
        <v>-2079.2270204406359</v>
      </c>
      <c r="P23" s="45">
        <f t="shared" si="1"/>
        <v>647.65792880204845</v>
      </c>
      <c r="Q23" s="45">
        <f t="shared" si="1"/>
        <v>-107.83161282635207</v>
      </c>
      <c r="R23" s="64">
        <f t="shared" si="1"/>
        <v>28.726490601415826</v>
      </c>
      <c r="S23" s="53"/>
      <c r="T23" s="45">
        <f t="shared" si="2"/>
        <v>5786.9304585812806</v>
      </c>
      <c r="U23"/>
      <c r="V23" s="45">
        <f t="shared" si="3"/>
        <v>-2.7090814168795987</v>
      </c>
      <c r="W23"/>
      <c r="X23" s="45">
        <f t="shared" si="4"/>
        <v>7.3391221232823742</v>
      </c>
      <c r="Y23"/>
    </row>
    <row r="24" spans="2:25" s="5" customFormat="1" ht="19.149999999999999" customHeight="1" x14ac:dyDescent="0.3">
      <c r="B24" s="37">
        <v>14</v>
      </c>
      <c r="C24" s="38">
        <v>484</v>
      </c>
      <c r="D24" s="39">
        <v>9</v>
      </c>
      <c r="E24" s="39">
        <v>1371</v>
      </c>
      <c r="F24" s="39">
        <v>113</v>
      </c>
      <c r="G24" s="39">
        <v>81</v>
      </c>
      <c r="H24" s="40">
        <v>10</v>
      </c>
      <c r="J24" s="46">
        <v>-343.03390985895919</v>
      </c>
      <c r="L24" s="63">
        <f t="shared" si="0"/>
        <v>1939.2062353409133</v>
      </c>
      <c r="M24" s="45">
        <f t="shared" si="1"/>
        <v>1960.9930406078495</v>
      </c>
      <c r="N24" s="45">
        <f t="shared" si="1"/>
        <v>74.300271709789484</v>
      </c>
      <c r="O24" s="45">
        <f t="shared" si="1"/>
        <v>-4539.2042118218333</v>
      </c>
      <c r="P24" s="45">
        <f t="shared" si="1"/>
        <v>326.72029444031904</v>
      </c>
      <c r="Q24" s="45">
        <f t="shared" si="1"/>
        <v>-379.75481038845726</v>
      </c>
      <c r="R24" s="64">
        <f t="shared" si="1"/>
        <v>143.63245300707914</v>
      </c>
      <c r="S24" s="53"/>
      <c r="T24" s="45">
        <f t="shared" si="2"/>
        <v>-474.10672710434017</v>
      </c>
      <c r="U24"/>
      <c r="V24" s="45">
        <f t="shared" si="3"/>
        <v>-131.07281724538097</v>
      </c>
      <c r="W24"/>
      <c r="X24" s="45">
        <f t="shared" si="4"/>
        <v>17180.08342064104</v>
      </c>
      <c r="Y24"/>
    </row>
    <row r="25" spans="2:25" s="5" customFormat="1" ht="19.149999999999999" customHeight="1" x14ac:dyDescent="0.3">
      <c r="B25" s="37">
        <v>15</v>
      </c>
      <c r="C25" s="38">
        <v>1533</v>
      </c>
      <c r="D25" s="39">
        <v>1</v>
      </c>
      <c r="E25" s="39">
        <v>927</v>
      </c>
      <c r="F25" s="39">
        <v>230</v>
      </c>
      <c r="G25" s="39">
        <v>67</v>
      </c>
      <c r="H25" s="40">
        <v>9</v>
      </c>
      <c r="J25" s="46">
        <v>5615.290435328815</v>
      </c>
      <c r="L25" s="63">
        <f t="shared" si="0"/>
        <v>1939.2062353409133</v>
      </c>
      <c r="M25" s="45">
        <f t="shared" si="1"/>
        <v>6211.1618414294071</v>
      </c>
      <c r="N25" s="45">
        <f t="shared" si="1"/>
        <v>8.2555857455321657</v>
      </c>
      <c r="O25" s="45">
        <f t="shared" si="1"/>
        <v>-3069.1774648860974</v>
      </c>
      <c r="P25" s="45">
        <f t="shared" si="1"/>
        <v>665.00590903781756</v>
      </c>
      <c r="Q25" s="45">
        <f t="shared" si="1"/>
        <v>-314.11817649415599</v>
      </c>
      <c r="R25" s="64">
        <f t="shared" si="1"/>
        <v>129.26920770637122</v>
      </c>
      <c r="S25" s="53"/>
      <c r="T25" s="45">
        <f t="shared" si="2"/>
        <v>5569.6031378797879</v>
      </c>
      <c r="U25"/>
      <c r="V25" s="45">
        <f t="shared" si="3"/>
        <v>-45.687297449027028</v>
      </c>
      <c r="W25"/>
      <c r="X25" s="45">
        <f t="shared" si="4"/>
        <v>2087.3291481958718</v>
      </c>
      <c r="Y25"/>
    </row>
    <row r="26" spans="2:25" s="5" customFormat="1" ht="19.149999999999999" customHeight="1" x14ac:dyDescent="0.3">
      <c r="B26" s="37">
        <v>16</v>
      </c>
      <c r="C26" s="38">
        <v>1552</v>
      </c>
      <c r="D26" s="39">
        <v>20</v>
      </c>
      <c r="E26" s="39">
        <v>1153</v>
      </c>
      <c r="F26" s="39">
        <v>286</v>
      </c>
      <c r="G26" s="39">
        <v>18</v>
      </c>
      <c r="H26" s="40">
        <v>2</v>
      </c>
      <c r="J26" s="46">
        <v>5395.3348261004257</v>
      </c>
      <c r="L26" s="63">
        <f t="shared" si="0"/>
        <v>1939.2062353409133</v>
      </c>
      <c r="M26" s="45">
        <f t="shared" si="1"/>
        <v>6288.1429731888065</v>
      </c>
      <c r="N26" s="45">
        <f t="shared" si="1"/>
        <v>165.11171491064331</v>
      </c>
      <c r="O26" s="45">
        <f t="shared" si="1"/>
        <v>-3817.434322560594</v>
      </c>
      <c r="P26" s="45">
        <f t="shared" si="1"/>
        <v>826.92039123832967</v>
      </c>
      <c r="Q26" s="45">
        <f t="shared" si="1"/>
        <v>-84.389957864101618</v>
      </c>
      <c r="R26" s="64">
        <f t="shared" si="1"/>
        <v>28.726490601415826</v>
      </c>
      <c r="S26" s="53"/>
      <c r="T26" s="45">
        <f t="shared" si="2"/>
        <v>5346.2835248554147</v>
      </c>
      <c r="U26"/>
      <c r="V26" s="45">
        <f t="shared" si="3"/>
        <v>-49.051301245011018</v>
      </c>
      <c r="W26"/>
      <c r="X26" s="45">
        <f t="shared" si="4"/>
        <v>2406.0301538288195</v>
      </c>
      <c r="Y26"/>
    </row>
    <row r="27" spans="2:25" s="5" customFormat="1" ht="19.149999999999999" customHeight="1" thickBot="1" x14ac:dyDescent="0.35">
      <c r="B27" s="41">
        <v>17</v>
      </c>
      <c r="C27" s="42">
        <v>1725</v>
      </c>
      <c r="D27" s="43">
        <v>6</v>
      </c>
      <c r="E27" s="43">
        <v>714</v>
      </c>
      <c r="F27" s="43">
        <v>104</v>
      </c>
      <c r="G27" s="43">
        <v>89</v>
      </c>
      <c r="H27" s="44">
        <v>0</v>
      </c>
      <c r="J27" s="47">
        <v>6386.482645862101</v>
      </c>
      <c r="L27" s="65">
        <f t="shared" si="0"/>
        <v>1939.2062353409133</v>
      </c>
      <c r="M27" s="66">
        <f t="shared" si="1"/>
        <v>6989.0764360507028</v>
      </c>
      <c r="N27" s="66">
        <f t="shared" si="1"/>
        <v>49.533514473192994</v>
      </c>
      <c r="O27" s="66">
        <f t="shared" si="1"/>
        <v>-2363.9619308831429</v>
      </c>
      <c r="P27" s="66">
        <f t="shared" si="1"/>
        <v>300.69832408666531</v>
      </c>
      <c r="Q27" s="66">
        <f t="shared" si="1"/>
        <v>-417.26145832805798</v>
      </c>
      <c r="R27" s="67">
        <f t="shared" si="1"/>
        <v>0</v>
      </c>
      <c r="S27" s="53"/>
      <c r="T27" s="66">
        <f t="shared" si="2"/>
        <v>6497.291120740274</v>
      </c>
      <c r="U27"/>
      <c r="V27" s="66">
        <f t="shared" si="3"/>
        <v>110.808474878173</v>
      </c>
      <c r="W27"/>
      <c r="X27" s="66">
        <f t="shared" si="4"/>
        <v>12278.518104826697</v>
      </c>
      <c r="Y27"/>
    </row>
    <row r="28" spans="2:25" ht="14.45" x14ac:dyDescent="0.3">
      <c r="X28" s="54"/>
    </row>
    <row r="29" spans="2:25" ht="18.600000000000001" thickBot="1" x14ac:dyDescent="0.35">
      <c r="V29" s="3" t="s">
        <v>37</v>
      </c>
      <c r="X29" s="55">
        <f>SUM(X11:X27)</f>
        <v>65941.66557534202</v>
      </c>
    </row>
    <row r="30" spans="2:25" ht="14.45" x14ac:dyDescent="0.3">
      <c r="B30" t="s">
        <v>39</v>
      </c>
    </row>
    <row r="31" spans="2:25" thickBot="1" x14ac:dyDescent="0.35"/>
    <row r="32" spans="2:25" ht="14.45" x14ac:dyDescent="0.3">
      <c r="B32" s="59" t="s">
        <v>40</v>
      </c>
      <c r="C32" s="59"/>
    </row>
    <row r="33" spans="2:14" ht="40.15" customHeight="1" x14ac:dyDescent="0.25">
      <c r="B33" s="56" t="s">
        <v>41</v>
      </c>
      <c r="C33" s="56">
        <v>0.99982754552292719</v>
      </c>
      <c r="M33" s="88" t="s">
        <v>65</v>
      </c>
      <c r="N33" s="84" t="s">
        <v>63</v>
      </c>
    </row>
    <row r="34" spans="2:14" ht="12.6" hidden="1" customHeight="1" x14ac:dyDescent="0.3">
      <c r="B34" s="56" t="s">
        <v>42</v>
      </c>
      <c r="C34" s="56">
        <v>0.99965512078640106</v>
      </c>
      <c r="M34" s="81"/>
      <c r="N34" s="82">
        <f>J5</f>
        <v>3878.9215044318835</v>
      </c>
    </row>
    <row r="35" spans="2:14" ht="18.600000000000001" customHeight="1" x14ac:dyDescent="0.3">
      <c r="B35" s="56" t="s">
        <v>43</v>
      </c>
      <c r="C35" s="56">
        <v>0.99938688139804632</v>
      </c>
      <c r="M35" s="86">
        <v>0</v>
      </c>
      <c r="N35" s="87">
        <f t="dataTable" ref="N35:N51" dt2D="0" dtr="0" r1="C5"/>
        <v>19756425.312772907</v>
      </c>
    </row>
    <row r="36" spans="2:14" ht="18.600000000000001" customHeight="1" x14ac:dyDescent="0.3">
      <c r="B36" s="56" t="s">
        <v>44</v>
      </c>
      <c r="C36" s="56">
        <v>77.240990693800356</v>
      </c>
      <c r="M36" s="86">
        <v>0.5</v>
      </c>
      <c r="N36" s="87">
        <v>15182042.274126831</v>
      </c>
    </row>
    <row r="37" spans="2:14" ht="18.600000000000001" customHeight="1" thickBot="1" x14ac:dyDescent="0.35">
      <c r="B37" s="57" t="s">
        <v>45</v>
      </c>
      <c r="C37" s="57">
        <v>17</v>
      </c>
      <c r="M37" s="86">
        <v>1</v>
      </c>
      <c r="N37" s="87">
        <v>11209292.323716057</v>
      </c>
    </row>
    <row r="38" spans="2:14" ht="18.600000000000001" customHeight="1" x14ac:dyDescent="0.3">
      <c r="M38" s="86">
        <v>1.5</v>
      </c>
      <c r="N38" s="87">
        <v>7838175.461540577</v>
      </c>
    </row>
    <row r="39" spans="2:14" ht="18.600000000000001" customHeight="1" thickBot="1" x14ac:dyDescent="0.35">
      <c r="B39" t="s">
        <v>46</v>
      </c>
      <c r="M39" s="86">
        <v>2</v>
      </c>
      <c r="N39" s="87">
        <v>5068691.6876003882</v>
      </c>
    </row>
    <row r="40" spans="2:14" ht="18.600000000000001" customHeight="1" x14ac:dyDescent="0.3">
      <c r="B40" s="58"/>
      <c r="C40" s="58" t="s">
        <v>51</v>
      </c>
      <c r="D40" s="58" t="s">
        <v>52</v>
      </c>
      <c r="E40" s="58" t="s">
        <v>53</v>
      </c>
      <c r="F40" s="58" t="s">
        <v>54</v>
      </c>
      <c r="G40" s="58" t="s">
        <v>55</v>
      </c>
      <c r="M40" s="86">
        <v>2.5</v>
      </c>
      <c r="N40" s="87">
        <v>2900841.0018954915</v>
      </c>
    </row>
    <row r="41" spans="2:14" ht="18.600000000000001" customHeight="1" x14ac:dyDescent="0.3">
      <c r="B41" s="56" t="s">
        <v>47</v>
      </c>
      <c r="C41" s="56">
        <v>7</v>
      </c>
      <c r="D41" s="56">
        <v>155640047.87631968</v>
      </c>
      <c r="E41" s="56">
        <v>22234292.553759955</v>
      </c>
      <c r="F41" s="56">
        <v>3726.7275582381048</v>
      </c>
      <c r="G41" s="56">
        <v>7.6066378846105446E-15</v>
      </c>
      <c r="M41" s="86">
        <v>3</v>
      </c>
      <c r="N41" s="87">
        <v>1334623.4044258911</v>
      </c>
    </row>
    <row r="42" spans="2:14" ht="18.600000000000001" customHeight="1" x14ac:dyDescent="0.3">
      <c r="B42" s="56" t="s">
        <v>48</v>
      </c>
      <c r="C42" s="56">
        <v>9</v>
      </c>
      <c r="D42" s="56">
        <v>53695.535790237773</v>
      </c>
      <c r="E42" s="56">
        <v>5966.1706433597528</v>
      </c>
      <c r="F42" s="56"/>
      <c r="G42" s="56"/>
      <c r="M42" s="86">
        <v>3.5</v>
      </c>
      <c r="N42" s="87">
        <v>370038.89519158442</v>
      </c>
    </row>
    <row r="43" spans="2:14" ht="18.600000000000001" customHeight="1" thickBot="1" x14ac:dyDescent="0.35">
      <c r="B43" s="57" t="s">
        <v>49</v>
      </c>
      <c r="C43" s="57">
        <v>16</v>
      </c>
      <c r="D43" s="57">
        <v>155693743.41210991</v>
      </c>
      <c r="E43" s="57"/>
      <c r="F43" s="57"/>
      <c r="G43" s="57"/>
      <c r="M43" s="86">
        <v>4</v>
      </c>
      <c r="N43" s="87">
        <v>7087.4741925717362</v>
      </c>
    </row>
    <row r="44" spans="2:14" ht="18.600000000000001" customHeight="1" thickBot="1" x14ac:dyDescent="0.35">
      <c r="M44" s="86">
        <v>4.5</v>
      </c>
      <c r="N44" s="87">
        <v>245769.14142885312</v>
      </c>
    </row>
    <row r="45" spans="2:14" ht="18.600000000000001" customHeight="1" x14ac:dyDescent="0.3">
      <c r="B45" s="58"/>
      <c r="C45" s="58" t="s">
        <v>56</v>
      </c>
      <c r="D45" s="58" t="s">
        <v>44</v>
      </c>
      <c r="E45" s="58" t="s">
        <v>57</v>
      </c>
      <c r="F45" s="58" t="s">
        <v>58</v>
      </c>
      <c r="G45" s="58" t="s">
        <v>59</v>
      </c>
      <c r="H45" s="58" t="s">
        <v>60</v>
      </c>
      <c r="I45" s="58" t="s">
        <v>61</v>
      </c>
      <c r="J45" s="58" t="s">
        <v>62</v>
      </c>
      <c r="M45" s="86">
        <v>5</v>
      </c>
      <c r="N45" s="87">
        <v>1086083.8969004285</v>
      </c>
    </row>
    <row r="46" spans="2:14" ht="18.600000000000001" customHeight="1" x14ac:dyDescent="0.3">
      <c r="B46" s="56" t="s">
        <v>50</v>
      </c>
      <c r="C46" s="56">
        <v>1913.7647339110222</v>
      </c>
      <c r="D46" s="56">
        <v>123.67091767842784</v>
      </c>
      <c r="E46" s="56">
        <v>15.474654590072989</v>
      </c>
      <c r="F46" s="56">
        <v>8.6043050294737073E-8</v>
      </c>
      <c r="G46" s="56">
        <v>1634.0016816549394</v>
      </c>
      <c r="H46" s="56">
        <v>2193.5277861671048</v>
      </c>
      <c r="I46" s="56">
        <v>1634.0016816549394</v>
      </c>
      <c r="J46" s="56">
        <v>2193.5277861671048</v>
      </c>
      <c r="M46" s="86">
        <v>5.5</v>
      </c>
      <c r="N46" s="87">
        <v>2528031.7406072989</v>
      </c>
    </row>
    <row r="47" spans="2:14" ht="18.600000000000001" customHeight="1" x14ac:dyDescent="0.3">
      <c r="B47" s="56" t="s">
        <v>2</v>
      </c>
      <c r="C47" s="56">
        <v>8.0520726206781372</v>
      </c>
      <c r="D47" s="56">
        <v>5.6202558921475037</v>
      </c>
      <c r="E47" s="56">
        <v>1.432687901618201</v>
      </c>
      <c r="F47" s="56">
        <v>0.1857524549129444</v>
      </c>
      <c r="G47" s="56">
        <v>-4.6618295025021563</v>
      </c>
      <c r="H47" s="56">
        <v>20.765974743858429</v>
      </c>
      <c r="I47" s="56">
        <v>-4.6618295025021563</v>
      </c>
      <c r="J47" s="56">
        <v>20.765974743858429</v>
      </c>
      <c r="M47" s="86">
        <v>6</v>
      </c>
      <c r="N47" s="87">
        <v>4571612.6725494619</v>
      </c>
    </row>
    <row r="48" spans="2:14" ht="18.600000000000001" customHeight="1" x14ac:dyDescent="0.3">
      <c r="B48" s="56" t="s">
        <v>11</v>
      </c>
      <c r="C48" s="56">
        <v>4.0202307098747703</v>
      </c>
      <c r="D48" s="56">
        <v>4.3829042115106326E-2</v>
      </c>
      <c r="E48" s="56">
        <v>91.725269726785527</v>
      </c>
      <c r="F48" s="56">
        <v>1.1029868934102523E-14</v>
      </c>
      <c r="G48" s="56">
        <v>3.9210825283154982</v>
      </c>
      <c r="H48" s="56">
        <v>4.1193788914340423</v>
      </c>
      <c r="I48" s="56">
        <v>3.9210825283154982</v>
      </c>
      <c r="J48" s="56">
        <v>4.1193788914340423</v>
      </c>
      <c r="M48" s="86">
        <v>6.5</v>
      </c>
      <c r="N48" s="87">
        <v>7216826.6927269185</v>
      </c>
    </row>
    <row r="49" spans="2:14" ht="18.600000000000001" customHeight="1" x14ac:dyDescent="0.3">
      <c r="B49" s="56" t="s">
        <v>12</v>
      </c>
      <c r="C49" s="56">
        <v>9.6732742541072554</v>
      </c>
      <c r="D49" s="56">
        <v>4.0856326874373687</v>
      </c>
      <c r="E49" s="56">
        <v>2.3676318930605147</v>
      </c>
      <c r="F49" s="56">
        <v>4.2071919226909435E-2</v>
      </c>
      <c r="G49" s="56">
        <v>0.43093100565832998</v>
      </c>
      <c r="H49" s="56">
        <v>18.915617502556181</v>
      </c>
      <c r="I49" s="56">
        <v>0.43093100565832998</v>
      </c>
      <c r="J49" s="56">
        <v>18.915617502556181</v>
      </c>
      <c r="M49" s="86">
        <v>7</v>
      </c>
      <c r="N49" s="87">
        <v>10463673.801139671</v>
      </c>
    </row>
    <row r="50" spans="2:14" ht="18.600000000000001" customHeight="1" x14ac:dyDescent="0.3">
      <c r="B50" s="56" t="s">
        <v>13</v>
      </c>
      <c r="C50" s="56">
        <v>-3.2951839857160241</v>
      </c>
      <c r="D50" s="56">
        <v>4.6530440907111947E-2</v>
      </c>
      <c r="E50" s="56">
        <v>-70.817811339766862</v>
      </c>
      <c r="F50" s="56">
        <v>1.1282434626275951E-13</v>
      </c>
      <c r="G50" s="56">
        <v>-3.4004431559022059</v>
      </c>
      <c r="H50" s="56">
        <v>-3.1899248155298423</v>
      </c>
      <c r="I50" s="56">
        <v>-3.4004431559022059</v>
      </c>
      <c r="J50" s="56">
        <v>-3.1899248155298423</v>
      </c>
      <c r="M50" s="86">
        <v>7.5</v>
      </c>
      <c r="N50" s="87">
        <v>14312153.997787716</v>
      </c>
    </row>
    <row r="51" spans="2:14" ht="18.600000000000001" customHeight="1" x14ac:dyDescent="0.3">
      <c r="B51" s="56" t="s">
        <v>14</v>
      </c>
      <c r="C51" s="56">
        <v>2.6410724573062661</v>
      </c>
      <c r="D51" s="56">
        <v>0.40577439976982621</v>
      </c>
      <c r="E51" s="56">
        <v>6.5087212470880447</v>
      </c>
      <c r="F51" s="56">
        <v>1.1032663907428474E-4</v>
      </c>
      <c r="G51" s="56">
        <v>1.7231469923868112</v>
      </c>
      <c r="H51" s="56">
        <v>3.5589979222257209</v>
      </c>
      <c r="I51" s="56">
        <v>1.7231469923868112</v>
      </c>
      <c r="J51" s="56">
        <v>3.5589979222257209</v>
      </c>
      <c r="M51" s="86">
        <v>8</v>
      </c>
      <c r="N51" s="87">
        <v>18762267.28267106</v>
      </c>
    </row>
    <row r="52" spans="2:14" ht="14.45" x14ac:dyDescent="0.3">
      <c r="B52" s="56" t="s">
        <v>15</v>
      </c>
      <c r="C52" s="56">
        <v>-5.0340215728097863</v>
      </c>
      <c r="D52" s="56">
        <v>0.85407131838101846</v>
      </c>
      <c r="E52" s="56">
        <v>-5.8941466180509385</v>
      </c>
      <c r="F52" s="56">
        <v>2.3074004752532989E-4</v>
      </c>
      <c r="G52" s="56">
        <v>-6.9660651232259134</v>
      </c>
      <c r="H52" s="56">
        <v>-3.1019780223936588</v>
      </c>
      <c r="I52" s="56">
        <v>-6.9660651232259134</v>
      </c>
      <c r="J52" s="56">
        <v>-3.1019780223936588</v>
      </c>
    </row>
    <row r="53" spans="2:14" thickBot="1" x14ac:dyDescent="0.35">
      <c r="B53" s="57" t="s">
        <v>16</v>
      </c>
      <c r="C53" s="57">
        <v>17.008816434127063</v>
      </c>
      <c r="D53" s="57">
        <v>6.742797680681897</v>
      </c>
      <c r="E53" s="57">
        <v>2.5225162076058267</v>
      </c>
      <c r="F53" s="57">
        <v>3.2633640721298068E-2</v>
      </c>
      <c r="G53" s="57">
        <v>1.7555483634733839</v>
      </c>
      <c r="H53" s="57">
        <v>32.262084504780745</v>
      </c>
      <c r="I53" s="57">
        <v>1.7555483634733839</v>
      </c>
      <c r="J53" s="57">
        <v>32.262084504780745</v>
      </c>
    </row>
    <row r="55" spans="2:14" ht="32.450000000000003" customHeight="1" x14ac:dyDescent="0.25">
      <c r="M55" s="88" t="s">
        <v>18</v>
      </c>
      <c r="N55" s="84" t="s">
        <v>63</v>
      </c>
    </row>
    <row r="56" spans="2:14" ht="14.45" hidden="1" x14ac:dyDescent="0.3">
      <c r="N56" s="80">
        <f>J5</f>
        <v>3878.9215044318835</v>
      </c>
    </row>
    <row r="57" spans="2:14" ht="17.649999999999999" customHeight="1" x14ac:dyDescent="0.3">
      <c r="M57" s="85">
        <v>1</v>
      </c>
      <c r="N57" s="89">
        <f t="dataTable" ref="N57:N75" dt2D="0" dtr="0" r1="D5" ca="1"/>
        <v>11543.199337617416</v>
      </c>
    </row>
    <row r="58" spans="2:14" ht="17.649999999999999" customHeight="1" x14ac:dyDescent="0.3">
      <c r="M58" s="85">
        <v>2</v>
      </c>
      <c r="N58" s="89">
        <v>9576.1317234771705</v>
      </c>
    </row>
    <row r="59" spans="2:14" ht="17.649999999999999" customHeight="1" x14ac:dyDescent="0.3">
      <c r="M59" s="85">
        <v>3</v>
      </c>
      <c r="N59" s="89">
        <v>7900.2405799251646</v>
      </c>
    </row>
    <row r="60" spans="2:14" ht="17.649999999999999" customHeight="1" x14ac:dyDescent="0.3">
      <c r="M60" s="85">
        <v>4</v>
      </c>
      <c r="N60" s="89">
        <v>6515.5259069613912</v>
      </c>
    </row>
    <row r="61" spans="2:14" ht="17.649999999999999" customHeight="1" x14ac:dyDescent="0.3">
      <c r="M61" s="85">
        <v>5</v>
      </c>
      <c r="N61" s="89">
        <v>5421.987704585852</v>
      </c>
    </row>
    <row r="62" spans="2:14" ht="17.649999999999999" customHeight="1" x14ac:dyDescent="0.3">
      <c r="M62" s="85">
        <v>6</v>
      </c>
      <c r="N62" s="89">
        <v>4619.6259727985498</v>
      </c>
    </row>
    <row r="63" spans="2:14" ht="17.649999999999999" customHeight="1" x14ac:dyDescent="0.3">
      <c r="M63" s="85">
        <v>7</v>
      </c>
      <c r="N63" s="89">
        <v>4108.4407115994827</v>
      </c>
    </row>
    <row r="64" spans="2:14" ht="17.649999999999999" customHeight="1" x14ac:dyDescent="0.3">
      <c r="M64" s="85">
        <v>8</v>
      </c>
      <c r="N64" s="89">
        <v>3888.4319209886503</v>
      </c>
    </row>
    <row r="65" spans="13:14" ht="17.649999999999999" customHeight="1" x14ac:dyDescent="0.3">
      <c r="M65" s="85">
        <v>9</v>
      </c>
      <c r="N65" s="89">
        <v>3959.5996009660544</v>
      </c>
    </row>
    <row r="66" spans="13:14" ht="17.649999999999999" customHeight="1" x14ac:dyDescent="0.3">
      <c r="M66" s="85">
        <v>10</v>
      </c>
      <c r="N66" s="89">
        <v>4321.9437515316922</v>
      </c>
    </row>
    <row r="67" spans="13:14" ht="17.649999999999999" customHeight="1" x14ac:dyDescent="0.3">
      <c r="M67" s="85">
        <v>11</v>
      </c>
      <c r="N67" s="89">
        <v>4975.4643726855656</v>
      </c>
    </row>
    <row r="68" spans="13:14" ht="17.649999999999999" customHeight="1" x14ac:dyDescent="0.3">
      <c r="M68" s="85">
        <v>12</v>
      </c>
      <c r="N68" s="89">
        <v>5920.1614644276779</v>
      </c>
    </row>
    <row r="69" spans="13:14" ht="17.649999999999999" customHeight="1" x14ac:dyDescent="0.3">
      <c r="M69" s="85">
        <v>13</v>
      </c>
      <c r="N69" s="89">
        <v>7156.0350267580197</v>
      </c>
    </row>
    <row r="70" spans="13:14" ht="17.649999999999999" customHeight="1" x14ac:dyDescent="0.3">
      <c r="M70" s="85">
        <v>14</v>
      </c>
      <c r="N70" s="89">
        <v>8683.0850596765995</v>
      </c>
    </row>
    <row r="71" spans="13:14" ht="17.649999999999999" customHeight="1" x14ac:dyDescent="0.3">
      <c r="M71" s="85">
        <v>15</v>
      </c>
      <c r="N71" s="89">
        <v>10501.311563183419</v>
      </c>
    </row>
    <row r="72" spans="13:14" ht="17.649999999999999" customHeight="1" x14ac:dyDescent="0.3">
      <c r="M72" s="85">
        <v>16</v>
      </c>
      <c r="N72" s="89">
        <v>12610.714537278467</v>
      </c>
    </row>
    <row r="73" spans="13:14" ht="17.649999999999999" customHeight="1" x14ac:dyDescent="0.3">
      <c r="M73" s="85">
        <v>17</v>
      </c>
      <c r="N73" s="89">
        <v>15011.293981961751</v>
      </c>
    </row>
    <row r="74" spans="13:14" ht="17.649999999999999" customHeight="1" x14ac:dyDescent="0.3">
      <c r="M74" s="85">
        <v>18</v>
      </c>
      <c r="N74" s="89">
        <v>17703.049897233275</v>
      </c>
    </row>
    <row r="75" spans="13:14" ht="17.649999999999999" customHeight="1" x14ac:dyDescent="0.3">
      <c r="M75" s="85">
        <v>19</v>
      </c>
      <c r="N75" s="89">
        <v>20685.982283093028</v>
      </c>
    </row>
    <row r="76" spans="13:14" x14ac:dyDescent="0.25">
      <c r="M76" s="83"/>
    </row>
  </sheetData>
  <scenarios current="0">
    <scenario name="S1" count="7" user="Rob Collins" comment="Created by Rob Collins on 10/12/2019">
      <inputCells r="B5" val="0" numFmtId="164"/>
      <inputCells r="C5" val="3.09134525691062" numFmtId="164"/>
      <inputCells r="D5" val="0" numFmtId="164"/>
      <inputCells r="E5" val="0" numFmtId="164"/>
      <inputCells r="F5" val="0" numFmtId="164"/>
      <inputCells r="G5" val="9.13753778203939" numFmtId="164"/>
      <inputCells r="H5" val="5.15557950131055" numFmtId="164"/>
    </scenario>
  </scenarios>
  <conditionalFormatting sqref="N35:N5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7:N7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2.theta_0_up">
                <anchor moveWithCells="1" sizeWithCells="1">
                  <from>
                    <xdr:col>1</xdr:col>
                    <xdr:colOff>171450</xdr:colOff>
                    <xdr:row>5</xdr:row>
                    <xdr:rowOff>0</xdr:rowOff>
                  </from>
                  <to>
                    <xdr:col>1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heet2.theta_0_down">
                <anchor moveWithCells="1" sizeWithCells="1">
                  <from>
                    <xdr:col>1</xdr:col>
                    <xdr:colOff>171450</xdr:colOff>
                    <xdr:row>5</xdr:row>
                    <xdr:rowOff>0</xdr:rowOff>
                  </from>
                  <to>
                    <xdr:col>1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Sheet2.theta_1_up">
                <anchor moveWithCells="1" sizeWithCells="1">
                  <from>
                    <xdr:col>2</xdr:col>
                    <xdr:colOff>180975</xdr:colOff>
                    <xdr:row>5</xdr:row>
                    <xdr:rowOff>0</xdr:rowOff>
                  </from>
                  <to>
                    <xdr:col>2</xdr:col>
                    <xdr:colOff>695325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Sheet2.theta_2_up">
                <anchor moveWithCells="1" sizeWithCells="1">
                  <from>
                    <xdr:col>3</xdr:col>
                    <xdr:colOff>180975</xdr:colOff>
                    <xdr:row>5</xdr:row>
                    <xdr:rowOff>0</xdr:rowOff>
                  </from>
                  <to>
                    <xdr:col>3</xdr:col>
                    <xdr:colOff>695325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2.theta_3_up">
                <anchor moveWithCells="1" sizeWithCells="1">
                  <from>
                    <xdr:col>4</xdr:col>
                    <xdr:colOff>209550</xdr:colOff>
                    <xdr:row>5</xdr:row>
                    <xdr:rowOff>0</xdr:rowOff>
                  </from>
                  <to>
                    <xdr:col>4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Sheet2.theta_4_up">
                <anchor moveWithCells="1" sizeWithCells="1">
                  <from>
                    <xdr:col>5</xdr:col>
                    <xdr:colOff>219075</xdr:colOff>
                    <xdr:row>5</xdr:row>
                    <xdr:rowOff>0</xdr:rowOff>
                  </from>
                  <to>
                    <xdr:col>5</xdr:col>
                    <xdr:colOff>733425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Sheet2.theta_5_up">
                <anchor moveWithCells="1" sizeWithCells="1">
                  <from>
                    <xdr:col>6</xdr:col>
                    <xdr:colOff>200025</xdr:colOff>
                    <xdr:row>5</xdr:row>
                    <xdr:rowOff>0</xdr:rowOff>
                  </from>
                  <to>
                    <xdr:col>6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Button 8">
              <controlPr defaultSize="0" print="0" autoFill="0" autoPict="0" macro="[0]!Sheet2.theta_6_up">
                <anchor moveWithCells="1" sizeWithCells="1">
                  <from>
                    <xdr:col>7</xdr:col>
                    <xdr:colOff>381000</xdr:colOff>
                    <xdr:row>5</xdr:row>
                    <xdr:rowOff>0</xdr:rowOff>
                  </from>
                  <to>
                    <xdr:col>7</xdr:col>
                    <xdr:colOff>895350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Button 9">
              <controlPr defaultSize="0" print="0" autoFill="0" autoPict="0" macro="[0]!Sheet2.theta_1_down">
                <anchor moveWithCells="1" sizeWithCells="1">
                  <from>
                    <xdr:col>2</xdr:col>
                    <xdr:colOff>180975</xdr:colOff>
                    <xdr:row>5</xdr:row>
                    <xdr:rowOff>0</xdr:rowOff>
                  </from>
                  <to>
                    <xdr:col>2</xdr:col>
                    <xdr:colOff>695325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Button 10">
              <controlPr defaultSize="0" print="0" autoFill="0" autoPict="0" macro="[0]!Sheet2.theta_2_down">
                <anchor moveWithCells="1" sizeWithCells="1">
                  <from>
                    <xdr:col>3</xdr:col>
                    <xdr:colOff>180975</xdr:colOff>
                    <xdr:row>5</xdr:row>
                    <xdr:rowOff>0</xdr:rowOff>
                  </from>
                  <to>
                    <xdr:col>3</xdr:col>
                    <xdr:colOff>695325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Button 11">
              <controlPr defaultSize="0" print="0" autoFill="0" autoPict="0" macro="[0]!Sheet2.theta_3_down">
                <anchor moveWithCells="1" sizeWithCells="1">
                  <from>
                    <xdr:col>4</xdr:col>
                    <xdr:colOff>209550</xdr:colOff>
                    <xdr:row>5</xdr:row>
                    <xdr:rowOff>0</xdr:rowOff>
                  </from>
                  <to>
                    <xdr:col>4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Button 12">
              <controlPr defaultSize="0" print="0" autoFill="0" autoPict="0" macro="[0]!Sheet2.theta_4_down">
                <anchor moveWithCells="1" sizeWithCells="1">
                  <from>
                    <xdr:col>5</xdr:col>
                    <xdr:colOff>238125</xdr:colOff>
                    <xdr:row>5</xdr:row>
                    <xdr:rowOff>0</xdr:rowOff>
                  </from>
                  <to>
                    <xdr:col>5</xdr:col>
                    <xdr:colOff>742950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Button 13">
              <controlPr defaultSize="0" print="0" autoFill="0" autoPict="0" macro="[0]!Sheet2.theta_5_down">
                <anchor moveWithCells="1" sizeWithCells="1">
                  <from>
                    <xdr:col>6</xdr:col>
                    <xdr:colOff>209550</xdr:colOff>
                    <xdr:row>5</xdr:row>
                    <xdr:rowOff>0</xdr:rowOff>
                  </from>
                  <to>
                    <xdr:col>6</xdr:col>
                    <xdr:colOff>714375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Button 14">
              <controlPr defaultSize="0" print="0" autoFill="0" autoPict="0" macro="[0]!Sheet2.theta_6_down">
                <anchor moveWithCells="1" sizeWithCells="1">
                  <from>
                    <xdr:col>7</xdr:col>
                    <xdr:colOff>390525</xdr:colOff>
                    <xdr:row>5</xdr:row>
                    <xdr:rowOff>0</xdr:rowOff>
                  </from>
                  <to>
                    <xdr:col>7</xdr:col>
                    <xdr:colOff>895350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V28"/>
  <sheetViews>
    <sheetView topLeftCell="C1" zoomScaleNormal="100" workbookViewId="0">
      <selection activeCell="N21" sqref="N21"/>
    </sheetView>
  </sheetViews>
  <sheetFormatPr defaultRowHeight="15" x14ac:dyDescent="0.25"/>
  <cols>
    <col min="4" max="4" width="21.28515625" bestFit="1" customWidth="1"/>
    <col min="9" max="9" width="12.28515625" bestFit="1" customWidth="1"/>
    <col min="10" max="10" width="13.42578125" customWidth="1"/>
    <col min="11" max="11" width="1.85546875" customWidth="1"/>
    <col min="13" max="13" width="10" bestFit="1" customWidth="1"/>
    <col min="14" max="15" width="8.42578125" customWidth="1"/>
    <col min="16" max="16" width="9.140625" customWidth="1"/>
  </cols>
  <sheetData>
    <row r="2" spans="4:22" ht="24" x14ac:dyDescent="0.45">
      <c r="E2" s="7" t="s">
        <v>17</v>
      </c>
      <c r="F2" s="7" t="s">
        <v>18</v>
      </c>
      <c r="G2" s="7" t="s">
        <v>19</v>
      </c>
      <c r="H2" s="7" t="s">
        <v>20</v>
      </c>
      <c r="I2" s="7" t="s">
        <v>21</v>
      </c>
      <c r="J2" s="7" t="s">
        <v>22</v>
      </c>
    </row>
    <row r="3" spans="4:22" ht="14.45" x14ac:dyDescent="0.3">
      <c r="E3" s="3" t="s">
        <v>11</v>
      </c>
      <c r="F3" s="3" t="s">
        <v>12</v>
      </c>
      <c r="G3" s="3" t="s">
        <v>13</v>
      </c>
      <c r="H3" s="3" t="s">
        <v>14</v>
      </c>
      <c r="I3" s="3" t="s">
        <v>15</v>
      </c>
      <c r="J3" s="3" t="s">
        <v>16</v>
      </c>
    </row>
    <row r="4" spans="4:22" ht="14.45" x14ac:dyDescent="0.3">
      <c r="D4" s="1" t="s">
        <v>0</v>
      </c>
      <c r="E4" s="4">
        <v>4</v>
      </c>
      <c r="F4" s="4">
        <v>9</v>
      </c>
      <c r="G4" s="4">
        <v>-3.3</v>
      </c>
      <c r="H4" s="4">
        <v>2.7</v>
      </c>
      <c r="I4" s="4">
        <v>-4</v>
      </c>
      <c r="J4" s="4">
        <v>4.5</v>
      </c>
    </row>
    <row r="5" spans="4:22" ht="14.45" x14ac:dyDescent="0.3">
      <c r="F5" s="4"/>
      <c r="G5" s="4"/>
      <c r="H5" s="4"/>
      <c r="I5" s="4"/>
      <c r="J5" s="4"/>
    </row>
    <row r="6" spans="4:22" ht="14.45" x14ac:dyDescent="0.3">
      <c r="D6" s="1"/>
      <c r="E6" s="4"/>
      <c r="F6" s="4"/>
      <c r="G6" s="4"/>
      <c r="H6" s="4"/>
      <c r="I6" s="4"/>
      <c r="J6" s="4"/>
    </row>
    <row r="7" spans="4:22" ht="14.45" x14ac:dyDescent="0.3">
      <c r="D7" s="6" t="s">
        <v>9</v>
      </c>
      <c r="E7" s="4">
        <v>100</v>
      </c>
      <c r="F7" s="4">
        <v>0</v>
      </c>
      <c r="G7" s="4">
        <v>100</v>
      </c>
      <c r="H7" s="4">
        <v>50</v>
      </c>
      <c r="I7" s="4">
        <v>0</v>
      </c>
      <c r="J7" s="4">
        <v>0</v>
      </c>
      <c r="L7" s="1" t="s">
        <v>1</v>
      </c>
      <c r="M7" s="4">
        <v>100</v>
      </c>
    </row>
    <row r="8" spans="4:22" ht="14.45" x14ac:dyDescent="0.3">
      <c r="D8" s="6" t="s">
        <v>10</v>
      </c>
      <c r="E8" s="4">
        <v>2000</v>
      </c>
      <c r="F8" s="4">
        <v>20</v>
      </c>
      <c r="G8" s="4">
        <v>2000</v>
      </c>
      <c r="H8" s="4">
        <v>300</v>
      </c>
      <c r="I8" s="4">
        <v>100</v>
      </c>
      <c r="J8" s="4">
        <v>10</v>
      </c>
    </row>
    <row r="9" spans="4:22" thickBot="1" x14ac:dyDescent="0.35">
      <c r="D9" s="6"/>
      <c r="E9" s="4"/>
      <c r="F9" s="4"/>
      <c r="G9" s="4"/>
      <c r="H9" s="4"/>
      <c r="I9" s="4"/>
      <c r="J9" s="4"/>
    </row>
    <row r="10" spans="4:22" thickBot="1" x14ac:dyDescent="0.35">
      <c r="D10" s="6"/>
      <c r="E10" s="21" t="s">
        <v>11</v>
      </c>
      <c r="F10" s="22" t="s">
        <v>12</v>
      </c>
      <c r="G10" s="22" t="s">
        <v>13</v>
      </c>
      <c r="H10" s="22" t="s">
        <v>14</v>
      </c>
      <c r="I10" s="22" t="s">
        <v>15</v>
      </c>
      <c r="J10" s="23" t="s">
        <v>16</v>
      </c>
    </row>
    <row r="11" spans="4:22" ht="18.75" thickBot="1" x14ac:dyDescent="0.4">
      <c r="D11" s="13" t="s">
        <v>2</v>
      </c>
      <c r="E11" s="24" t="s">
        <v>3</v>
      </c>
      <c r="F11" s="25" t="s">
        <v>4</v>
      </c>
      <c r="G11" s="25" t="s">
        <v>5</v>
      </c>
      <c r="H11" s="25" t="s">
        <v>6</v>
      </c>
      <c r="I11" s="25" t="s">
        <v>7</v>
      </c>
      <c r="J11" s="26" t="s">
        <v>8</v>
      </c>
      <c r="L11" s="27" t="s">
        <v>24</v>
      </c>
      <c r="M11" s="2" t="s">
        <v>23</v>
      </c>
      <c r="P11" s="2" t="s">
        <v>31</v>
      </c>
      <c r="Q11" s="2" t="s">
        <v>25</v>
      </c>
      <c r="R11" s="2" t="s">
        <v>26</v>
      </c>
      <c r="S11" s="2" t="s">
        <v>27</v>
      </c>
      <c r="T11" s="2" t="s">
        <v>28</v>
      </c>
      <c r="U11" s="2" t="s">
        <v>29</v>
      </c>
      <c r="V11" s="2" t="s">
        <v>30</v>
      </c>
    </row>
    <row r="12" spans="4:22" ht="14.45" x14ac:dyDescent="0.3">
      <c r="D12" s="14">
        <v>1</v>
      </c>
      <c r="E12" s="18">
        <f ca="1">RANDBETWEEN(E$7,E$8)</f>
        <v>764</v>
      </c>
      <c r="F12" s="19">
        <f t="shared" ref="F12:J27" ca="1" si="0">RANDBETWEEN(F$7,F$8)</f>
        <v>10</v>
      </c>
      <c r="G12" s="19">
        <f t="shared" ca="1" si="0"/>
        <v>239</v>
      </c>
      <c r="H12" s="19">
        <f t="shared" ca="1" si="0"/>
        <v>195</v>
      </c>
      <c r="I12" s="19">
        <f t="shared" ca="1" si="0"/>
        <v>20</v>
      </c>
      <c r="J12" s="20">
        <f t="shared" ca="1" si="0"/>
        <v>5</v>
      </c>
      <c r="L12" s="28">
        <f ca="1">NORMINV(RAND(),M12,$M$7)</f>
        <v>4706.6589497075856</v>
      </c>
      <c r="M12" s="8">
        <f t="shared" ref="M12:M28" ca="1" si="1">SUM(P12:V12)</f>
        <v>4826.3</v>
      </c>
      <c r="P12" s="4">
        <v>2000</v>
      </c>
      <c r="Q12" s="4">
        <f t="shared" ref="Q12:Q28" ca="1" si="2">E12*E$4</f>
        <v>3056</v>
      </c>
      <c r="R12" s="4">
        <f t="shared" ref="R12:R28" ca="1" si="3">F12*F$4</f>
        <v>90</v>
      </c>
      <c r="S12" s="4">
        <f t="shared" ref="S12:S28" ca="1" si="4">G12*G$4</f>
        <v>-788.69999999999993</v>
      </c>
      <c r="T12" s="4">
        <f t="shared" ref="T12:T28" ca="1" si="5">H12*H$4</f>
        <v>526.5</v>
      </c>
      <c r="U12" s="4">
        <f t="shared" ref="U12:U28" ca="1" si="6">I12*I$4</f>
        <v>-80</v>
      </c>
      <c r="V12" s="4">
        <f t="shared" ref="V12:V28" ca="1" si="7">J12*J$4</f>
        <v>22.5</v>
      </c>
    </row>
    <row r="13" spans="4:22" ht="14.45" x14ac:dyDescent="0.3">
      <c r="D13" s="14">
        <v>2</v>
      </c>
      <c r="E13" s="16">
        <f t="shared" ref="E13:J28" ca="1" si="8">RANDBETWEEN(E$7,E$8)</f>
        <v>1847</v>
      </c>
      <c r="F13" s="9">
        <f t="shared" ca="1" si="0"/>
        <v>20</v>
      </c>
      <c r="G13" s="9">
        <f t="shared" ca="1" si="0"/>
        <v>155</v>
      </c>
      <c r="H13" s="9">
        <f t="shared" ca="1" si="0"/>
        <v>194</v>
      </c>
      <c r="I13" s="9">
        <f t="shared" ca="1" si="0"/>
        <v>15</v>
      </c>
      <c r="J13" s="10">
        <f t="shared" ca="1" si="0"/>
        <v>1</v>
      </c>
      <c r="L13" s="28">
        <f t="shared" ref="L13:L28" ca="1" si="9">NORMINV(RAND(),M13,$M$7)</f>
        <v>9470.8760811962893</v>
      </c>
      <c r="M13" s="8">
        <f t="shared" ca="1" si="1"/>
        <v>9524.7999999999993</v>
      </c>
      <c r="P13" s="4">
        <f>P12</f>
        <v>2000</v>
      </c>
      <c r="Q13" s="4">
        <f t="shared" ca="1" si="2"/>
        <v>7388</v>
      </c>
      <c r="R13" s="4">
        <f t="shared" ca="1" si="3"/>
        <v>180</v>
      </c>
      <c r="S13" s="4">
        <f t="shared" ca="1" si="4"/>
        <v>-511.5</v>
      </c>
      <c r="T13" s="4">
        <f t="shared" ca="1" si="5"/>
        <v>523.80000000000007</v>
      </c>
      <c r="U13" s="4">
        <f t="shared" ca="1" si="6"/>
        <v>-60</v>
      </c>
      <c r="V13" s="4">
        <f t="shared" ca="1" si="7"/>
        <v>4.5</v>
      </c>
    </row>
    <row r="14" spans="4:22" ht="14.45" x14ac:dyDescent="0.3">
      <c r="D14" s="14">
        <v>3</v>
      </c>
      <c r="E14" s="16">
        <f t="shared" ca="1" si="8"/>
        <v>834</v>
      </c>
      <c r="F14" s="9">
        <f t="shared" ca="1" si="0"/>
        <v>3</v>
      </c>
      <c r="G14" s="9">
        <f t="shared" ca="1" si="0"/>
        <v>411</v>
      </c>
      <c r="H14" s="9">
        <f t="shared" ca="1" si="0"/>
        <v>279</v>
      </c>
      <c r="I14" s="9">
        <f t="shared" ca="1" si="0"/>
        <v>46</v>
      </c>
      <c r="J14" s="10">
        <f t="shared" ca="1" si="0"/>
        <v>4</v>
      </c>
      <c r="L14" s="28">
        <f t="shared" ca="1" si="9"/>
        <v>4542.9744326731352</v>
      </c>
      <c r="M14" s="8">
        <f t="shared" ca="1" si="1"/>
        <v>4594</v>
      </c>
      <c r="P14" s="4">
        <f t="shared" ref="P14:P28" si="10">P13</f>
        <v>2000</v>
      </c>
      <c r="Q14" s="4">
        <f t="shared" ca="1" si="2"/>
        <v>3336</v>
      </c>
      <c r="R14" s="4">
        <f t="shared" ca="1" si="3"/>
        <v>27</v>
      </c>
      <c r="S14" s="4">
        <f t="shared" ca="1" si="4"/>
        <v>-1356.3</v>
      </c>
      <c r="T14" s="4">
        <f t="shared" ca="1" si="5"/>
        <v>753.30000000000007</v>
      </c>
      <c r="U14" s="4">
        <f t="shared" ca="1" si="6"/>
        <v>-184</v>
      </c>
      <c r="V14" s="4">
        <f t="shared" ca="1" si="7"/>
        <v>18</v>
      </c>
    </row>
    <row r="15" spans="4:22" ht="14.45" x14ac:dyDescent="0.3">
      <c r="D15" s="14">
        <v>4</v>
      </c>
      <c r="E15" s="16">
        <f t="shared" ca="1" si="8"/>
        <v>1532</v>
      </c>
      <c r="F15" s="9">
        <f t="shared" ca="1" si="0"/>
        <v>1</v>
      </c>
      <c r="G15" s="9">
        <f t="shared" ca="1" si="0"/>
        <v>190</v>
      </c>
      <c r="H15" s="9">
        <f t="shared" ca="1" si="0"/>
        <v>122</v>
      </c>
      <c r="I15" s="9">
        <f t="shared" ca="1" si="0"/>
        <v>31</v>
      </c>
      <c r="J15" s="10">
        <f t="shared" ca="1" si="0"/>
        <v>1</v>
      </c>
      <c r="L15" s="28">
        <f t="shared" ca="1" si="9"/>
        <v>7662.1156121378935</v>
      </c>
      <c r="M15" s="8">
        <f t="shared" ca="1" si="1"/>
        <v>7719.9</v>
      </c>
      <c r="P15" s="4">
        <f t="shared" si="10"/>
        <v>2000</v>
      </c>
      <c r="Q15" s="4">
        <f t="shared" ca="1" si="2"/>
        <v>6128</v>
      </c>
      <c r="R15" s="4">
        <f t="shared" ca="1" si="3"/>
        <v>9</v>
      </c>
      <c r="S15" s="4">
        <f t="shared" ca="1" si="4"/>
        <v>-627</v>
      </c>
      <c r="T15" s="4">
        <f t="shared" ca="1" si="5"/>
        <v>329.40000000000003</v>
      </c>
      <c r="U15" s="4">
        <f t="shared" ca="1" si="6"/>
        <v>-124</v>
      </c>
      <c r="V15" s="4">
        <f t="shared" ca="1" si="7"/>
        <v>4.5</v>
      </c>
    </row>
    <row r="16" spans="4:22" ht="14.45" x14ac:dyDescent="0.3">
      <c r="D16" s="14">
        <v>5</v>
      </c>
      <c r="E16" s="16">
        <f t="shared" ca="1" si="8"/>
        <v>913</v>
      </c>
      <c r="F16" s="9">
        <f t="shared" ca="1" si="0"/>
        <v>19</v>
      </c>
      <c r="G16" s="9">
        <f t="shared" ca="1" si="0"/>
        <v>861</v>
      </c>
      <c r="H16" s="9">
        <f t="shared" ca="1" si="0"/>
        <v>284</v>
      </c>
      <c r="I16" s="9">
        <f t="shared" ca="1" si="0"/>
        <v>2</v>
      </c>
      <c r="J16" s="10">
        <f t="shared" ca="1" si="0"/>
        <v>10</v>
      </c>
      <c r="L16" s="28">
        <f t="shared" ca="1" si="9"/>
        <v>3803.6490141832751</v>
      </c>
      <c r="M16" s="8">
        <f t="shared" ca="1" si="1"/>
        <v>3785.5000000000005</v>
      </c>
      <c r="P16" s="4">
        <f t="shared" si="10"/>
        <v>2000</v>
      </c>
      <c r="Q16" s="4">
        <f t="shared" ca="1" si="2"/>
        <v>3652</v>
      </c>
      <c r="R16" s="4">
        <f t="shared" ca="1" si="3"/>
        <v>171</v>
      </c>
      <c r="S16" s="4">
        <f t="shared" ca="1" si="4"/>
        <v>-2841.2999999999997</v>
      </c>
      <c r="T16" s="4">
        <f t="shared" ca="1" si="5"/>
        <v>766.80000000000007</v>
      </c>
      <c r="U16" s="4">
        <f t="shared" ca="1" si="6"/>
        <v>-8</v>
      </c>
      <c r="V16" s="4">
        <f t="shared" ca="1" si="7"/>
        <v>45</v>
      </c>
    </row>
    <row r="17" spans="4:22" ht="14.45" x14ac:dyDescent="0.3">
      <c r="D17" s="14">
        <v>6</v>
      </c>
      <c r="E17" s="16">
        <f t="shared" ca="1" si="8"/>
        <v>421</v>
      </c>
      <c r="F17" s="9">
        <f t="shared" ca="1" si="0"/>
        <v>10</v>
      </c>
      <c r="G17" s="9">
        <f t="shared" ca="1" si="0"/>
        <v>1293</v>
      </c>
      <c r="H17" s="9">
        <f t="shared" ca="1" si="0"/>
        <v>88</v>
      </c>
      <c r="I17" s="9">
        <f t="shared" ca="1" si="0"/>
        <v>95</v>
      </c>
      <c r="J17" s="10">
        <f t="shared" ca="1" si="0"/>
        <v>9</v>
      </c>
      <c r="L17" s="28">
        <f t="shared" ca="1" si="9"/>
        <v>-764.89600124554704</v>
      </c>
      <c r="M17" s="8">
        <f t="shared" ca="1" si="1"/>
        <v>-594.79999999999961</v>
      </c>
      <c r="P17" s="4">
        <f t="shared" si="10"/>
        <v>2000</v>
      </c>
      <c r="Q17" s="4">
        <f t="shared" ca="1" si="2"/>
        <v>1684</v>
      </c>
      <c r="R17" s="4">
        <f t="shared" ca="1" si="3"/>
        <v>90</v>
      </c>
      <c r="S17" s="4">
        <f t="shared" ca="1" si="4"/>
        <v>-4266.8999999999996</v>
      </c>
      <c r="T17" s="4">
        <f t="shared" ca="1" si="5"/>
        <v>237.60000000000002</v>
      </c>
      <c r="U17" s="4">
        <f t="shared" ca="1" si="6"/>
        <v>-380</v>
      </c>
      <c r="V17" s="4">
        <f t="shared" ca="1" si="7"/>
        <v>40.5</v>
      </c>
    </row>
    <row r="18" spans="4:22" ht="14.45" x14ac:dyDescent="0.3">
      <c r="D18" s="14">
        <v>7</v>
      </c>
      <c r="E18" s="16">
        <f t="shared" ca="1" si="8"/>
        <v>1570</v>
      </c>
      <c r="F18" s="9">
        <f t="shared" ca="1" si="0"/>
        <v>0</v>
      </c>
      <c r="G18" s="9">
        <f t="shared" ca="1" si="0"/>
        <v>1092</v>
      </c>
      <c r="H18" s="9">
        <f t="shared" ca="1" si="0"/>
        <v>262</v>
      </c>
      <c r="I18" s="9">
        <f t="shared" ca="1" si="0"/>
        <v>42</v>
      </c>
      <c r="J18" s="10">
        <f t="shared" ca="1" si="0"/>
        <v>2</v>
      </c>
      <c r="L18" s="28">
        <f t="shared" ca="1" si="9"/>
        <v>5289.5902529016466</v>
      </c>
      <c r="M18" s="8">
        <f t="shared" ca="1" si="1"/>
        <v>5224.7999999999993</v>
      </c>
      <c r="P18" s="4">
        <f t="shared" si="10"/>
        <v>2000</v>
      </c>
      <c r="Q18" s="4">
        <f t="shared" ca="1" si="2"/>
        <v>6280</v>
      </c>
      <c r="R18" s="4">
        <f t="shared" ca="1" si="3"/>
        <v>0</v>
      </c>
      <c r="S18" s="4">
        <f t="shared" ca="1" si="4"/>
        <v>-3603.6</v>
      </c>
      <c r="T18" s="4">
        <f t="shared" ca="1" si="5"/>
        <v>707.40000000000009</v>
      </c>
      <c r="U18" s="4">
        <f t="shared" ca="1" si="6"/>
        <v>-168</v>
      </c>
      <c r="V18" s="4">
        <f t="shared" ca="1" si="7"/>
        <v>9</v>
      </c>
    </row>
    <row r="19" spans="4:22" ht="14.45" x14ac:dyDescent="0.3">
      <c r="D19" s="14">
        <v>8</v>
      </c>
      <c r="E19" s="16">
        <f t="shared" ca="1" si="8"/>
        <v>1965</v>
      </c>
      <c r="F19" s="9">
        <f t="shared" ca="1" si="0"/>
        <v>4</v>
      </c>
      <c r="G19" s="9">
        <f t="shared" ca="1" si="0"/>
        <v>915</v>
      </c>
      <c r="H19" s="9">
        <f t="shared" ca="1" si="0"/>
        <v>135</v>
      </c>
      <c r="I19" s="9">
        <f t="shared" ca="1" si="0"/>
        <v>1</v>
      </c>
      <c r="J19" s="10">
        <f t="shared" ca="1" si="0"/>
        <v>9</v>
      </c>
      <c r="L19" s="28">
        <f t="shared" ca="1" si="9"/>
        <v>7298.4019115567598</v>
      </c>
      <c r="M19" s="8">
        <f t="shared" ca="1" si="1"/>
        <v>7277.5</v>
      </c>
      <c r="P19" s="4">
        <f t="shared" si="10"/>
        <v>2000</v>
      </c>
      <c r="Q19" s="4">
        <f t="shared" ca="1" si="2"/>
        <v>7860</v>
      </c>
      <c r="R19" s="4">
        <f t="shared" ca="1" si="3"/>
        <v>36</v>
      </c>
      <c r="S19" s="4">
        <f t="shared" ca="1" si="4"/>
        <v>-3019.5</v>
      </c>
      <c r="T19" s="4">
        <f t="shared" ca="1" si="5"/>
        <v>364.5</v>
      </c>
      <c r="U19" s="4">
        <f t="shared" ca="1" si="6"/>
        <v>-4</v>
      </c>
      <c r="V19" s="4">
        <f t="shared" ca="1" si="7"/>
        <v>40.5</v>
      </c>
    </row>
    <row r="20" spans="4:22" ht="14.45" x14ac:dyDescent="0.3">
      <c r="D20" s="14">
        <v>9</v>
      </c>
      <c r="E20" s="16">
        <f t="shared" ca="1" si="8"/>
        <v>516</v>
      </c>
      <c r="F20" s="9">
        <f t="shared" ca="1" si="0"/>
        <v>8</v>
      </c>
      <c r="G20" s="9">
        <f t="shared" ca="1" si="0"/>
        <v>1707</v>
      </c>
      <c r="H20" s="9">
        <f t="shared" ca="1" si="0"/>
        <v>289</v>
      </c>
      <c r="I20" s="9">
        <f t="shared" ca="1" si="0"/>
        <v>94</v>
      </c>
      <c r="J20" s="10">
        <f t="shared" ca="1" si="0"/>
        <v>1</v>
      </c>
      <c r="L20" s="28">
        <f t="shared" ca="1" si="9"/>
        <v>-1034.540649535588</v>
      </c>
      <c r="M20" s="8">
        <f t="shared" ca="1" si="1"/>
        <v>-1088.2999999999993</v>
      </c>
      <c r="P20" s="4">
        <f t="shared" si="10"/>
        <v>2000</v>
      </c>
      <c r="Q20" s="4">
        <f t="shared" ca="1" si="2"/>
        <v>2064</v>
      </c>
      <c r="R20" s="4">
        <f t="shared" ca="1" si="3"/>
        <v>72</v>
      </c>
      <c r="S20" s="4">
        <f t="shared" ca="1" si="4"/>
        <v>-5633.0999999999995</v>
      </c>
      <c r="T20" s="4">
        <f t="shared" ca="1" si="5"/>
        <v>780.30000000000007</v>
      </c>
      <c r="U20" s="4">
        <f t="shared" ca="1" si="6"/>
        <v>-376</v>
      </c>
      <c r="V20" s="4">
        <f t="shared" ca="1" si="7"/>
        <v>4.5</v>
      </c>
    </row>
    <row r="21" spans="4:22" ht="14.45" x14ac:dyDescent="0.3">
      <c r="D21" s="14">
        <v>10</v>
      </c>
      <c r="E21" s="16">
        <f t="shared" ca="1" si="8"/>
        <v>1402</v>
      </c>
      <c r="F21" s="9">
        <f t="shared" ca="1" si="0"/>
        <v>17</v>
      </c>
      <c r="G21" s="9">
        <f t="shared" ca="1" si="0"/>
        <v>839</v>
      </c>
      <c r="H21" s="9">
        <f t="shared" ca="1" si="0"/>
        <v>177</v>
      </c>
      <c r="I21" s="9">
        <f t="shared" ca="1" si="0"/>
        <v>64</v>
      </c>
      <c r="J21" s="10">
        <f t="shared" ca="1" si="0"/>
        <v>9</v>
      </c>
      <c r="L21" s="28">
        <f t="shared" ca="1" si="9"/>
        <v>5193.6631079753606</v>
      </c>
      <c r="M21" s="8">
        <f t="shared" ca="1" si="1"/>
        <v>5254.7</v>
      </c>
      <c r="P21" s="4">
        <f t="shared" si="10"/>
        <v>2000</v>
      </c>
      <c r="Q21" s="4">
        <f t="shared" ca="1" si="2"/>
        <v>5608</v>
      </c>
      <c r="R21" s="4">
        <f t="shared" ca="1" si="3"/>
        <v>153</v>
      </c>
      <c r="S21" s="4">
        <f t="shared" ca="1" si="4"/>
        <v>-2768.7</v>
      </c>
      <c r="T21" s="4">
        <f t="shared" ca="1" si="5"/>
        <v>477.90000000000003</v>
      </c>
      <c r="U21" s="4">
        <f t="shared" ca="1" si="6"/>
        <v>-256</v>
      </c>
      <c r="V21" s="4">
        <f t="shared" ca="1" si="7"/>
        <v>40.5</v>
      </c>
    </row>
    <row r="22" spans="4:22" ht="14.45" x14ac:dyDescent="0.3">
      <c r="D22" s="14">
        <v>11</v>
      </c>
      <c r="E22" s="16">
        <f t="shared" ca="1" si="8"/>
        <v>1192</v>
      </c>
      <c r="F22" s="9">
        <f t="shared" ca="1" si="0"/>
        <v>7</v>
      </c>
      <c r="G22" s="9">
        <f t="shared" ca="1" si="0"/>
        <v>1295</v>
      </c>
      <c r="H22" s="9">
        <f t="shared" ca="1" si="0"/>
        <v>242</v>
      </c>
      <c r="I22" s="9">
        <f t="shared" ca="1" si="0"/>
        <v>57</v>
      </c>
      <c r="J22" s="10">
        <f t="shared" ca="1" si="0"/>
        <v>7</v>
      </c>
      <c r="L22" s="28">
        <f t="shared" ca="1" si="9"/>
        <v>2919.1527196621878</v>
      </c>
      <c r="M22" s="8">
        <f t="shared" ca="1" si="1"/>
        <v>3014.4</v>
      </c>
      <c r="P22" s="4">
        <f t="shared" si="10"/>
        <v>2000</v>
      </c>
      <c r="Q22" s="4">
        <f t="shared" ca="1" si="2"/>
        <v>4768</v>
      </c>
      <c r="R22" s="4">
        <f t="shared" ca="1" si="3"/>
        <v>63</v>
      </c>
      <c r="S22" s="4">
        <f t="shared" ca="1" si="4"/>
        <v>-4273.5</v>
      </c>
      <c r="T22" s="4">
        <f t="shared" ca="1" si="5"/>
        <v>653.40000000000009</v>
      </c>
      <c r="U22" s="4">
        <f t="shared" ca="1" si="6"/>
        <v>-228</v>
      </c>
      <c r="V22" s="4">
        <f t="shared" ca="1" si="7"/>
        <v>31.5</v>
      </c>
    </row>
    <row r="23" spans="4:22" ht="14.45" x14ac:dyDescent="0.3">
      <c r="D23" s="14">
        <v>12</v>
      </c>
      <c r="E23" s="16">
        <f t="shared" ca="1" si="8"/>
        <v>1929</v>
      </c>
      <c r="F23" s="9">
        <f t="shared" ca="1" si="0"/>
        <v>4</v>
      </c>
      <c r="G23" s="9">
        <f t="shared" ca="1" si="0"/>
        <v>1598</v>
      </c>
      <c r="H23" s="9">
        <f t="shared" ca="1" si="0"/>
        <v>166</v>
      </c>
      <c r="I23" s="9">
        <f t="shared" ca="1" si="0"/>
        <v>34</v>
      </c>
      <c r="J23" s="10">
        <f t="shared" ca="1" si="0"/>
        <v>0</v>
      </c>
      <c r="L23" s="28">
        <f t="shared" ca="1" si="9"/>
        <v>4896.3640799943423</v>
      </c>
      <c r="M23" s="8">
        <f t="shared" ca="1" si="1"/>
        <v>4790.8</v>
      </c>
      <c r="P23" s="4">
        <f t="shared" si="10"/>
        <v>2000</v>
      </c>
      <c r="Q23" s="4">
        <f t="shared" ca="1" si="2"/>
        <v>7716</v>
      </c>
      <c r="R23" s="4">
        <f t="shared" ca="1" si="3"/>
        <v>36</v>
      </c>
      <c r="S23" s="4">
        <f t="shared" ca="1" si="4"/>
        <v>-5273.4</v>
      </c>
      <c r="T23" s="4">
        <f t="shared" ca="1" si="5"/>
        <v>448.20000000000005</v>
      </c>
      <c r="U23" s="4">
        <f t="shared" ca="1" si="6"/>
        <v>-136</v>
      </c>
      <c r="V23" s="4">
        <f t="shared" ca="1" si="7"/>
        <v>0</v>
      </c>
    </row>
    <row r="24" spans="4:22" ht="14.45" x14ac:dyDescent="0.3">
      <c r="D24" s="14">
        <v>13</v>
      </c>
      <c r="E24" s="16">
        <f t="shared" ca="1" si="8"/>
        <v>1515</v>
      </c>
      <c r="F24" s="9">
        <f t="shared" ca="1" si="0"/>
        <v>2</v>
      </c>
      <c r="G24" s="9">
        <f t="shared" ca="1" si="0"/>
        <v>1589</v>
      </c>
      <c r="H24" s="9">
        <f t="shared" ca="1" si="0"/>
        <v>271</v>
      </c>
      <c r="I24" s="9">
        <f t="shared" ca="1" si="0"/>
        <v>26</v>
      </c>
      <c r="J24" s="10">
        <f t="shared" ca="1" si="0"/>
        <v>4</v>
      </c>
      <c r="L24" s="28">
        <f t="shared" ca="1" si="9"/>
        <v>3603.5504376325907</v>
      </c>
      <c r="M24" s="8">
        <f t="shared" ca="1" si="1"/>
        <v>3480</v>
      </c>
      <c r="P24" s="4">
        <f t="shared" si="10"/>
        <v>2000</v>
      </c>
      <c r="Q24" s="4">
        <f t="shared" ca="1" si="2"/>
        <v>6060</v>
      </c>
      <c r="R24" s="4">
        <f t="shared" ca="1" si="3"/>
        <v>18</v>
      </c>
      <c r="S24" s="4">
        <f t="shared" ca="1" si="4"/>
        <v>-5243.7</v>
      </c>
      <c r="T24" s="4">
        <f t="shared" ca="1" si="5"/>
        <v>731.7</v>
      </c>
      <c r="U24" s="4">
        <f t="shared" ca="1" si="6"/>
        <v>-104</v>
      </c>
      <c r="V24" s="4">
        <f t="shared" ca="1" si="7"/>
        <v>18</v>
      </c>
    </row>
    <row r="25" spans="4:22" ht="14.45" x14ac:dyDescent="0.3">
      <c r="D25" s="14">
        <v>14</v>
      </c>
      <c r="E25" s="16">
        <f t="shared" ca="1" si="8"/>
        <v>1620</v>
      </c>
      <c r="F25" s="9">
        <f t="shared" ca="1" si="0"/>
        <v>7</v>
      </c>
      <c r="G25" s="9">
        <f t="shared" ca="1" si="0"/>
        <v>578</v>
      </c>
      <c r="H25" s="9">
        <f t="shared" ca="1" si="0"/>
        <v>216</v>
      </c>
      <c r="I25" s="9">
        <f t="shared" ca="1" si="0"/>
        <v>30</v>
      </c>
      <c r="J25" s="10">
        <f t="shared" ca="1" si="0"/>
        <v>10</v>
      </c>
      <c r="L25" s="28">
        <f t="shared" ca="1" si="9"/>
        <v>7198.499565797094</v>
      </c>
      <c r="M25" s="8">
        <f t="shared" ca="1" si="1"/>
        <v>7143.8</v>
      </c>
      <c r="P25" s="4">
        <f t="shared" si="10"/>
        <v>2000</v>
      </c>
      <c r="Q25" s="4">
        <f t="shared" ca="1" si="2"/>
        <v>6480</v>
      </c>
      <c r="R25" s="4">
        <f t="shared" ca="1" si="3"/>
        <v>63</v>
      </c>
      <c r="S25" s="4">
        <f t="shared" ca="1" si="4"/>
        <v>-1907.3999999999999</v>
      </c>
      <c r="T25" s="4">
        <f t="shared" ca="1" si="5"/>
        <v>583.20000000000005</v>
      </c>
      <c r="U25" s="4">
        <f t="shared" ca="1" si="6"/>
        <v>-120</v>
      </c>
      <c r="V25" s="4">
        <f t="shared" ca="1" si="7"/>
        <v>45</v>
      </c>
    </row>
    <row r="26" spans="4:22" ht="14.45" x14ac:dyDescent="0.3">
      <c r="D26" s="14">
        <v>15</v>
      </c>
      <c r="E26" s="16">
        <f t="shared" ca="1" si="8"/>
        <v>1764</v>
      </c>
      <c r="F26" s="9">
        <f t="shared" ca="1" si="0"/>
        <v>1</v>
      </c>
      <c r="G26" s="9">
        <f t="shared" ca="1" si="0"/>
        <v>1120</v>
      </c>
      <c r="H26" s="9">
        <f t="shared" ca="1" si="0"/>
        <v>162</v>
      </c>
      <c r="I26" s="9">
        <f t="shared" ca="1" si="0"/>
        <v>5</v>
      </c>
      <c r="J26" s="10">
        <f t="shared" ca="1" si="0"/>
        <v>7</v>
      </c>
      <c r="L26" s="28">
        <f t="shared" ca="1" si="9"/>
        <v>5850.9618339192948</v>
      </c>
      <c r="M26" s="8">
        <f t="shared" ca="1" si="1"/>
        <v>5817.9</v>
      </c>
      <c r="P26" s="4">
        <f t="shared" si="10"/>
        <v>2000</v>
      </c>
      <c r="Q26" s="4">
        <f t="shared" ca="1" si="2"/>
        <v>7056</v>
      </c>
      <c r="R26" s="4">
        <f t="shared" ca="1" si="3"/>
        <v>9</v>
      </c>
      <c r="S26" s="4">
        <f t="shared" ca="1" si="4"/>
        <v>-3696</v>
      </c>
      <c r="T26" s="4">
        <f t="shared" ca="1" si="5"/>
        <v>437.40000000000003</v>
      </c>
      <c r="U26" s="4">
        <f t="shared" ca="1" si="6"/>
        <v>-20</v>
      </c>
      <c r="V26" s="4">
        <f t="shared" ca="1" si="7"/>
        <v>31.5</v>
      </c>
    </row>
    <row r="27" spans="4:22" ht="14.45" x14ac:dyDescent="0.3">
      <c r="D27" s="14">
        <v>16</v>
      </c>
      <c r="E27" s="16">
        <f t="shared" ca="1" si="8"/>
        <v>1246</v>
      </c>
      <c r="F27" s="9">
        <f t="shared" ca="1" si="0"/>
        <v>1</v>
      </c>
      <c r="G27" s="9">
        <f t="shared" ca="1" si="0"/>
        <v>228</v>
      </c>
      <c r="H27" s="9">
        <f t="shared" ca="1" si="0"/>
        <v>252</v>
      </c>
      <c r="I27" s="9">
        <f t="shared" ca="1" si="0"/>
        <v>0</v>
      </c>
      <c r="J27" s="10">
        <f t="shared" ca="1" si="0"/>
        <v>2</v>
      </c>
      <c r="L27" s="28">
        <f t="shared" ca="1" si="9"/>
        <v>6778.1450132891414</v>
      </c>
      <c r="M27" s="8">
        <f t="shared" ca="1" si="1"/>
        <v>6930</v>
      </c>
      <c r="P27" s="4">
        <f t="shared" si="10"/>
        <v>2000</v>
      </c>
      <c r="Q27" s="4">
        <f t="shared" ca="1" si="2"/>
        <v>4984</v>
      </c>
      <c r="R27" s="4">
        <f t="shared" ca="1" si="3"/>
        <v>9</v>
      </c>
      <c r="S27" s="4">
        <f t="shared" ca="1" si="4"/>
        <v>-752.4</v>
      </c>
      <c r="T27" s="4">
        <f t="shared" ca="1" si="5"/>
        <v>680.40000000000009</v>
      </c>
      <c r="U27" s="4">
        <f t="shared" ca="1" si="6"/>
        <v>0</v>
      </c>
      <c r="V27" s="4">
        <f t="shared" ca="1" si="7"/>
        <v>9</v>
      </c>
    </row>
    <row r="28" spans="4:22" thickBot="1" x14ac:dyDescent="0.35">
      <c r="D28" s="15">
        <v>17</v>
      </c>
      <c r="E28" s="17">
        <f t="shared" ca="1" si="8"/>
        <v>246</v>
      </c>
      <c r="F28" s="11">
        <f t="shared" ca="1" si="8"/>
        <v>6</v>
      </c>
      <c r="G28" s="11">
        <f t="shared" ca="1" si="8"/>
        <v>1363</v>
      </c>
      <c r="H28" s="11">
        <f t="shared" ca="1" si="8"/>
        <v>222</v>
      </c>
      <c r="I28" s="11">
        <f t="shared" ca="1" si="8"/>
        <v>67</v>
      </c>
      <c r="J28" s="12">
        <f t="shared" ca="1" si="8"/>
        <v>7</v>
      </c>
      <c r="L28" s="28">
        <f t="shared" ca="1" si="9"/>
        <v>-1151.7804178626993</v>
      </c>
      <c r="M28" s="8">
        <f t="shared" ca="1" si="1"/>
        <v>-1096.9999999999995</v>
      </c>
      <c r="P28" s="4">
        <f t="shared" si="10"/>
        <v>2000</v>
      </c>
      <c r="Q28" s="4">
        <f t="shared" ca="1" si="2"/>
        <v>984</v>
      </c>
      <c r="R28" s="4">
        <f t="shared" ca="1" si="3"/>
        <v>54</v>
      </c>
      <c r="S28" s="4">
        <f t="shared" ca="1" si="4"/>
        <v>-4497.8999999999996</v>
      </c>
      <c r="T28" s="4">
        <f t="shared" ca="1" si="5"/>
        <v>599.40000000000009</v>
      </c>
      <c r="U28" s="4">
        <f t="shared" ca="1" si="6"/>
        <v>-268</v>
      </c>
      <c r="V28" s="4">
        <f t="shared" ca="1" si="7"/>
        <v>31.5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7:CS55"/>
  <sheetViews>
    <sheetView showGridLines="0" zoomScale="120" zoomScaleNormal="120" workbookViewId="0">
      <selection activeCell="L17" sqref="L17"/>
    </sheetView>
  </sheetViews>
  <sheetFormatPr defaultColWidth="8.85546875" defaultRowHeight="15" x14ac:dyDescent="0.25"/>
  <cols>
    <col min="1" max="1" width="8.85546875" style="92"/>
    <col min="2" max="2" width="3.140625" style="92" customWidth="1"/>
    <col min="3" max="3" width="1" style="92" customWidth="1"/>
    <col min="4" max="4" width="5.28515625" style="92" bestFit="1" customWidth="1"/>
    <col min="5" max="5" width="1" style="92" customWidth="1"/>
    <col min="6" max="6" width="5" style="92" customWidth="1"/>
    <col min="7" max="7" width="1" style="92" customWidth="1"/>
    <col min="8" max="8" width="3" style="92" bestFit="1" customWidth="1"/>
    <col min="9" max="9" width="6.5703125" style="92" bestFit="1" customWidth="1"/>
    <col min="10" max="10" width="6.28515625" style="92" bestFit="1" customWidth="1"/>
    <col min="11" max="11" width="7.140625" style="92" bestFit="1" customWidth="1"/>
    <col min="12" max="12" width="7.7109375" style="92" bestFit="1" customWidth="1"/>
    <col min="13" max="13" width="10.7109375" style="92" bestFit="1" customWidth="1"/>
    <col min="14" max="14" width="12.28515625" style="92" bestFit="1" customWidth="1"/>
    <col min="15" max="15" width="1" style="92" customWidth="1"/>
    <col min="16" max="16" width="2.28515625" style="92" customWidth="1"/>
    <col min="17" max="17" width="1" style="92" customWidth="1"/>
    <col min="18" max="18" width="3.85546875" style="92" customWidth="1"/>
    <col min="19" max="19" width="1" style="92" customWidth="1"/>
    <col min="20" max="20" width="3.5703125" style="92" customWidth="1"/>
    <col min="21" max="21" width="1.28515625" style="92" customWidth="1"/>
    <col min="22" max="22" width="5.28515625" style="92" customWidth="1"/>
    <col min="23" max="23" width="1.28515625" style="92" customWidth="1"/>
    <col min="24" max="25" width="2.85546875" style="92" customWidth="1"/>
    <col min="26" max="26" width="1.85546875" style="92" customWidth="1"/>
    <col min="27" max="27" width="1" style="92" customWidth="1"/>
    <col min="28" max="30" width="3.28515625" style="94" customWidth="1"/>
    <col min="31" max="31" width="1.28515625" style="92" customWidth="1"/>
    <col min="32" max="32" width="2.28515625" style="92" customWidth="1"/>
    <col min="33" max="33" width="1.28515625" style="92" customWidth="1"/>
    <col min="34" max="34" width="2.85546875" style="92" customWidth="1"/>
    <col min="35" max="35" width="1.28515625" style="92" customWidth="1"/>
    <col min="36" max="36" width="3.28515625" style="92" customWidth="1"/>
    <col min="37" max="37" width="1.42578125" style="92" customWidth="1"/>
    <col min="38" max="38" width="13.42578125" style="94" bestFit="1" customWidth="1"/>
    <col min="39" max="40" width="1.5703125" style="92" customWidth="1"/>
    <col min="41" max="41" width="2.140625" style="92" customWidth="1"/>
    <col min="42" max="42" width="0.85546875" style="92" customWidth="1"/>
    <col min="43" max="45" width="2.28515625" style="92" customWidth="1"/>
    <col min="46" max="46" width="1.140625" style="92" customWidth="1"/>
    <col min="47" max="47" width="2.28515625" style="92" customWidth="1"/>
    <col min="48" max="48" width="1.140625" style="92" customWidth="1"/>
    <col min="49" max="51" width="4.28515625" style="92" customWidth="1"/>
    <col min="52" max="52" width="1.140625" style="92" customWidth="1"/>
    <col min="53" max="53" width="6" style="92" customWidth="1"/>
    <col min="54" max="54" width="2.28515625" style="92" customWidth="1"/>
    <col min="55" max="57" width="15.28515625" style="92" customWidth="1"/>
    <col min="58" max="59" width="2" style="92" customWidth="1"/>
    <col min="60" max="60" width="8.85546875" style="92"/>
    <col min="61" max="61" width="1.85546875" style="92" customWidth="1"/>
    <col min="62" max="64" width="7.7109375" style="92" customWidth="1"/>
    <col min="65" max="65" width="2.28515625" style="92" customWidth="1"/>
    <col min="66" max="67" width="8.85546875" style="92"/>
    <col min="68" max="68" width="2.7109375" style="92" customWidth="1"/>
    <col min="69" max="73" width="8.85546875" style="92"/>
    <col min="74" max="74" width="2.7109375" style="92" customWidth="1"/>
    <col min="75" max="76" width="8.85546875" style="92"/>
    <col min="77" max="77" width="1.7109375" style="92" customWidth="1"/>
    <col min="78" max="80" width="2.7109375" style="92" customWidth="1"/>
    <col min="81" max="81" width="1.7109375" style="92" customWidth="1"/>
    <col min="82" max="82" width="2.140625" style="92" customWidth="1"/>
    <col min="83" max="83" width="3.5703125" style="92" customWidth="1"/>
    <col min="84" max="84" width="1.7109375" style="92" customWidth="1"/>
    <col min="85" max="85" width="3" style="92" customWidth="1"/>
    <col min="86" max="86" width="1.7109375" style="92" customWidth="1"/>
    <col min="87" max="87" width="8.85546875" style="92"/>
    <col min="88" max="88" width="1.42578125" style="92" customWidth="1"/>
    <col min="89" max="89" width="4.28515625" style="92" customWidth="1"/>
    <col min="90" max="90" width="1.42578125" style="92" customWidth="1"/>
    <col min="91" max="91" width="2.85546875" style="92" customWidth="1"/>
    <col min="92" max="92" width="4" style="92" customWidth="1"/>
    <col min="93" max="93" width="1.42578125" style="92" customWidth="1"/>
    <col min="94" max="96" width="2.7109375" style="92" customWidth="1"/>
    <col min="97" max="97" width="1.42578125" style="92" customWidth="1"/>
    <col min="98" max="16384" width="8.85546875" style="92"/>
  </cols>
  <sheetData>
    <row r="7" spans="3:23" ht="7.9" customHeight="1" thickBot="1" x14ac:dyDescent="0.35"/>
    <row r="8" spans="3:23" ht="21" thickTop="1" x14ac:dyDescent="0.25">
      <c r="C8" s="93"/>
      <c r="D8" s="94" t="s">
        <v>75</v>
      </c>
      <c r="E8" s="95"/>
      <c r="G8" s="93"/>
      <c r="H8" s="94">
        <v>1</v>
      </c>
      <c r="I8" s="94" t="s">
        <v>80</v>
      </c>
      <c r="J8" s="94" t="s">
        <v>84</v>
      </c>
      <c r="K8" s="94" t="s">
        <v>85</v>
      </c>
      <c r="L8" s="94" t="s">
        <v>86</v>
      </c>
      <c r="M8" s="94" t="s">
        <v>87</v>
      </c>
      <c r="N8" s="94" t="s">
        <v>88</v>
      </c>
      <c r="O8" s="95"/>
      <c r="P8" s="94"/>
      <c r="Q8" s="93"/>
      <c r="R8" s="91" t="s">
        <v>110</v>
      </c>
      <c r="S8" s="95"/>
      <c r="U8" s="93"/>
      <c r="V8" s="101" t="s">
        <v>106</v>
      </c>
      <c r="W8" s="95"/>
    </row>
    <row r="9" spans="3:23" ht="20.25" x14ac:dyDescent="0.25">
      <c r="C9" s="96"/>
      <c r="D9" s="94" t="s">
        <v>76</v>
      </c>
      <c r="E9" s="97"/>
      <c r="G9" s="96"/>
      <c r="H9" s="94">
        <v>1</v>
      </c>
      <c r="I9" s="94" t="s">
        <v>81</v>
      </c>
      <c r="J9" s="94" t="s">
        <v>89</v>
      </c>
      <c r="K9" s="94" t="s">
        <v>90</v>
      </c>
      <c r="L9" s="94" t="s">
        <v>91</v>
      </c>
      <c r="M9" s="94" t="s">
        <v>92</v>
      </c>
      <c r="N9" s="94" t="s">
        <v>93</v>
      </c>
      <c r="O9" s="97"/>
      <c r="P9" s="94"/>
      <c r="Q9" s="96"/>
      <c r="R9" s="91" t="s">
        <v>111</v>
      </c>
      <c r="S9" s="97"/>
      <c r="T9" s="117" t="s">
        <v>105</v>
      </c>
      <c r="U9" s="96"/>
      <c r="V9" s="101" t="s">
        <v>107</v>
      </c>
      <c r="W9" s="97"/>
    </row>
    <row r="10" spans="3:23" ht="20.25" x14ac:dyDescent="0.25">
      <c r="C10" s="96"/>
      <c r="D10" s="94" t="s">
        <v>77</v>
      </c>
      <c r="E10" s="97"/>
      <c r="F10" s="94" t="s">
        <v>79</v>
      </c>
      <c r="G10" s="96"/>
      <c r="H10" s="94">
        <v>1</v>
      </c>
      <c r="I10" s="94" t="s">
        <v>82</v>
      </c>
      <c r="J10" s="94" t="s">
        <v>94</v>
      </c>
      <c r="K10" s="94" t="s">
        <v>95</v>
      </c>
      <c r="L10" s="94" t="s">
        <v>96</v>
      </c>
      <c r="M10" s="94" t="s">
        <v>97</v>
      </c>
      <c r="N10" s="94" t="s">
        <v>98</v>
      </c>
      <c r="O10" s="97"/>
      <c r="P10" s="94"/>
      <c r="Q10" s="96"/>
      <c r="R10" s="91" t="s">
        <v>104</v>
      </c>
      <c r="S10" s="97"/>
      <c r="T10" s="117"/>
      <c r="U10" s="96"/>
      <c r="V10" s="101" t="s">
        <v>108</v>
      </c>
      <c r="W10" s="97"/>
    </row>
    <row r="11" spans="3:23" x14ac:dyDescent="0.25">
      <c r="C11" s="96"/>
      <c r="D11" s="94" t="s">
        <v>74</v>
      </c>
      <c r="E11" s="97"/>
      <c r="G11" s="96"/>
      <c r="H11" s="94" t="s">
        <v>74</v>
      </c>
      <c r="I11" s="94" t="s">
        <v>74</v>
      </c>
      <c r="J11" s="94" t="s">
        <v>74</v>
      </c>
      <c r="K11" s="94" t="s">
        <v>74</v>
      </c>
      <c r="L11" s="94" t="s">
        <v>74</v>
      </c>
      <c r="M11" s="94" t="s">
        <v>74</v>
      </c>
      <c r="N11" s="94" t="s">
        <v>74</v>
      </c>
      <c r="O11" s="97"/>
      <c r="P11" s="94"/>
      <c r="Q11" s="96"/>
      <c r="R11" s="94" t="s">
        <v>74</v>
      </c>
      <c r="S11" s="97"/>
      <c r="U11" s="96"/>
      <c r="V11" s="94" t="s">
        <v>74</v>
      </c>
      <c r="W11" s="97"/>
    </row>
    <row r="12" spans="3:23" ht="21" thickBot="1" x14ac:dyDescent="0.3">
      <c r="C12" s="98"/>
      <c r="D12" s="94" t="s">
        <v>78</v>
      </c>
      <c r="E12" s="99"/>
      <c r="G12" s="98"/>
      <c r="H12" s="94">
        <v>1</v>
      </c>
      <c r="I12" s="94" t="s">
        <v>83</v>
      </c>
      <c r="J12" s="94" t="s">
        <v>99</v>
      </c>
      <c r="K12" s="94" t="s">
        <v>100</v>
      </c>
      <c r="L12" s="94" t="s">
        <v>101</v>
      </c>
      <c r="M12" s="94" t="s">
        <v>102</v>
      </c>
      <c r="N12" s="94" t="s">
        <v>103</v>
      </c>
      <c r="O12" s="99"/>
      <c r="P12" s="94"/>
      <c r="Q12" s="98"/>
      <c r="R12" s="91" t="s">
        <v>112</v>
      </c>
      <c r="S12" s="99"/>
      <c r="U12" s="98"/>
      <c r="V12" s="101" t="s">
        <v>109</v>
      </c>
      <c r="W12" s="99"/>
    </row>
    <row r="13" spans="3:23" ht="7.9" customHeight="1" thickTop="1" x14ac:dyDescent="0.3"/>
    <row r="16" spans="3:23" thickBot="1" x14ac:dyDescent="0.35"/>
    <row r="17" spans="8:75" ht="18.600000000000001" customHeight="1" thickTop="1" x14ac:dyDescent="0.3">
      <c r="AA17" s="93"/>
      <c r="AB17" s="94" t="s">
        <v>113</v>
      </c>
      <c r="AC17" s="94" t="s">
        <v>114</v>
      </c>
      <c r="AD17" s="94" t="s">
        <v>115</v>
      </c>
      <c r="AE17" s="95"/>
      <c r="AG17" s="93"/>
      <c r="AH17" s="94">
        <v>1</v>
      </c>
      <c r="AI17" s="95"/>
      <c r="AK17" s="93"/>
      <c r="AL17" s="94" t="s">
        <v>121</v>
      </c>
      <c r="AM17" s="95"/>
      <c r="AN17" s="102"/>
    </row>
    <row r="18" spans="8:75" ht="18.600000000000001" customHeight="1" x14ac:dyDescent="0.3">
      <c r="H18" s="94"/>
      <c r="I18" s="94"/>
      <c r="J18" s="94"/>
      <c r="AA18" s="96"/>
      <c r="AB18" s="94" t="s">
        <v>116</v>
      </c>
      <c r="AC18" s="94" t="s">
        <v>117</v>
      </c>
      <c r="AD18" s="94" t="s">
        <v>54</v>
      </c>
      <c r="AE18" s="97"/>
      <c r="AG18" s="96"/>
      <c r="AH18" s="94">
        <v>2</v>
      </c>
      <c r="AI18" s="97"/>
      <c r="AJ18" s="94" t="s">
        <v>79</v>
      </c>
      <c r="AK18" s="96"/>
      <c r="AL18" s="94" t="s">
        <v>122</v>
      </c>
      <c r="AM18" s="97"/>
      <c r="AN18" s="102"/>
    </row>
    <row r="19" spans="8:75" ht="18.600000000000001" customHeight="1" thickBot="1" x14ac:dyDescent="0.35">
      <c r="H19" s="94"/>
      <c r="I19" s="94"/>
      <c r="J19" s="94"/>
      <c r="AA19" s="98"/>
      <c r="AB19" s="94" t="s">
        <v>118</v>
      </c>
      <c r="AC19" s="94" t="s">
        <v>119</v>
      </c>
      <c r="AD19" s="94" t="s">
        <v>120</v>
      </c>
      <c r="AE19" s="99"/>
      <c r="AG19" s="98"/>
      <c r="AH19" s="94">
        <v>3</v>
      </c>
      <c r="AI19" s="99"/>
      <c r="AK19" s="98"/>
      <c r="AL19" s="94" t="s">
        <v>123</v>
      </c>
      <c r="AM19" s="99"/>
      <c r="AN19" s="102"/>
    </row>
    <row r="20" spans="8:75" thickTop="1" x14ac:dyDescent="0.3"/>
    <row r="21" spans="8:75" ht="7.9" customHeight="1" thickBot="1" x14ac:dyDescent="0.35"/>
    <row r="22" spans="8:75" ht="15.6" thickTop="1" thickBot="1" x14ac:dyDescent="0.35">
      <c r="AP22" s="103"/>
      <c r="AQ22" s="102">
        <v>1</v>
      </c>
      <c r="AR22" s="102">
        <v>2</v>
      </c>
      <c r="AS22" s="102">
        <v>3</v>
      </c>
      <c r="AT22" s="104"/>
      <c r="AV22" s="93"/>
      <c r="AW22" s="94" t="s">
        <v>113</v>
      </c>
      <c r="AX22" s="94" t="s">
        <v>114</v>
      </c>
      <c r="AY22" s="94" t="s">
        <v>115</v>
      </c>
      <c r="AZ22" s="95"/>
      <c r="BB22" s="103"/>
      <c r="BC22" s="111" t="s">
        <v>132</v>
      </c>
      <c r="BD22" s="111" t="s">
        <v>133</v>
      </c>
      <c r="BE22" s="111" t="s">
        <v>134</v>
      </c>
      <c r="BF22" s="104"/>
    </row>
    <row r="23" spans="8:75" thickTop="1" x14ac:dyDescent="0.3">
      <c r="AV23" s="96"/>
      <c r="AW23" s="94" t="s">
        <v>116</v>
      </c>
      <c r="AX23" s="94" t="s">
        <v>117</v>
      </c>
      <c r="AY23" s="94" t="s">
        <v>54</v>
      </c>
      <c r="AZ23" s="97"/>
      <c r="BA23" s="94" t="s">
        <v>79</v>
      </c>
    </row>
    <row r="24" spans="8:75" ht="15.75" thickBot="1" x14ac:dyDescent="0.3">
      <c r="AV24" s="98"/>
      <c r="AW24" s="94" t="s">
        <v>118</v>
      </c>
      <c r="AX24" s="94" t="s">
        <v>119</v>
      </c>
      <c r="AY24" s="94" t="s">
        <v>120</v>
      </c>
      <c r="AZ24" s="99"/>
    </row>
    <row r="25" spans="8:75" ht="9" customHeight="1" thickTop="1" x14ac:dyDescent="0.25"/>
    <row r="26" spans="8:75" ht="15.75" thickBot="1" x14ac:dyDescent="0.3"/>
    <row r="27" spans="8:75" ht="16.5" thickTop="1" thickBot="1" x14ac:dyDescent="0.3">
      <c r="BI27"/>
      <c r="BJ27"/>
      <c r="BK27"/>
      <c r="BL27"/>
      <c r="BM27"/>
      <c r="BN27"/>
      <c r="BO27"/>
      <c r="BP27" s="93"/>
      <c r="BQ27" s="5">
        <f ca="1">RANDBETWEEN(0,99)</f>
        <v>79</v>
      </c>
      <c r="BR27" s="5">
        <f t="shared" ref="BR27:BU28" ca="1" si="0">RANDBETWEEN(0,99)</f>
        <v>69</v>
      </c>
      <c r="BS27" s="5">
        <f t="shared" ca="1" si="0"/>
        <v>2</v>
      </c>
      <c r="BT27" s="5">
        <f t="shared" ca="1" si="0"/>
        <v>34</v>
      </c>
      <c r="BU27" s="5">
        <f t="shared" ca="1" si="0"/>
        <v>80</v>
      </c>
      <c r="BV27" s="95"/>
      <c r="BW27"/>
    </row>
    <row r="28" spans="8:75" ht="16.5" thickTop="1" thickBot="1" x14ac:dyDescent="0.3">
      <c r="BI28" s="93"/>
      <c r="BJ28" s="5">
        <f ca="1">RANDBETWEEN(0,99)</f>
        <v>60</v>
      </c>
      <c r="BK28" s="5">
        <f t="shared" ref="BK28:BL42" ca="1" si="1">RANDBETWEEN(0,99)</f>
        <v>40</v>
      </c>
      <c r="BL28" s="5">
        <f t="shared" ca="1" si="1"/>
        <v>49</v>
      </c>
      <c r="BM28" s="95"/>
      <c r="BN28"/>
      <c r="BO28"/>
      <c r="BP28" s="98"/>
      <c r="BQ28" s="5">
        <f ca="1">RANDBETWEEN(0,99)</f>
        <v>45</v>
      </c>
      <c r="BR28" s="5">
        <f ca="1">RANDBETWEEN(0,99)</f>
        <v>14</v>
      </c>
      <c r="BS28" s="5">
        <f t="shared" ca="1" si="0"/>
        <v>12</v>
      </c>
      <c r="BT28" s="5">
        <f t="shared" ca="1" si="0"/>
        <v>69</v>
      </c>
      <c r="BU28" s="5">
        <f t="shared" ca="1" si="0"/>
        <v>23</v>
      </c>
      <c r="BV28" s="99"/>
      <c r="BW28"/>
    </row>
    <row r="29" spans="8:75" ht="15.75" thickTop="1" x14ac:dyDescent="0.25">
      <c r="BI29" s="96"/>
      <c r="BJ29" s="5">
        <f t="shared" ref="BJ29:BJ37" ca="1" si="2">RANDBETWEEN(0,99)</f>
        <v>91</v>
      </c>
      <c r="BK29" s="5">
        <f t="shared" ca="1" si="1"/>
        <v>14</v>
      </c>
      <c r="BL29" s="5">
        <f t="shared" ca="1" si="1"/>
        <v>94</v>
      </c>
      <c r="BM29" s="97"/>
      <c r="BN29"/>
      <c r="BO29"/>
      <c r="BP29"/>
      <c r="BQ29"/>
      <c r="BR29"/>
      <c r="BS29"/>
      <c r="BT29"/>
      <c r="BU29"/>
      <c r="BV29"/>
      <c r="BW29"/>
    </row>
    <row r="30" spans="8:75" x14ac:dyDescent="0.25">
      <c r="BI30" s="96"/>
      <c r="BJ30" s="5">
        <f t="shared" ca="1" si="2"/>
        <v>29</v>
      </c>
      <c r="BK30" s="5">
        <f t="shared" ca="1" si="1"/>
        <v>48</v>
      </c>
      <c r="BL30" s="5">
        <f t="shared" ca="1" si="1"/>
        <v>70</v>
      </c>
      <c r="BM30" s="97"/>
      <c r="BN30"/>
      <c r="BO30"/>
      <c r="BP30"/>
      <c r="BQ30"/>
      <c r="BR30"/>
      <c r="BS30"/>
      <c r="BT30"/>
      <c r="BU30"/>
      <c r="BV30"/>
      <c r="BW30"/>
    </row>
    <row r="31" spans="8:75" x14ac:dyDescent="0.25">
      <c r="BI31" s="96"/>
      <c r="BJ31" s="5">
        <f t="shared" ca="1" si="2"/>
        <v>55</v>
      </c>
      <c r="BK31" s="5">
        <f t="shared" ca="1" si="1"/>
        <v>84</v>
      </c>
      <c r="BL31" s="5">
        <f t="shared" ca="1" si="1"/>
        <v>4</v>
      </c>
      <c r="BM31" s="97"/>
      <c r="BN31"/>
      <c r="BO31"/>
      <c r="BP31"/>
      <c r="BQ31"/>
      <c r="BR31"/>
      <c r="BS31"/>
      <c r="BT31"/>
      <c r="BU31"/>
      <c r="BV31"/>
      <c r="BW31"/>
    </row>
    <row r="32" spans="8:75" x14ac:dyDescent="0.25">
      <c r="BI32" s="96"/>
      <c r="BJ32" s="5">
        <f t="shared" ca="1" si="2"/>
        <v>74</v>
      </c>
      <c r="BK32" s="5">
        <f t="shared" ca="1" si="1"/>
        <v>80</v>
      </c>
      <c r="BL32" s="5">
        <f t="shared" ca="1" si="1"/>
        <v>6</v>
      </c>
      <c r="BM32" s="97"/>
      <c r="BN32"/>
      <c r="BO32"/>
      <c r="BP32"/>
      <c r="BQ32"/>
      <c r="BR32"/>
      <c r="BS32"/>
      <c r="BT32"/>
      <c r="BU32"/>
      <c r="BV32"/>
      <c r="BW32"/>
    </row>
    <row r="33" spans="61:86" x14ac:dyDescent="0.25">
      <c r="BI33" s="96"/>
      <c r="BJ33" s="5">
        <f t="shared" ca="1" si="2"/>
        <v>79</v>
      </c>
      <c r="BK33" s="5">
        <f t="shared" ca="1" si="1"/>
        <v>93</v>
      </c>
      <c r="BL33" s="5">
        <f t="shared" ca="1" si="1"/>
        <v>93</v>
      </c>
      <c r="BM33" s="97"/>
      <c r="BN33"/>
      <c r="BO33"/>
      <c r="BP33"/>
      <c r="BQ33"/>
      <c r="BR33"/>
      <c r="BS33"/>
      <c r="BT33"/>
      <c r="BU33"/>
      <c r="BV33"/>
      <c r="BW33"/>
    </row>
    <row r="34" spans="61:86" x14ac:dyDescent="0.25">
      <c r="BI34" s="96"/>
      <c r="BJ34" s="5">
        <f t="shared" ca="1" si="2"/>
        <v>89</v>
      </c>
      <c r="BK34" s="5">
        <f t="shared" ca="1" si="1"/>
        <v>30</v>
      </c>
      <c r="BL34" s="5">
        <f t="shared" ca="1" si="1"/>
        <v>24</v>
      </c>
      <c r="BM34" s="97"/>
      <c r="BN34"/>
      <c r="BO34"/>
      <c r="BP34"/>
      <c r="BQ34"/>
      <c r="BR34"/>
      <c r="BS34"/>
      <c r="BT34"/>
      <c r="BU34"/>
      <c r="BV34"/>
      <c r="BW34"/>
    </row>
    <row r="35" spans="61:86" x14ac:dyDescent="0.25">
      <c r="BI35" s="96"/>
      <c r="BJ35" s="5">
        <f t="shared" ca="1" si="2"/>
        <v>14</v>
      </c>
      <c r="BK35" s="5">
        <f t="shared" ca="1" si="1"/>
        <v>50</v>
      </c>
      <c r="BL35" s="5">
        <f t="shared" ca="1" si="1"/>
        <v>86</v>
      </c>
      <c r="BM35" s="97"/>
      <c r="BN35"/>
      <c r="BO35"/>
      <c r="BP35"/>
      <c r="BQ35"/>
      <c r="BR35"/>
      <c r="BS35"/>
      <c r="BT35"/>
      <c r="BU35"/>
      <c r="BV35"/>
      <c r="BW35"/>
    </row>
    <row r="36" spans="61:86" x14ac:dyDescent="0.25">
      <c r="BI36" s="96"/>
      <c r="BJ36" s="5">
        <f t="shared" ca="1" si="2"/>
        <v>42</v>
      </c>
      <c r="BK36" s="5">
        <f t="shared" ca="1" si="1"/>
        <v>64</v>
      </c>
      <c r="BL36" s="5">
        <f t="shared" ca="1" si="1"/>
        <v>8</v>
      </c>
      <c r="BM36" s="97"/>
      <c r="BN36"/>
      <c r="BO36"/>
      <c r="BP36"/>
      <c r="BQ36"/>
      <c r="BR36"/>
      <c r="BS36"/>
      <c r="BT36"/>
      <c r="BU36"/>
      <c r="BV36"/>
      <c r="BW36"/>
    </row>
    <row r="37" spans="61:86" ht="15.75" thickBot="1" x14ac:dyDescent="0.3">
      <c r="BI37" s="98"/>
      <c r="BJ37" s="5">
        <f t="shared" ca="1" si="2"/>
        <v>54</v>
      </c>
      <c r="BK37" s="5">
        <f t="shared" ca="1" si="1"/>
        <v>1</v>
      </c>
      <c r="BL37" s="5">
        <f t="shared" ca="1" si="1"/>
        <v>51</v>
      </c>
      <c r="BM37" s="99"/>
      <c r="BN37"/>
      <c r="BO37"/>
      <c r="BP37"/>
      <c r="BQ37"/>
      <c r="BR37"/>
      <c r="BS37"/>
      <c r="BT37"/>
      <c r="BU37"/>
      <c r="BV37"/>
      <c r="BW37"/>
    </row>
    <row r="38" spans="61:86" ht="16.5" thickTop="1" thickBot="1" x14ac:dyDescent="0.3"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</row>
    <row r="39" spans="61:86" ht="15.75" thickTop="1" x14ac:dyDescent="0.25">
      <c r="BI39" s="93"/>
      <c r="BJ39" s="5">
        <f ca="1">RANDBETWEEN(0,99)</f>
        <v>11</v>
      </c>
      <c r="BK39" s="5">
        <f t="shared" ca="1" si="1"/>
        <v>5</v>
      </c>
      <c r="BL39" s="5">
        <f t="shared" ca="1" si="1"/>
        <v>64</v>
      </c>
      <c r="BM39" s="95"/>
      <c r="BN39"/>
      <c r="BO39"/>
      <c r="BP39"/>
      <c r="BQ39"/>
      <c r="BR39"/>
      <c r="BS39"/>
      <c r="BT39"/>
      <c r="BU39"/>
      <c r="BV39"/>
      <c r="BW39"/>
    </row>
    <row r="40" spans="61:86" x14ac:dyDescent="0.25">
      <c r="BI40" s="96"/>
      <c r="BJ40" s="5">
        <f t="shared" ref="BJ40:BJ42" ca="1" si="3">RANDBETWEEN(0,99)</f>
        <v>22</v>
      </c>
      <c r="BK40" s="5">
        <f t="shared" ca="1" si="1"/>
        <v>34</v>
      </c>
      <c r="BL40" s="5">
        <f t="shared" ca="1" si="1"/>
        <v>34</v>
      </c>
      <c r="BM40" s="97"/>
      <c r="BN40"/>
      <c r="BO40"/>
      <c r="BP40"/>
      <c r="BQ40"/>
      <c r="BR40"/>
      <c r="BS40"/>
      <c r="BT40"/>
      <c r="BU40"/>
      <c r="BV40"/>
      <c r="BW40"/>
    </row>
    <row r="41" spans="61:86" x14ac:dyDescent="0.25">
      <c r="BI41" s="96"/>
      <c r="BJ41" s="5">
        <f t="shared" ca="1" si="3"/>
        <v>59</v>
      </c>
      <c r="BK41" s="5">
        <f t="shared" ca="1" si="1"/>
        <v>14</v>
      </c>
      <c r="BL41" s="5">
        <f t="shared" ca="1" si="1"/>
        <v>3</v>
      </c>
      <c r="BM41" s="97"/>
      <c r="BN41"/>
      <c r="BO41"/>
      <c r="BP41"/>
      <c r="BQ41"/>
      <c r="BR41"/>
      <c r="BS41"/>
      <c r="BT41"/>
      <c r="BU41"/>
      <c r="BV41"/>
      <c r="BW41"/>
    </row>
    <row r="42" spans="61:86" x14ac:dyDescent="0.25">
      <c r="BI42" s="96"/>
      <c r="BJ42" s="5">
        <f t="shared" ca="1" si="3"/>
        <v>94</v>
      </c>
      <c r="BK42" s="5">
        <f t="shared" ca="1" si="1"/>
        <v>13</v>
      </c>
      <c r="BL42" s="5">
        <f t="shared" ca="1" si="1"/>
        <v>85</v>
      </c>
      <c r="BM42" s="97"/>
      <c r="BN42"/>
      <c r="BO42"/>
      <c r="BP42"/>
      <c r="BQ42"/>
      <c r="BR42"/>
      <c r="BS42"/>
      <c r="BT42"/>
      <c r="BU42"/>
      <c r="BV42"/>
      <c r="BW42"/>
    </row>
    <row r="43" spans="61:86" ht="15.75" thickBot="1" x14ac:dyDescent="0.3">
      <c r="BI43" s="98"/>
      <c r="BJ43" s="5">
        <f ca="1">RANDBETWEEN(0,99)</f>
        <v>80</v>
      </c>
      <c r="BK43" s="5">
        <f ca="1">RANDBETWEEN(0,99)</f>
        <v>55</v>
      </c>
      <c r="BL43" s="5">
        <f ca="1">RANDBETWEEN(0,99)</f>
        <v>27</v>
      </c>
      <c r="BM43" s="99"/>
      <c r="BN43"/>
      <c r="BO43"/>
      <c r="BP43"/>
      <c r="BQ43"/>
      <c r="BR43"/>
      <c r="BS43"/>
      <c r="BT43"/>
      <c r="BU43"/>
      <c r="BV43"/>
      <c r="BW43"/>
    </row>
    <row r="44" spans="61:86" ht="15.75" thickTop="1" x14ac:dyDescent="0.25"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</row>
    <row r="45" spans="61:86" x14ac:dyDescent="0.25"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</row>
    <row r="46" spans="61:86" x14ac:dyDescent="0.25"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</row>
    <row r="47" spans="61:86" ht="15.75" thickBot="1" x14ac:dyDescent="0.3">
      <c r="CD47" s="92" t="s">
        <v>135</v>
      </c>
    </row>
    <row r="48" spans="61:86" ht="16.5" thickTop="1" thickBot="1" x14ac:dyDescent="0.3">
      <c r="BY48" s="103"/>
      <c r="BZ48" s="113">
        <v>1</v>
      </c>
      <c r="CA48" s="113">
        <v>2</v>
      </c>
      <c r="CB48" s="113">
        <v>3</v>
      </c>
      <c r="CC48" s="104"/>
      <c r="CE48" s="92" t="s">
        <v>79</v>
      </c>
      <c r="CF48" s="93"/>
      <c r="CG48" s="100">
        <v>1</v>
      </c>
      <c r="CH48" s="95"/>
    </row>
    <row r="49" spans="84:97" ht="15.75" thickTop="1" x14ac:dyDescent="0.25">
      <c r="CF49" s="96"/>
      <c r="CG49" s="100">
        <v>2</v>
      </c>
      <c r="CH49" s="97"/>
    </row>
    <row r="50" spans="84:97" ht="15.75" thickBot="1" x14ac:dyDescent="0.3">
      <c r="CF50" s="98"/>
      <c r="CG50" s="100">
        <v>3</v>
      </c>
      <c r="CH50" s="99"/>
    </row>
    <row r="51" spans="84:97" ht="16.5" thickTop="1" thickBot="1" x14ac:dyDescent="0.3">
      <c r="CM51" s="100" t="s">
        <v>135</v>
      </c>
    </row>
    <row r="52" spans="84:97" ht="16.5" thickTop="1" thickBot="1" x14ac:dyDescent="0.3">
      <c r="CJ52" s="93"/>
      <c r="CK52" s="100">
        <v>1</v>
      </c>
      <c r="CL52" s="95"/>
      <c r="CN52" s="100" t="s">
        <v>79</v>
      </c>
      <c r="CO52" s="103"/>
      <c r="CP52" s="113">
        <v>1</v>
      </c>
      <c r="CQ52" s="113">
        <v>2</v>
      </c>
      <c r="CR52" s="113">
        <v>3</v>
      </c>
      <c r="CS52" s="104"/>
    </row>
    <row r="53" spans="84:97" ht="15.75" thickTop="1" x14ac:dyDescent="0.25">
      <c r="CJ53" s="96"/>
      <c r="CK53" s="100">
        <v>2</v>
      </c>
      <c r="CL53" s="97"/>
    </row>
    <row r="54" spans="84:97" ht="15.75" thickBot="1" x14ac:dyDescent="0.3">
      <c r="CJ54" s="98"/>
      <c r="CK54" s="100">
        <v>3</v>
      </c>
      <c r="CL54" s="99"/>
    </row>
    <row r="55" spans="84:97" ht="15.75" thickTop="1" x14ac:dyDescent="0.25"/>
  </sheetData>
  <mergeCells count="1">
    <mergeCell ref="T9:T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BS31"/>
  <sheetViews>
    <sheetView showGridLines="0" zoomScale="110" zoomScaleNormal="110" workbookViewId="0">
      <selection activeCell="O5" sqref="O5"/>
    </sheetView>
  </sheetViews>
  <sheetFormatPr defaultRowHeight="15" x14ac:dyDescent="0.25"/>
  <cols>
    <col min="2" max="2" width="1.7109375" customWidth="1"/>
    <col min="3" max="5" width="5.5703125" customWidth="1"/>
    <col min="6" max="6" width="1.7109375" customWidth="1"/>
    <col min="7" max="7" width="4.42578125" customWidth="1"/>
    <col min="8" max="8" width="1.7109375" customWidth="1"/>
    <col min="9" max="10" width="5.5703125" customWidth="1"/>
    <col min="11" max="11" width="1.7109375" customWidth="1"/>
    <col min="12" max="12" width="5.5703125" customWidth="1"/>
    <col min="13" max="13" width="1.7109375" customWidth="1"/>
    <col min="14" max="15" width="5.5703125" customWidth="1"/>
    <col min="16" max="16" width="1.7109375" customWidth="1"/>
    <col min="17" max="17" width="4.7109375" customWidth="1"/>
    <col min="18" max="18" width="1.7109375" customWidth="1"/>
    <col min="19" max="21" width="5.42578125" customWidth="1"/>
    <col min="22" max="22" width="1.7109375" customWidth="1"/>
    <col min="24" max="24" width="1.28515625" customWidth="1"/>
    <col min="25" max="27" width="5.140625" customWidth="1"/>
    <col min="28" max="28" width="1.28515625" customWidth="1"/>
    <col min="29" max="29" width="3.5703125" customWidth="1"/>
    <col min="30" max="30" width="1.28515625" customWidth="1"/>
    <col min="31" max="31" width="5.140625" customWidth="1"/>
    <col min="32" max="36" width="1.28515625" customWidth="1"/>
    <col min="37" max="37" width="5.7109375" customWidth="1"/>
    <col min="38" max="38" width="1.28515625" customWidth="1"/>
    <col min="40" max="40" width="1" customWidth="1"/>
    <col min="41" max="42" width="4.7109375" customWidth="1"/>
    <col min="43" max="43" width="1.140625" customWidth="1"/>
    <col min="44" max="44" width="3.5703125" customWidth="1"/>
    <col min="45" max="45" width="1.85546875" customWidth="1"/>
    <col min="46" max="47" width="4.7109375" customWidth="1"/>
    <col min="48" max="48" width="1.7109375" customWidth="1"/>
    <col min="49" max="49" width="4.28515625" customWidth="1"/>
    <col min="50" max="50" width="1.5703125" customWidth="1"/>
    <col min="51" max="52" width="5.28515625" customWidth="1"/>
    <col min="53" max="53" width="1.7109375" customWidth="1"/>
    <col min="55" max="55" width="1.7109375" customWidth="1"/>
    <col min="56" max="58" width="3.140625" customWidth="1"/>
    <col min="59" max="59" width="1.7109375" customWidth="1"/>
    <col min="60" max="60" width="4.28515625" customWidth="1"/>
    <col min="61" max="61" width="1.7109375" customWidth="1"/>
    <col min="62" max="64" width="4.28515625" customWidth="1"/>
    <col min="65" max="65" width="1.7109375" customWidth="1"/>
    <col min="66" max="66" width="3.42578125" customWidth="1"/>
    <col min="67" max="67" width="1.28515625" customWidth="1"/>
    <col min="68" max="70" width="5.85546875" customWidth="1"/>
    <col min="71" max="71" width="1.28515625" customWidth="1"/>
  </cols>
  <sheetData>
    <row r="3" spans="2:38" ht="16.899999999999999" thickBot="1" x14ac:dyDescent="0.35">
      <c r="C3" s="2" t="s">
        <v>113</v>
      </c>
      <c r="D3" s="2"/>
      <c r="E3" s="2"/>
      <c r="F3" s="2"/>
      <c r="G3" s="2"/>
      <c r="H3" s="2"/>
      <c r="I3" s="2" t="s">
        <v>114</v>
      </c>
      <c r="N3" s="1" t="s">
        <v>124</v>
      </c>
      <c r="S3" s="1" t="s">
        <v>126</v>
      </c>
      <c r="Y3" s="1" t="s">
        <v>116</v>
      </c>
      <c r="Z3" s="1"/>
      <c r="AA3" s="1"/>
      <c r="AB3" s="1"/>
      <c r="AC3" s="1"/>
      <c r="AD3" s="1"/>
      <c r="AE3" s="1" t="s">
        <v>117</v>
      </c>
      <c r="AJ3" s="1" t="s">
        <v>128</v>
      </c>
    </row>
    <row r="4" spans="2:38" ht="18" customHeight="1" thickTop="1" x14ac:dyDescent="0.3">
      <c r="B4" s="93"/>
      <c r="C4" s="106">
        <v>1</v>
      </c>
      <c r="D4" s="106">
        <v>2</v>
      </c>
      <c r="E4" s="106">
        <v>3</v>
      </c>
      <c r="F4" s="95"/>
      <c r="G4" s="106"/>
      <c r="H4" s="93"/>
      <c r="I4" s="5">
        <v>1</v>
      </c>
      <c r="J4" s="5">
        <v>2</v>
      </c>
      <c r="K4" s="95"/>
      <c r="L4" s="106"/>
      <c r="M4" s="93"/>
      <c r="N4" s="5">
        <f t="array" ref="N4:O5">MMULT(A,B)</f>
        <v>22</v>
      </c>
      <c r="O4" s="5">
        <v>28</v>
      </c>
      <c r="P4" s="95"/>
      <c r="R4" s="93"/>
      <c r="S4" s="5">
        <f t="array" ref="S4:U5">TRANSPOSE(B)</f>
        <v>1</v>
      </c>
      <c r="T4" s="5">
        <v>3</v>
      </c>
      <c r="U4" s="5">
        <v>5</v>
      </c>
      <c r="V4" s="95"/>
      <c r="X4" s="93"/>
      <c r="Y4" s="5">
        <v>1</v>
      </c>
      <c r="Z4" s="5">
        <v>2</v>
      </c>
      <c r="AA4" s="5">
        <v>3</v>
      </c>
      <c r="AB4" s="95"/>
      <c r="AD4" s="93"/>
      <c r="AE4" s="4">
        <v>1</v>
      </c>
      <c r="AF4" s="95"/>
      <c r="AG4" s="102"/>
      <c r="AH4" s="102"/>
      <c r="AJ4" s="93"/>
      <c r="AK4" s="4">
        <f t="array" ref="AK4:AK6">MMULT(D,E)</f>
        <v>14</v>
      </c>
      <c r="AL4" s="95"/>
    </row>
    <row r="5" spans="2:38" ht="18" customHeight="1" thickBot="1" x14ac:dyDescent="0.35">
      <c r="B5" s="98"/>
      <c r="C5" s="106">
        <v>4</v>
      </c>
      <c r="D5" s="106">
        <v>5</v>
      </c>
      <c r="E5" s="106">
        <v>6</v>
      </c>
      <c r="F5" s="99"/>
      <c r="G5" s="106"/>
      <c r="H5" s="96"/>
      <c r="I5" s="5">
        <v>3</v>
      </c>
      <c r="J5" s="5">
        <v>4</v>
      </c>
      <c r="K5" s="97"/>
      <c r="L5" s="106"/>
      <c r="M5" s="98"/>
      <c r="N5" s="5">
        <v>49</v>
      </c>
      <c r="O5" s="5">
        <v>64</v>
      </c>
      <c r="P5" s="99"/>
      <c r="R5" s="98"/>
      <c r="S5" s="5">
        <v>2</v>
      </c>
      <c r="T5" s="5">
        <v>4</v>
      </c>
      <c r="U5" s="5">
        <v>6</v>
      </c>
      <c r="V5" s="99"/>
      <c r="X5" s="96"/>
      <c r="Y5" s="5">
        <v>4</v>
      </c>
      <c r="Z5" s="5">
        <v>5</v>
      </c>
      <c r="AA5" s="5">
        <v>6</v>
      </c>
      <c r="AB5" s="97"/>
      <c r="AD5" s="96"/>
      <c r="AE5" s="4">
        <v>2</v>
      </c>
      <c r="AF5" s="97"/>
      <c r="AG5" s="102"/>
      <c r="AH5" s="107" t="s">
        <v>79</v>
      </c>
      <c r="AJ5" s="96"/>
      <c r="AK5" s="4">
        <v>32</v>
      </c>
      <c r="AL5" s="97"/>
    </row>
    <row r="6" spans="2:38" ht="18" customHeight="1" thickTop="1" thickBot="1" x14ac:dyDescent="0.35">
      <c r="H6" s="98"/>
      <c r="I6" s="4">
        <v>5</v>
      </c>
      <c r="J6" s="4">
        <v>6</v>
      </c>
      <c r="K6" s="99"/>
      <c r="L6" s="106"/>
      <c r="X6" s="98"/>
      <c r="Y6" s="5">
        <v>7</v>
      </c>
      <c r="Z6" s="5">
        <v>8</v>
      </c>
      <c r="AA6" s="5">
        <v>9</v>
      </c>
      <c r="AB6" s="99"/>
      <c r="AD6" s="98"/>
      <c r="AE6" s="4">
        <v>3</v>
      </c>
      <c r="AF6" s="99"/>
      <c r="AG6" s="102"/>
      <c r="AH6" s="102"/>
      <c r="AJ6" s="98"/>
      <c r="AK6" s="4">
        <v>50</v>
      </c>
      <c r="AL6" s="99"/>
    </row>
    <row r="7" spans="2:38" thickTop="1" x14ac:dyDescent="0.3"/>
    <row r="9" spans="2:38" ht="16.899999999999999" thickBot="1" x14ac:dyDescent="0.35">
      <c r="I9" s="1" t="s">
        <v>125</v>
      </c>
    </row>
    <row r="10" spans="2:38" ht="18.600000000000001" customHeight="1" thickTop="1" x14ac:dyDescent="0.3">
      <c r="H10" s="93"/>
      <c r="I10" s="5">
        <f t="array" ref="I10:J12">TRANSPOSE(A)</f>
        <v>1</v>
      </c>
      <c r="J10" s="5">
        <v>4</v>
      </c>
      <c r="K10" s="95"/>
      <c r="L10" s="105"/>
    </row>
    <row r="11" spans="2:38" ht="18.600000000000001" customHeight="1" x14ac:dyDescent="0.3">
      <c r="H11" s="96"/>
      <c r="I11" s="5">
        <v>2</v>
      </c>
      <c r="J11" s="5">
        <v>5</v>
      </c>
      <c r="K11" s="97"/>
      <c r="L11" s="105"/>
    </row>
    <row r="12" spans="2:38" ht="18.600000000000001" customHeight="1" thickBot="1" x14ac:dyDescent="0.35">
      <c r="H12" s="98"/>
      <c r="I12" s="5">
        <v>3</v>
      </c>
      <c r="J12" s="5">
        <v>6</v>
      </c>
      <c r="K12" s="99"/>
      <c r="L12" s="105"/>
    </row>
    <row r="13" spans="2:38" thickTop="1" x14ac:dyDescent="0.3"/>
    <row r="15" spans="2:38" ht="16.899999999999999" thickBot="1" x14ac:dyDescent="0.35">
      <c r="I15" s="1" t="s">
        <v>127</v>
      </c>
    </row>
    <row r="16" spans="2:38" thickTop="1" x14ac:dyDescent="0.3">
      <c r="H16" s="93"/>
      <c r="I16" s="4">
        <f>I4+I10</f>
        <v>2</v>
      </c>
      <c r="J16" s="4">
        <f>J4+J10</f>
        <v>6</v>
      </c>
      <c r="K16" s="95"/>
    </row>
    <row r="17" spans="8:71" ht="14.45" x14ac:dyDescent="0.3">
      <c r="H17" s="96"/>
      <c r="I17" s="4">
        <f t="shared" ref="I17:J17" si="0">I5+I11</f>
        <v>5</v>
      </c>
      <c r="J17" s="4">
        <f t="shared" si="0"/>
        <v>9</v>
      </c>
      <c r="K17" s="97"/>
    </row>
    <row r="18" spans="8:71" thickBot="1" x14ac:dyDescent="0.35">
      <c r="H18" s="98"/>
      <c r="I18" s="4">
        <f t="shared" ref="I18:J18" si="1">I6+I12</f>
        <v>8</v>
      </c>
      <c r="J18" s="4">
        <f t="shared" si="1"/>
        <v>12</v>
      </c>
      <c r="K18" s="99"/>
    </row>
    <row r="19" spans="8:71" thickTop="1" x14ac:dyDescent="0.3">
      <c r="AN19" s="93"/>
      <c r="AO19" s="5">
        <v>1</v>
      </c>
      <c r="AP19" s="5">
        <v>2</v>
      </c>
      <c r="AQ19" s="95"/>
      <c r="AS19" s="93"/>
      <c r="AT19" s="5">
        <v>1</v>
      </c>
      <c r="AU19" s="5">
        <v>2</v>
      </c>
      <c r="AV19" s="95"/>
      <c r="AX19" s="93"/>
      <c r="AY19" s="5">
        <f>AO19+AT19</f>
        <v>2</v>
      </c>
      <c r="AZ19" s="5">
        <f t="shared" ref="AZ19:AZ21" si="2">AP19+AU19</f>
        <v>4</v>
      </c>
      <c r="BA19" s="95"/>
    </row>
    <row r="20" spans="8:71" ht="21" x14ac:dyDescent="0.3">
      <c r="AN20" s="96"/>
      <c r="AO20" s="5">
        <v>3</v>
      </c>
      <c r="AP20" s="5">
        <v>4</v>
      </c>
      <c r="AQ20" s="97"/>
      <c r="AR20" s="109" t="s">
        <v>105</v>
      </c>
      <c r="AS20" s="96"/>
      <c r="AT20" s="5">
        <v>3</v>
      </c>
      <c r="AU20" s="5">
        <v>4</v>
      </c>
      <c r="AV20" s="97"/>
      <c r="AW20" s="108" t="s">
        <v>79</v>
      </c>
      <c r="AX20" s="96"/>
      <c r="AY20" s="5">
        <f t="shared" ref="AY20:AY21" si="3">AO20+AT20</f>
        <v>6</v>
      </c>
      <c r="AZ20" s="5">
        <f t="shared" si="2"/>
        <v>8</v>
      </c>
      <c r="BA20" s="97"/>
    </row>
    <row r="21" spans="8:71" thickBot="1" x14ac:dyDescent="0.35">
      <c r="AN21" s="98"/>
      <c r="AO21" s="5">
        <v>5</v>
      </c>
      <c r="AP21" s="5">
        <v>6</v>
      </c>
      <c r="AQ21" s="99"/>
      <c r="AS21" s="98"/>
      <c r="AT21" s="5">
        <v>5</v>
      </c>
      <c r="AU21" s="5">
        <v>6</v>
      </c>
      <c r="AV21" s="99"/>
      <c r="AX21" s="98"/>
      <c r="AY21" s="5">
        <f t="shared" si="3"/>
        <v>10</v>
      </c>
      <c r="AZ21" s="5">
        <f t="shared" si="2"/>
        <v>12</v>
      </c>
      <c r="BA21" s="99"/>
    </row>
    <row r="22" spans="8:71" ht="86.45" customHeight="1" thickTop="1" thickBot="1" x14ac:dyDescent="0.35"/>
    <row r="23" spans="8:71" ht="15.75" thickTop="1" x14ac:dyDescent="0.25">
      <c r="AN23" s="93"/>
      <c r="AO23" s="5" t="s">
        <v>113</v>
      </c>
      <c r="AP23" s="5" t="s">
        <v>114</v>
      </c>
      <c r="AQ23" s="95"/>
      <c r="AS23" s="93"/>
      <c r="AT23" s="5" t="s">
        <v>118</v>
      </c>
      <c r="AU23" s="5" t="s">
        <v>119</v>
      </c>
      <c r="AV23" s="95"/>
      <c r="AX23" s="93"/>
      <c r="AY23" s="108" t="str">
        <f>AO23&amp;"+"&amp;AT23</f>
        <v>A+G</v>
      </c>
      <c r="AZ23" s="108" t="str">
        <f t="shared" ref="AZ23:AZ25" si="4">AP23&amp;"+"&amp;AU23</f>
        <v>B+H</v>
      </c>
      <c r="BA23" s="95"/>
    </row>
    <row r="24" spans="8:71" ht="21" x14ac:dyDescent="0.25">
      <c r="AN24" s="96"/>
      <c r="AO24" s="5" t="s">
        <v>115</v>
      </c>
      <c r="AP24" s="5" t="s">
        <v>116</v>
      </c>
      <c r="AQ24" s="97"/>
      <c r="AR24" s="109" t="s">
        <v>105</v>
      </c>
      <c r="AS24" s="96"/>
      <c r="AT24" s="5" t="s">
        <v>120</v>
      </c>
      <c r="AU24" s="5" t="s">
        <v>129</v>
      </c>
      <c r="AV24" s="97"/>
      <c r="AW24" s="108" t="s">
        <v>79</v>
      </c>
      <c r="AX24" s="96"/>
      <c r="AY24" s="108" t="str">
        <f t="shared" ref="AY24:AY25" si="5">AO24&amp;"+"&amp;AT24</f>
        <v>C+J</v>
      </c>
      <c r="AZ24" s="108" t="str">
        <f t="shared" si="4"/>
        <v>D+K</v>
      </c>
      <c r="BA24" s="97"/>
    </row>
    <row r="25" spans="8:71" ht="15.75" thickBot="1" x14ac:dyDescent="0.3">
      <c r="AN25" s="98"/>
      <c r="AO25" s="5" t="s">
        <v>117</v>
      </c>
      <c r="AP25" s="5" t="s">
        <v>54</v>
      </c>
      <c r="AQ25" s="99"/>
      <c r="AS25" s="98"/>
      <c r="AT25" s="5" t="s">
        <v>130</v>
      </c>
      <c r="AU25" s="5" t="s">
        <v>131</v>
      </c>
      <c r="AV25" s="99"/>
      <c r="AX25" s="98"/>
      <c r="AY25" s="108" t="str">
        <f t="shared" si="5"/>
        <v>E+L</v>
      </c>
      <c r="AZ25" s="108" t="str">
        <f t="shared" si="4"/>
        <v>F+M</v>
      </c>
      <c r="BA25" s="99"/>
    </row>
    <row r="26" spans="8:71" ht="15.75" thickTop="1" x14ac:dyDescent="0.25"/>
    <row r="27" spans="8:71" ht="15.75" thickBot="1" x14ac:dyDescent="0.3"/>
    <row r="28" spans="8:71" ht="20.45" customHeight="1" thickTop="1" thickBot="1" x14ac:dyDescent="0.3">
      <c r="BC28" s="103"/>
      <c r="BD28" s="106">
        <v>1</v>
      </c>
      <c r="BE28" s="106">
        <v>2</v>
      </c>
      <c r="BF28" s="106">
        <v>3</v>
      </c>
      <c r="BG28" s="104"/>
      <c r="BH28" s="109"/>
      <c r="BI28" s="93"/>
      <c r="BJ28" s="5">
        <v>1</v>
      </c>
      <c r="BK28" s="5">
        <v>2</v>
      </c>
      <c r="BL28" s="5">
        <v>3</v>
      </c>
      <c r="BM28" s="95"/>
      <c r="BO28" s="103"/>
      <c r="BP28" s="106">
        <f t="array" ref="BP28:BR28">MMULT(BD28:BF28,BJ28:BL30)</f>
        <v>30</v>
      </c>
      <c r="BQ28" s="106">
        <v>36</v>
      </c>
      <c r="BR28" s="106">
        <v>42</v>
      </c>
      <c r="BS28" s="104"/>
    </row>
    <row r="29" spans="8:71" ht="20.45" customHeight="1" thickTop="1" x14ac:dyDescent="0.25">
      <c r="BI29" s="96"/>
      <c r="BJ29" s="5">
        <v>4</v>
      </c>
      <c r="BK29" s="5">
        <v>5</v>
      </c>
      <c r="BL29" s="5">
        <v>6</v>
      </c>
      <c r="BM29" s="97"/>
      <c r="BN29" s="110" t="s">
        <v>79</v>
      </c>
    </row>
    <row r="30" spans="8:71" ht="20.45" customHeight="1" thickBot="1" x14ac:dyDescent="0.3">
      <c r="BI30" s="98"/>
      <c r="BJ30" s="5">
        <v>7</v>
      </c>
      <c r="BK30" s="5">
        <v>8</v>
      </c>
      <c r="BL30" s="5">
        <v>9</v>
      </c>
      <c r="BM30" s="99"/>
    </row>
    <row r="31" spans="8:71" ht="15.75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O5"/>
  <sheetViews>
    <sheetView workbookViewId="0">
      <selection activeCell="M2" sqref="M2"/>
    </sheetView>
  </sheetViews>
  <sheetFormatPr defaultRowHeight="15" x14ac:dyDescent="0.25"/>
  <cols>
    <col min="2" max="2" width="2.28515625" customWidth="1"/>
    <col min="3" max="4" width="6.28515625" customWidth="1"/>
    <col min="5" max="5" width="2.28515625" customWidth="1"/>
    <col min="7" max="7" width="2.28515625" customWidth="1"/>
    <col min="8" max="9" width="6.28515625" customWidth="1"/>
    <col min="10" max="10" width="2.28515625" customWidth="1"/>
    <col min="12" max="12" width="2.28515625" customWidth="1"/>
    <col min="13" max="14" width="6.28515625" customWidth="1"/>
    <col min="15" max="15" width="2.28515625" customWidth="1"/>
  </cols>
  <sheetData>
    <row r="1" spans="2:15" thickBot="1" x14ac:dyDescent="0.35"/>
    <row r="2" spans="2:15" thickTop="1" x14ac:dyDescent="0.3">
      <c r="B2" s="93"/>
      <c r="C2" s="5">
        <v>1</v>
      </c>
      <c r="D2" s="5">
        <v>2</v>
      </c>
      <c r="E2" s="95"/>
      <c r="G2" s="93"/>
      <c r="H2" s="5">
        <v>1</v>
      </c>
      <c r="I2" s="5">
        <v>2</v>
      </c>
      <c r="J2" s="95"/>
      <c r="L2" s="93"/>
      <c r="M2" s="5">
        <f>C2+H2</f>
        <v>2</v>
      </c>
      <c r="N2" s="5">
        <f t="shared" ref="N2:N4" si="0">D2+I2</f>
        <v>4</v>
      </c>
      <c r="O2" s="95"/>
    </row>
    <row r="3" spans="2:15" ht="21" x14ac:dyDescent="0.3">
      <c r="B3" s="96"/>
      <c r="C3" s="5">
        <v>3</v>
      </c>
      <c r="D3" s="5">
        <v>4</v>
      </c>
      <c r="E3" s="97"/>
      <c r="F3" s="109" t="s">
        <v>105</v>
      </c>
      <c r="G3" s="96"/>
      <c r="H3" s="5">
        <v>3</v>
      </c>
      <c r="I3" s="5">
        <v>4</v>
      </c>
      <c r="J3" s="97"/>
      <c r="K3" s="108" t="s">
        <v>79</v>
      </c>
      <c r="L3" s="96"/>
      <c r="M3" s="5">
        <f t="shared" ref="M3:M4" si="1">C3+H3</f>
        <v>6</v>
      </c>
      <c r="N3" s="5">
        <f t="shared" si="0"/>
        <v>8</v>
      </c>
      <c r="O3" s="97"/>
    </row>
    <row r="4" spans="2:15" thickBot="1" x14ac:dyDescent="0.35">
      <c r="B4" s="98"/>
      <c r="C4" s="5">
        <v>5</v>
      </c>
      <c r="D4" s="5">
        <v>6</v>
      </c>
      <c r="E4" s="99"/>
      <c r="G4" s="98"/>
      <c r="H4" s="5">
        <v>5</v>
      </c>
      <c r="I4" s="5">
        <v>6</v>
      </c>
      <c r="J4" s="99"/>
      <c r="L4" s="98"/>
      <c r="M4" s="5">
        <f t="shared" si="1"/>
        <v>10</v>
      </c>
      <c r="N4" s="5">
        <f t="shared" si="0"/>
        <v>12</v>
      </c>
      <c r="O4" s="99"/>
    </row>
    <row r="5" spans="2:15" thickTop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BI19"/>
  <sheetViews>
    <sheetView showGridLines="0" topLeftCell="AI10" zoomScale="150" zoomScaleNormal="150" workbookViewId="0">
      <selection activeCell="AL12" sqref="AL12:BI18"/>
    </sheetView>
  </sheetViews>
  <sheetFormatPr defaultRowHeight="15" x14ac:dyDescent="0.25"/>
  <cols>
    <col min="2" max="2" width="2.42578125" customWidth="1"/>
    <col min="3" max="5" width="4.42578125" customWidth="1"/>
    <col min="6" max="6" width="2.42578125" customWidth="1"/>
    <col min="7" max="7" width="3.28515625" customWidth="1"/>
    <col min="8" max="8" width="2.42578125" customWidth="1"/>
    <col min="9" max="9" width="4.42578125" customWidth="1"/>
    <col min="10" max="10" width="2.42578125" customWidth="1"/>
    <col min="11" max="11" width="1.28515625" customWidth="1"/>
    <col min="12" max="12" width="3.28515625" customWidth="1"/>
    <col min="13" max="13" width="1.28515625" customWidth="1"/>
    <col min="14" max="14" width="2.42578125" customWidth="1"/>
    <col min="15" max="15" width="4.42578125" customWidth="1"/>
    <col min="16" max="16" width="2.42578125" customWidth="1"/>
    <col min="19" max="19" width="1.42578125" customWidth="1"/>
    <col min="20" max="21" width="3" customWidth="1"/>
    <col min="22" max="22" width="1.42578125" customWidth="1"/>
    <col min="23" max="23" width="3.28515625" customWidth="1"/>
    <col min="24" max="24" width="1.42578125" customWidth="1"/>
    <col min="25" max="27" width="5.28515625" customWidth="1"/>
    <col min="28" max="28" width="1.42578125" customWidth="1"/>
    <col min="29" max="29" width="0.7109375" customWidth="1"/>
    <col min="30" max="30" width="2.42578125" customWidth="1"/>
    <col min="31" max="31" width="0.7109375" customWidth="1"/>
    <col min="32" max="32" width="1.42578125" customWidth="1"/>
    <col min="33" max="35" width="10.5703125" customWidth="1"/>
    <col min="36" max="36" width="1.42578125" customWidth="1"/>
    <col min="39" max="39" width="1.7109375" customWidth="1"/>
    <col min="40" max="41" width="3.7109375" customWidth="1"/>
    <col min="42" max="42" width="1.7109375" customWidth="1"/>
    <col min="43" max="43" width="5.28515625" customWidth="1"/>
    <col min="44" max="44" width="1.7109375" customWidth="1"/>
    <col min="45" max="49" width="2.85546875" customWidth="1"/>
    <col min="50" max="50" width="1.7109375" customWidth="1"/>
    <col min="51" max="51" width="1.28515625" customWidth="1"/>
    <col min="52" max="52" width="2.85546875" customWidth="1"/>
    <col min="53" max="53" width="1.28515625" customWidth="1"/>
    <col min="54" max="54" width="7.7109375" customWidth="1"/>
    <col min="55" max="55" width="1.7109375" customWidth="1"/>
    <col min="56" max="60" width="3.28515625" customWidth="1"/>
    <col min="61" max="61" width="1.7109375" customWidth="1"/>
  </cols>
  <sheetData>
    <row r="1" spans="2:61" thickBot="1" x14ac:dyDescent="0.35"/>
    <row r="2" spans="2:61" ht="19.899999999999999" customHeight="1" thickTop="1" x14ac:dyDescent="0.3">
      <c r="B2" s="93"/>
      <c r="C2" s="5">
        <v>1</v>
      </c>
      <c r="D2" s="5">
        <v>2</v>
      </c>
      <c r="E2" s="5">
        <v>3</v>
      </c>
      <c r="F2" s="95"/>
      <c r="G2" s="105"/>
      <c r="H2" s="93"/>
      <c r="I2" s="5">
        <v>1</v>
      </c>
      <c r="J2" s="95"/>
      <c r="K2" s="102"/>
      <c r="L2" s="102"/>
      <c r="M2" s="105"/>
      <c r="N2" s="93"/>
      <c r="O2" s="5">
        <f t="array" ref="O2:O4">MMULT(C2:E4,I2:I4)</f>
        <v>14</v>
      </c>
      <c r="P2" s="95"/>
    </row>
    <row r="3" spans="2:61" ht="19.899999999999999" customHeight="1" x14ac:dyDescent="0.3">
      <c r="B3" s="96"/>
      <c r="C3" s="5">
        <v>4</v>
      </c>
      <c r="D3" s="5">
        <v>5</v>
      </c>
      <c r="E3" s="5">
        <v>6</v>
      </c>
      <c r="F3" s="97"/>
      <c r="G3" s="105"/>
      <c r="H3" s="96"/>
      <c r="I3" s="5">
        <v>2</v>
      </c>
      <c r="J3" s="97"/>
      <c r="K3" s="102"/>
      <c r="L3" s="112" t="s">
        <v>79</v>
      </c>
      <c r="M3" s="105"/>
      <c r="N3" s="96"/>
      <c r="O3" s="5">
        <v>32</v>
      </c>
      <c r="P3" s="97"/>
    </row>
    <row r="4" spans="2:61" ht="19.899999999999999" customHeight="1" thickBot="1" x14ac:dyDescent="0.35">
      <c r="B4" s="98"/>
      <c r="C4" s="5">
        <v>7</v>
      </c>
      <c r="D4" s="5">
        <v>8</v>
      </c>
      <c r="E4" s="5">
        <v>9</v>
      </c>
      <c r="F4" s="99"/>
      <c r="G4" s="105"/>
      <c r="H4" s="98"/>
      <c r="I4" s="5">
        <v>3</v>
      </c>
      <c r="J4" s="99"/>
      <c r="K4" s="102"/>
      <c r="L4" s="102"/>
      <c r="M4" s="105"/>
      <c r="N4" s="98"/>
      <c r="O4" s="5">
        <v>50</v>
      </c>
      <c r="P4" s="99"/>
    </row>
    <row r="5" spans="2:61" thickTop="1" x14ac:dyDescent="0.3"/>
    <row r="8" spans="2:61" thickBot="1" x14ac:dyDescent="0.35"/>
    <row r="9" spans="2:61" thickTop="1" x14ac:dyDescent="0.3">
      <c r="S9" s="93"/>
      <c r="T9" s="102">
        <v>1</v>
      </c>
      <c r="U9" s="5">
        <v>2</v>
      </c>
      <c r="V9" s="95"/>
      <c r="X9" s="93"/>
      <c r="Y9" s="5" t="s">
        <v>137</v>
      </c>
      <c r="Z9" s="5" t="s">
        <v>138</v>
      </c>
      <c r="AA9" s="5" t="s">
        <v>139</v>
      </c>
      <c r="AB9" s="95"/>
      <c r="AC9" s="105"/>
      <c r="AD9" s="102"/>
      <c r="AE9" s="105"/>
      <c r="AF9" s="93"/>
      <c r="AG9" s="5" t="s">
        <v>143</v>
      </c>
      <c r="AH9" s="5" t="s">
        <v>144</v>
      </c>
      <c r="AI9" s="5" t="s">
        <v>145</v>
      </c>
      <c r="AJ9" s="95"/>
    </row>
    <row r="10" spans="2:61" ht="18.600000000000001" thickBot="1" x14ac:dyDescent="0.35">
      <c r="S10" s="96"/>
      <c r="T10" s="102">
        <v>3</v>
      </c>
      <c r="U10" s="5">
        <v>4</v>
      </c>
      <c r="V10" s="97"/>
      <c r="W10" s="115" t="s">
        <v>136</v>
      </c>
      <c r="X10" s="98"/>
      <c r="Y10" s="5" t="s">
        <v>140</v>
      </c>
      <c r="Z10" s="5" t="s">
        <v>141</v>
      </c>
      <c r="AA10" s="5" t="s">
        <v>142</v>
      </c>
      <c r="AB10" s="99"/>
      <c r="AC10" s="105"/>
      <c r="AD10" s="115" t="s">
        <v>79</v>
      </c>
      <c r="AE10" s="105"/>
      <c r="AF10" s="96"/>
      <c r="AG10" s="5" t="s">
        <v>146</v>
      </c>
      <c r="AH10" s="5" t="s">
        <v>148</v>
      </c>
      <c r="AI10" s="5" t="s">
        <v>150</v>
      </c>
      <c r="AJ10" s="97"/>
    </row>
    <row r="11" spans="2:61" ht="15.6" thickTop="1" thickBot="1" x14ac:dyDescent="0.35">
      <c r="S11" s="98"/>
      <c r="T11" s="102">
        <v>5</v>
      </c>
      <c r="U11" s="5">
        <v>6</v>
      </c>
      <c r="V11" s="99"/>
      <c r="AC11" s="105"/>
      <c r="AD11" s="102"/>
      <c r="AE11" s="105"/>
      <c r="AF11" s="98"/>
      <c r="AG11" s="5" t="s">
        <v>147</v>
      </c>
      <c r="AH11" s="5" t="s">
        <v>149</v>
      </c>
      <c r="AI11" s="5" t="s">
        <v>151</v>
      </c>
      <c r="AJ11" s="99"/>
    </row>
    <row r="12" spans="2:61" ht="15" customHeight="1" thickTop="1" x14ac:dyDescent="0.3">
      <c r="AS12" s="118" t="s">
        <v>159</v>
      </c>
      <c r="AT12" s="118"/>
      <c r="AU12" s="118"/>
      <c r="AV12" s="118"/>
      <c r="AW12" s="118"/>
      <c r="BD12" s="118" t="s">
        <v>159</v>
      </c>
      <c r="BE12" s="118"/>
      <c r="BF12" s="118"/>
      <c r="BG12" s="118"/>
      <c r="BH12" s="118"/>
    </row>
    <row r="13" spans="2:61" ht="40.9" thickBot="1" x14ac:dyDescent="0.35">
      <c r="AN13" s="116" t="s">
        <v>156</v>
      </c>
      <c r="AO13" s="116" t="s">
        <v>157</v>
      </c>
      <c r="AS13" t="s">
        <v>160</v>
      </c>
      <c r="AT13" t="s">
        <v>161</v>
      </c>
      <c r="AU13" t="s">
        <v>162</v>
      </c>
      <c r="AV13" t="s">
        <v>163</v>
      </c>
      <c r="AW13" t="s">
        <v>164</v>
      </c>
      <c r="BD13" t="s">
        <v>160</v>
      </c>
      <c r="BE13" t="s">
        <v>161</v>
      </c>
      <c r="BF13" t="s">
        <v>162</v>
      </c>
      <c r="BG13" t="s">
        <v>163</v>
      </c>
      <c r="BH13" t="s">
        <v>164</v>
      </c>
    </row>
    <row r="14" spans="2:61" thickTop="1" x14ac:dyDescent="0.3">
      <c r="AL14" s="83" t="s">
        <v>152</v>
      </c>
      <c r="AM14" s="93"/>
      <c r="AN14" s="113">
        <v>1</v>
      </c>
      <c r="AO14" s="5">
        <v>0</v>
      </c>
      <c r="AP14" s="95"/>
      <c r="AR14" s="93"/>
      <c r="AS14" s="5">
        <v>1</v>
      </c>
      <c r="AT14" s="5">
        <v>0</v>
      </c>
      <c r="AU14" s="5">
        <v>1</v>
      </c>
      <c r="AV14" s="5">
        <v>0</v>
      </c>
      <c r="AW14" s="5">
        <v>1</v>
      </c>
      <c r="AX14" s="95"/>
      <c r="AY14" s="105"/>
      <c r="AZ14" s="102"/>
      <c r="BA14" s="102"/>
      <c r="BB14" s="83" t="s">
        <v>152</v>
      </c>
      <c r="BC14" s="93"/>
      <c r="BD14" s="5">
        <f t="array" ref="BD14:BH18">MMULT(AN14:AO18,AS14:AW15)</f>
        <v>1</v>
      </c>
      <c r="BE14" s="5">
        <v>0</v>
      </c>
      <c r="BF14" s="5">
        <v>1</v>
      </c>
      <c r="BG14" s="5">
        <v>0</v>
      </c>
      <c r="BH14" s="5">
        <v>1</v>
      </c>
      <c r="BI14" s="95"/>
    </row>
    <row r="15" spans="2:61" ht="18.600000000000001" thickBot="1" x14ac:dyDescent="0.35">
      <c r="AL15" s="83" t="s">
        <v>153</v>
      </c>
      <c r="AM15" s="96"/>
      <c r="AN15" s="113">
        <v>0</v>
      </c>
      <c r="AO15" s="5">
        <v>1</v>
      </c>
      <c r="AP15" s="97"/>
      <c r="AQ15" s="115" t="s">
        <v>136</v>
      </c>
      <c r="AR15" s="98"/>
      <c r="AS15" s="5">
        <v>1</v>
      </c>
      <c r="AT15" s="5">
        <v>0</v>
      </c>
      <c r="AU15" s="5">
        <v>0</v>
      </c>
      <c r="AV15" s="5">
        <v>1</v>
      </c>
      <c r="AW15" s="5">
        <v>0</v>
      </c>
      <c r="AX15" s="99"/>
      <c r="AY15" s="105"/>
      <c r="AZ15" s="115" t="s">
        <v>79</v>
      </c>
      <c r="BA15" s="115"/>
      <c r="BB15" s="83" t="s">
        <v>153</v>
      </c>
      <c r="BC15" s="96"/>
      <c r="BD15" s="5">
        <v>1</v>
      </c>
      <c r="BE15" s="5">
        <v>0</v>
      </c>
      <c r="BF15" s="5">
        <v>0</v>
      </c>
      <c r="BG15" s="5">
        <v>1</v>
      </c>
      <c r="BH15" s="5">
        <v>0</v>
      </c>
      <c r="BI15" s="97"/>
    </row>
    <row r="16" spans="2:61" thickTop="1" x14ac:dyDescent="0.3">
      <c r="AL16" s="83" t="s">
        <v>155</v>
      </c>
      <c r="AM16" s="96"/>
      <c r="AN16" s="113">
        <v>0</v>
      </c>
      <c r="AO16" s="5">
        <v>1</v>
      </c>
      <c r="AP16" s="97"/>
      <c r="AY16" s="105"/>
      <c r="AZ16" s="102"/>
      <c r="BA16" s="102"/>
      <c r="BB16" s="83" t="s">
        <v>155</v>
      </c>
      <c r="BC16" s="96"/>
      <c r="BD16" s="5">
        <v>1</v>
      </c>
      <c r="BE16" s="5">
        <v>0</v>
      </c>
      <c r="BF16" s="5">
        <v>0</v>
      </c>
      <c r="BG16" s="5">
        <v>1</v>
      </c>
      <c r="BH16" s="5">
        <v>0</v>
      </c>
      <c r="BI16" s="97"/>
    </row>
    <row r="17" spans="38:61" ht="14.45" x14ac:dyDescent="0.3">
      <c r="AL17" s="83" t="s">
        <v>154</v>
      </c>
      <c r="AM17" s="96"/>
      <c r="AN17" s="113">
        <v>1</v>
      </c>
      <c r="AO17" s="5">
        <v>0</v>
      </c>
      <c r="AP17" s="97"/>
      <c r="BB17" s="83" t="s">
        <v>154</v>
      </c>
      <c r="BC17" s="96"/>
      <c r="BD17" s="5">
        <v>1</v>
      </c>
      <c r="BE17" s="5">
        <v>0</v>
      </c>
      <c r="BF17" s="5">
        <v>1</v>
      </c>
      <c r="BG17" s="5">
        <v>0</v>
      </c>
      <c r="BH17" s="5">
        <v>1</v>
      </c>
      <c r="BI17" s="97"/>
    </row>
    <row r="18" spans="38:61" thickBot="1" x14ac:dyDescent="0.35">
      <c r="AL18" s="83" t="s">
        <v>158</v>
      </c>
      <c r="AM18" s="98"/>
      <c r="AN18" s="113">
        <v>1</v>
      </c>
      <c r="AO18" s="5">
        <v>0</v>
      </c>
      <c r="AP18" s="99"/>
      <c r="BB18" s="83" t="s">
        <v>158</v>
      </c>
      <c r="BC18" s="98"/>
      <c r="BD18" s="5">
        <v>1</v>
      </c>
      <c r="BE18" s="5">
        <v>0</v>
      </c>
      <c r="BF18" s="5">
        <v>1</v>
      </c>
      <c r="BG18" s="5">
        <v>0</v>
      </c>
      <c r="BH18" s="5">
        <v>1</v>
      </c>
      <c r="BI18" s="99"/>
    </row>
    <row r="19" spans="38:61" thickTop="1" x14ac:dyDescent="0.3"/>
  </sheetData>
  <mergeCells count="2">
    <mergeCell ref="AS12:AW12"/>
    <mergeCell ref="BD12:BH1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4"/>
  <sheetViews>
    <sheetView workbookViewId="0">
      <selection activeCell="N1" sqref="N1"/>
    </sheetView>
  </sheetViews>
  <sheetFormatPr defaultRowHeight="15" x14ac:dyDescent="0.25"/>
  <cols>
    <col min="1" max="1" width="1.5703125" customWidth="1"/>
    <col min="2" max="4" width="5" customWidth="1"/>
    <col min="5" max="5" width="1.5703125" customWidth="1"/>
    <col min="7" max="7" width="1.5703125" customWidth="1"/>
    <col min="8" max="10" width="5" customWidth="1"/>
    <col min="11" max="11" width="1.5703125" customWidth="1"/>
    <col min="13" max="13" width="1.5703125" customWidth="1"/>
    <col min="14" max="16" width="5" customWidth="1"/>
    <col min="17" max="17" width="1.5703125" customWidth="1"/>
  </cols>
  <sheetData>
    <row r="1" spans="1:17" ht="24" customHeight="1" thickTop="1" thickBot="1" x14ac:dyDescent="0.35">
      <c r="A1" s="103"/>
      <c r="B1" s="106">
        <v>1</v>
      </c>
      <c r="C1" s="106">
        <v>2</v>
      </c>
      <c r="D1" s="106">
        <v>3</v>
      </c>
      <c r="E1" s="104"/>
      <c r="F1" s="109"/>
      <c r="G1" s="93"/>
      <c r="H1" s="5">
        <v>1</v>
      </c>
      <c r="I1" s="5">
        <v>2</v>
      </c>
      <c r="J1" s="5">
        <v>3</v>
      </c>
      <c r="K1" s="95"/>
      <c r="M1" s="103"/>
      <c r="N1" s="106">
        <f t="array" ref="N1:P1">MMULT(B1:D1,H1:J3)</f>
        <v>30</v>
      </c>
      <c r="O1" s="106">
        <v>36</v>
      </c>
      <c r="P1" s="106">
        <v>42</v>
      </c>
      <c r="Q1" s="104"/>
    </row>
    <row r="2" spans="1:17" ht="24" customHeight="1" thickTop="1" x14ac:dyDescent="0.3">
      <c r="G2" s="96"/>
      <c r="H2" s="5">
        <v>4</v>
      </c>
      <c r="I2" s="5">
        <v>5</v>
      </c>
      <c r="J2" s="5">
        <v>6</v>
      </c>
      <c r="K2" s="97"/>
      <c r="L2" s="110" t="s">
        <v>79</v>
      </c>
    </row>
    <row r="3" spans="1:17" ht="24" customHeight="1" thickBot="1" x14ac:dyDescent="0.35">
      <c r="G3" s="98"/>
      <c r="H3" s="5">
        <v>7</v>
      </c>
      <c r="I3" s="5">
        <v>8</v>
      </c>
      <c r="J3" s="5">
        <v>9</v>
      </c>
      <c r="K3" s="99"/>
    </row>
    <row r="4" spans="1:17" thickTop="1" x14ac:dyDescent="0.3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M10"/>
  <sheetViews>
    <sheetView showGridLines="0" workbookViewId="0">
      <selection activeCell="B6" sqref="B6:M9"/>
    </sheetView>
  </sheetViews>
  <sheetFormatPr defaultRowHeight="15" x14ac:dyDescent="0.25"/>
  <cols>
    <col min="2" max="2" width="1.28515625" customWidth="1"/>
    <col min="3" max="5" width="4.7109375" customWidth="1"/>
    <col min="6" max="6" width="1.28515625" customWidth="1"/>
    <col min="7" max="7" width="5.140625" customWidth="1"/>
    <col min="8" max="8" width="5" customWidth="1"/>
    <col min="9" max="9" width="1.5703125" customWidth="1"/>
    <col min="10" max="12" width="4.7109375" customWidth="1"/>
    <col min="13" max="13" width="1.5703125" customWidth="1"/>
  </cols>
  <sheetData>
    <row r="1" spans="2:13" thickBot="1" x14ac:dyDescent="0.35">
      <c r="G1" s="4" t="s">
        <v>135</v>
      </c>
    </row>
    <row r="2" spans="2:13" thickTop="1" x14ac:dyDescent="0.3">
      <c r="B2" s="93"/>
      <c r="C2" s="5">
        <v>1</v>
      </c>
      <c r="D2" s="5">
        <v>2</v>
      </c>
      <c r="E2" s="5">
        <v>3</v>
      </c>
      <c r="F2" s="95"/>
      <c r="I2" s="93"/>
      <c r="J2" s="5">
        <f t="array" ref="J2:L4">TRANSPOSE(C2:E4)</f>
        <v>1</v>
      </c>
      <c r="K2" s="5">
        <v>4</v>
      </c>
      <c r="L2" s="5">
        <v>7</v>
      </c>
      <c r="M2" s="95"/>
    </row>
    <row r="3" spans="2:13" ht="21" x14ac:dyDescent="0.4">
      <c r="B3" s="96"/>
      <c r="C3" s="5">
        <v>4</v>
      </c>
      <c r="D3" s="5">
        <v>5</v>
      </c>
      <c r="E3" s="5">
        <v>6</v>
      </c>
      <c r="F3" s="97"/>
      <c r="H3" s="114" t="s">
        <v>79</v>
      </c>
      <c r="I3" s="96"/>
      <c r="J3" s="5">
        <v>2</v>
      </c>
      <c r="K3" s="5">
        <v>5</v>
      </c>
      <c r="L3" s="5">
        <v>8</v>
      </c>
      <c r="M3" s="97"/>
    </row>
    <row r="4" spans="2:13" thickBot="1" x14ac:dyDescent="0.35">
      <c r="B4" s="98"/>
      <c r="C4" s="5">
        <v>7</v>
      </c>
      <c r="D4" s="5">
        <v>8</v>
      </c>
      <c r="E4" s="5">
        <v>9</v>
      </c>
      <c r="F4" s="99"/>
      <c r="I4" s="98"/>
      <c r="J4" s="5">
        <v>3</v>
      </c>
      <c r="K4" s="5">
        <v>6</v>
      </c>
      <c r="L4" s="5">
        <v>9</v>
      </c>
      <c r="M4" s="99"/>
    </row>
    <row r="5" spans="2:13" thickTop="1" x14ac:dyDescent="0.3"/>
    <row r="6" spans="2:13" thickBot="1" x14ac:dyDescent="0.35">
      <c r="G6" s="4" t="s">
        <v>135</v>
      </c>
    </row>
    <row r="7" spans="2:13" thickTop="1" x14ac:dyDescent="0.3">
      <c r="B7" s="93"/>
      <c r="C7" s="5" t="s">
        <v>113</v>
      </c>
      <c r="D7" s="5" t="s">
        <v>114</v>
      </c>
      <c r="E7" s="5" t="s">
        <v>115</v>
      </c>
      <c r="F7" s="95"/>
      <c r="I7" s="93"/>
      <c r="J7" s="5" t="str">
        <f t="array" ref="J7:L9">TRANSPOSE(C7:E9)</f>
        <v>A</v>
      </c>
      <c r="K7" s="5" t="str">
        <v>D</v>
      </c>
      <c r="L7" s="5" t="str">
        <v>G</v>
      </c>
      <c r="M7" s="95"/>
    </row>
    <row r="8" spans="2:13" ht="21" x14ac:dyDescent="0.4">
      <c r="B8" s="96"/>
      <c r="C8" s="5" t="s">
        <v>116</v>
      </c>
      <c r="D8" s="5" t="s">
        <v>117</v>
      </c>
      <c r="E8" s="5" t="s">
        <v>54</v>
      </c>
      <c r="F8" s="97"/>
      <c r="H8" s="114" t="s">
        <v>79</v>
      </c>
      <c r="I8" s="96"/>
      <c r="J8" s="5" t="str">
        <v>B</v>
      </c>
      <c r="K8" s="5" t="str">
        <v>E</v>
      </c>
      <c r="L8" s="5" t="str">
        <v>H</v>
      </c>
      <c r="M8" s="97"/>
    </row>
    <row r="9" spans="2:13" thickBot="1" x14ac:dyDescent="0.35">
      <c r="B9" s="98"/>
      <c r="C9" s="5" t="s">
        <v>118</v>
      </c>
      <c r="D9" s="5" t="s">
        <v>119</v>
      </c>
      <c r="E9" s="5" t="s">
        <v>120</v>
      </c>
      <c r="F9" s="99"/>
      <c r="I9" s="98"/>
      <c r="J9" s="5" t="str">
        <v>C</v>
      </c>
      <c r="K9" s="5" t="str">
        <v>F</v>
      </c>
      <c r="L9" s="5" t="str">
        <v>J</v>
      </c>
      <c r="M9" s="99"/>
    </row>
    <row r="10" spans="2:13" thickTop="1" x14ac:dyDescent="0.3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8"/>
  <sheetViews>
    <sheetView workbookViewId="0">
      <selection activeCell="G2" sqref="G2"/>
    </sheetView>
  </sheetViews>
  <sheetFormatPr defaultRowHeight="15" x14ac:dyDescent="0.25"/>
  <sheetData>
    <row r="1" spans="1:7" x14ac:dyDescent="0.3">
      <c r="A1" t="s">
        <v>66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</row>
    <row r="2" spans="1:7" x14ac:dyDescent="0.3">
      <c r="A2">
        <v>283</v>
      </c>
      <c r="B2">
        <v>14</v>
      </c>
      <c r="C2">
        <v>1590</v>
      </c>
      <c r="D2">
        <v>189</v>
      </c>
      <c r="E2">
        <v>5</v>
      </c>
      <c r="F2">
        <v>9</v>
      </c>
      <c r="G2">
        <v>-1498.2773700464356</v>
      </c>
    </row>
    <row r="3" spans="1:7" x14ac:dyDescent="0.3">
      <c r="A3">
        <v>697</v>
      </c>
      <c r="B3">
        <v>9</v>
      </c>
      <c r="C3">
        <v>699</v>
      </c>
      <c r="D3">
        <v>121</v>
      </c>
      <c r="E3">
        <v>32</v>
      </c>
      <c r="F3">
        <v>10</v>
      </c>
      <c r="G3">
        <v>2820.0111693165941</v>
      </c>
    </row>
    <row r="4" spans="1:7" x14ac:dyDescent="0.3">
      <c r="A4">
        <v>333</v>
      </c>
      <c r="B4">
        <v>20</v>
      </c>
      <c r="C4">
        <v>1146</v>
      </c>
      <c r="D4">
        <v>95</v>
      </c>
      <c r="E4">
        <v>46</v>
      </c>
      <c r="F4">
        <v>0</v>
      </c>
      <c r="G4">
        <v>-285.18570336948869</v>
      </c>
    </row>
    <row r="5" spans="1:7" x14ac:dyDescent="0.3">
      <c r="A5">
        <v>125</v>
      </c>
      <c r="B5">
        <v>6</v>
      </c>
      <c r="C5">
        <v>1709</v>
      </c>
      <c r="D5">
        <v>127</v>
      </c>
      <c r="E5">
        <v>99</v>
      </c>
      <c r="F5">
        <v>1</v>
      </c>
      <c r="G5">
        <v>-3196.7867470836868</v>
      </c>
    </row>
    <row r="6" spans="1:7" x14ac:dyDescent="0.3">
      <c r="A6">
        <v>778</v>
      </c>
      <c r="B6">
        <v>17</v>
      </c>
      <c r="C6">
        <v>225</v>
      </c>
      <c r="D6">
        <v>160</v>
      </c>
      <c r="E6">
        <v>60</v>
      </c>
      <c r="F6">
        <v>4</v>
      </c>
      <c r="G6">
        <v>4739.8499740559155</v>
      </c>
    </row>
    <row r="7" spans="1:7" x14ac:dyDescent="0.3">
      <c r="A7">
        <v>1531</v>
      </c>
      <c r="B7">
        <v>7</v>
      </c>
      <c r="C7">
        <v>1573</v>
      </c>
      <c r="D7">
        <v>185</v>
      </c>
      <c r="E7">
        <v>75</v>
      </c>
      <c r="F7">
        <v>10</v>
      </c>
      <c r="G7">
        <v>3251.7256287141422</v>
      </c>
    </row>
    <row r="8" spans="1:7" x14ac:dyDescent="0.3">
      <c r="A8">
        <v>1231</v>
      </c>
      <c r="B8">
        <v>10</v>
      </c>
      <c r="C8">
        <v>1496</v>
      </c>
      <c r="D8">
        <v>220</v>
      </c>
      <c r="E8">
        <v>75</v>
      </c>
      <c r="F8">
        <v>6</v>
      </c>
      <c r="G8">
        <v>2390.1090221883446</v>
      </c>
    </row>
    <row r="9" spans="1:7" x14ac:dyDescent="0.3">
      <c r="A9">
        <v>860</v>
      </c>
      <c r="B9">
        <v>19</v>
      </c>
      <c r="C9">
        <v>1483</v>
      </c>
      <c r="D9">
        <v>188</v>
      </c>
      <c r="E9">
        <v>68</v>
      </c>
      <c r="F9">
        <v>3</v>
      </c>
      <c r="G9">
        <v>996.15217075867565</v>
      </c>
    </row>
    <row r="10" spans="1:7" x14ac:dyDescent="0.3">
      <c r="A10">
        <v>239</v>
      </c>
      <c r="B10">
        <v>14</v>
      </c>
      <c r="C10">
        <v>1729</v>
      </c>
      <c r="D10">
        <v>211</v>
      </c>
      <c r="E10">
        <v>92</v>
      </c>
      <c r="F10">
        <v>4</v>
      </c>
      <c r="G10">
        <v>-2543.0266082949784</v>
      </c>
    </row>
    <row r="11" spans="1:7" x14ac:dyDescent="0.3">
      <c r="A11">
        <v>886</v>
      </c>
      <c r="B11">
        <v>4</v>
      </c>
      <c r="C11">
        <v>366</v>
      </c>
      <c r="D11">
        <v>98</v>
      </c>
      <c r="E11">
        <v>71</v>
      </c>
      <c r="F11">
        <v>5</v>
      </c>
      <c r="G11">
        <v>4382.3695445278827</v>
      </c>
    </row>
    <row r="12" spans="1:7" x14ac:dyDescent="0.3">
      <c r="A12">
        <v>1932</v>
      </c>
      <c r="B12">
        <v>6</v>
      </c>
      <c r="C12">
        <v>1368</v>
      </c>
      <c r="D12">
        <v>139</v>
      </c>
      <c r="E12">
        <v>26</v>
      </c>
      <c r="F12">
        <v>4</v>
      </c>
      <c r="G12">
        <v>5688.5752079061231</v>
      </c>
    </row>
    <row r="13" spans="1:7" x14ac:dyDescent="0.3">
      <c r="A13">
        <v>584</v>
      </c>
      <c r="B13">
        <v>1</v>
      </c>
      <c r="C13">
        <v>928</v>
      </c>
      <c r="D13">
        <v>259</v>
      </c>
      <c r="E13">
        <v>42</v>
      </c>
      <c r="F13">
        <v>7</v>
      </c>
      <c r="G13">
        <v>1900.7780586562012</v>
      </c>
    </row>
    <row r="14" spans="1:7" x14ac:dyDescent="0.3">
      <c r="A14">
        <v>1294</v>
      </c>
      <c r="B14">
        <v>14</v>
      </c>
      <c r="C14">
        <v>628</v>
      </c>
      <c r="D14">
        <v>224</v>
      </c>
      <c r="E14">
        <v>23</v>
      </c>
      <c r="F14">
        <v>2</v>
      </c>
      <c r="G14">
        <v>5789.6395399981602</v>
      </c>
    </row>
    <row r="15" spans="1:7" x14ac:dyDescent="0.3">
      <c r="A15">
        <v>484</v>
      </c>
      <c r="B15">
        <v>9</v>
      </c>
      <c r="C15">
        <v>1371</v>
      </c>
      <c r="D15">
        <v>113</v>
      </c>
      <c r="E15">
        <v>81</v>
      </c>
      <c r="F15">
        <v>10</v>
      </c>
      <c r="G15">
        <v>-343.03390985895919</v>
      </c>
    </row>
    <row r="16" spans="1:7" x14ac:dyDescent="0.3">
      <c r="A16">
        <v>1533</v>
      </c>
      <c r="B16">
        <v>1</v>
      </c>
      <c r="C16">
        <v>927</v>
      </c>
      <c r="D16">
        <v>230</v>
      </c>
      <c r="E16">
        <v>67</v>
      </c>
      <c r="F16">
        <v>9</v>
      </c>
      <c r="G16">
        <v>5615.290435328815</v>
      </c>
    </row>
    <row r="17" spans="1:7" x14ac:dyDescent="0.3">
      <c r="A17">
        <v>1552</v>
      </c>
      <c r="B17">
        <v>20</v>
      </c>
      <c r="C17">
        <v>1153</v>
      </c>
      <c r="D17">
        <v>286</v>
      </c>
      <c r="E17">
        <v>18</v>
      </c>
      <c r="F17">
        <v>2</v>
      </c>
      <c r="G17">
        <v>5395.3348261004257</v>
      </c>
    </row>
    <row r="18" spans="1:7" x14ac:dyDescent="0.3">
      <c r="A18">
        <v>1725</v>
      </c>
      <c r="B18">
        <v>6</v>
      </c>
      <c r="C18">
        <v>714</v>
      </c>
      <c r="D18">
        <v>104</v>
      </c>
      <c r="E18">
        <v>89</v>
      </c>
      <c r="F18">
        <v>0</v>
      </c>
      <c r="G18">
        <v>6386.482645862101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Auto</vt:lpstr>
      <vt:lpstr>Excel Data Analysis</vt:lpstr>
      <vt:lpstr>Sensitivity</vt:lpstr>
      <vt:lpstr>Generator</vt:lpstr>
      <vt:lpstr>Matrix Graphics</vt:lpstr>
      <vt:lpstr>Matrix operators</vt:lpstr>
      <vt:lpstr>matrix addition</vt:lpstr>
      <vt:lpstr>matrix multiplication</vt:lpstr>
      <vt:lpstr>Mat mul 2</vt:lpstr>
      <vt:lpstr>Transpose</vt:lpstr>
      <vt:lpstr>CSV</vt:lpstr>
      <vt:lpstr>A</vt:lpstr>
      <vt:lpstr>B</vt:lpstr>
      <vt:lpstr>D</vt:lpstr>
      <vt:lpstr>E</vt:lpstr>
      <vt:lpstr>Auto!theta_0</vt:lpstr>
      <vt:lpstr>Sensitivity!theta_0</vt:lpstr>
      <vt:lpstr>Auto!theta_1</vt:lpstr>
      <vt:lpstr>Sensitivity!theta_1</vt:lpstr>
      <vt:lpstr>Auto!theta_2</vt:lpstr>
      <vt:lpstr>Sensitivity!theta_2</vt:lpstr>
      <vt:lpstr>Auto!theta_3</vt:lpstr>
      <vt:lpstr>Sensitivity!theta_3</vt:lpstr>
      <vt:lpstr>Auto!theta_4</vt:lpstr>
      <vt:lpstr>Sensitivity!theta_4</vt:lpstr>
      <vt:lpstr>Auto!theta_5</vt:lpstr>
      <vt:lpstr>Sensitivity!theta_5</vt:lpstr>
      <vt:lpstr>Auto!theta_6</vt:lpstr>
      <vt:lpstr>Sensitivity!theta_6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Rob Collins</cp:lastModifiedBy>
  <dcterms:created xsi:type="dcterms:W3CDTF">2019-09-20T12:23:41Z</dcterms:created>
  <dcterms:modified xsi:type="dcterms:W3CDTF">2022-09-06T07:14:00Z</dcterms:modified>
</cp:coreProperties>
</file>